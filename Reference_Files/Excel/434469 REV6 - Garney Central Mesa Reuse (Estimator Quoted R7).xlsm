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esapowersolutions.sharepoint.com/sites/ops/Phoenix Files/Jason/Project Turnover/Garney (Ludvik) Central Mesa Reuse/"/>
    </mc:Choice>
  </mc:AlternateContent>
  <xr:revisionPtr revIDLastSave="1253" documentId="8_{9D2E79D8-2749-437B-BEF6-C6BF6D17487D}" xr6:coauthVersionLast="47" xr6:coauthVersionMax="47" xr10:uidLastSave="{A865A056-DDBE-41AA-BDC9-179EF95F72DF}"/>
  <bookViews>
    <workbookView xWindow="45" yWindow="30" windowWidth="38355" windowHeight="20835" tabRatio="683" activeTab="5" xr2:uid="{B3821680-63F4-1740-B834-95044DE642D3}"/>
  </bookViews>
  <sheets>
    <sheet name="Equipment Reference" sheetId="22" r:id="rId1"/>
    <sheet name="Print_Template" sheetId="29" r:id="rId2"/>
    <sheet name="IPS NETA ATS" sheetId="9" r:id="rId3"/>
    <sheet name="NWWRP NETA ATS" sheetId="30" r:id="rId4"/>
    <sheet name="GWRP NETA ATS" sheetId="34" r:id="rId5"/>
    <sheet name="SEWRP NETA ATS" sheetId="33" r:id="rId6"/>
    <sheet name="IPS PSS" sheetId="31" r:id="rId7"/>
    <sheet name="NWWRP PSS" sheetId="32" r:id="rId8"/>
    <sheet name="7.X" sheetId="35" r:id="rId9"/>
    <sheet name="8.X" sheetId="36" r:id="rId10"/>
    <sheet name="9.X" sheetId="37" r:id="rId11"/>
    <sheet name="10.X" sheetId="38" r:id="rId12"/>
    <sheet name="11.X" sheetId="39" r:id="rId13"/>
    <sheet name="12.X" sheetId="40" r:id="rId14"/>
    <sheet name="13.X" sheetId="41" r:id="rId15"/>
    <sheet name="14.X" sheetId="42" r:id="rId16"/>
    <sheet name="15.X" sheetId="43" r:id="rId17"/>
    <sheet name="16.X" sheetId="44" r:id="rId18"/>
    <sheet name="17.X" sheetId="45" r:id="rId19"/>
    <sheet name="18.X" sheetId="46" r:id="rId20"/>
    <sheet name="19.X" sheetId="47" r:id="rId21"/>
    <sheet name="20.X" sheetId="48" r:id="rId22"/>
  </sheets>
  <functionGroups builtInGroupCount="19"/>
  <externalReferences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</externalReferences>
  <definedNames>
    <definedName name="_xlnm._FilterDatabase" localSheetId="11" hidden="1">'10.X'!$C$5:$G$488</definedName>
    <definedName name="_xlnm._FilterDatabase" localSheetId="12" hidden="1">'11.X'!$C$5:$G$488</definedName>
    <definedName name="_xlnm._FilterDatabase" localSheetId="13" hidden="1">'12.X'!$C$5:$G$488</definedName>
    <definedName name="_xlnm._FilterDatabase" localSheetId="14" hidden="1">'13.X'!$C$5:$G$488</definedName>
    <definedName name="_xlnm._FilterDatabase" localSheetId="15" hidden="1">'14.X'!$C$5:$G$488</definedName>
    <definedName name="_xlnm._FilterDatabase" localSheetId="16" hidden="1">'15.X'!$C$5:$G$488</definedName>
    <definedName name="_xlnm._FilterDatabase" localSheetId="17" hidden="1">'16.X'!$C$5:$G$488</definedName>
    <definedName name="_xlnm._FilterDatabase" localSheetId="18" hidden="1">'17.X'!$C$5:$G$488</definedName>
    <definedName name="_xlnm._FilterDatabase" localSheetId="19" hidden="1">'18.X'!$C$5:$G$488</definedName>
    <definedName name="_xlnm._FilterDatabase" localSheetId="20" hidden="1">'19.X'!$C$5:$G$488</definedName>
    <definedName name="_xlnm._FilterDatabase" localSheetId="21" hidden="1">'20.X'!$C$5:$G$488</definedName>
    <definedName name="_xlnm._FilterDatabase" localSheetId="8" hidden="1">'7.X'!$C$5:$G$488</definedName>
    <definedName name="_xlnm._FilterDatabase" localSheetId="9" hidden="1">'8.X'!$C$5:$G$488</definedName>
    <definedName name="_xlnm._FilterDatabase" localSheetId="10" hidden="1">'9.X'!$C$5:$G$488</definedName>
    <definedName name="_xlnm._FilterDatabase" localSheetId="0" hidden="1">'Equipment Reference'!$B$2:$F$48</definedName>
    <definedName name="_xlnm._FilterDatabase" localSheetId="4" hidden="1">'GWRP NETA ATS'!$C$5:$G$488</definedName>
    <definedName name="_xlnm._FilterDatabase" localSheetId="2" hidden="1">'IPS NETA ATS'!$C$5:$G$489</definedName>
    <definedName name="_xlnm._FilterDatabase" localSheetId="6" hidden="1">'IPS PSS'!$C$5:$G$488</definedName>
    <definedName name="_xlnm._FilterDatabase" localSheetId="3" hidden="1">'NWWRP NETA ATS'!$C$5:$G$488</definedName>
    <definedName name="_xlnm._FilterDatabase" localSheetId="7" hidden="1">'NWWRP PSS'!$C$5:$G$488</definedName>
    <definedName name="_xlnm._FilterDatabase" localSheetId="1" hidden="1">Print_Template!$C$5:$G$46</definedName>
    <definedName name="_xlnm._FilterDatabase" localSheetId="5" hidden="1">'SEWRP NETA ATS'!$C$5:$G$488</definedName>
    <definedName name="_xleta.SUM" hidden="1" xlm="1">#NAME?</definedName>
    <definedName name="CalcArea_Scope1">[1]Scope1!$J$6:$J$488</definedName>
    <definedName name="CalcArea_Scope10">[2]Scope10!$J$6:$J$488</definedName>
    <definedName name="CalcArea_Scope11">[3]Scope11!$J$6:$J$488</definedName>
    <definedName name="CalcArea_Scope12">[4]Scope12!$J$6:$J$488</definedName>
    <definedName name="CalcArea_Scope13">[5]Scope13!$J$6:$J$488</definedName>
    <definedName name="CalcArea_Scope14">[6]Scope14!$J$6:$J$488</definedName>
    <definedName name="CalcArea_Scope15">[7]Scope15!$J$6:$J$488</definedName>
    <definedName name="CalcArea_Scope16">[8]Scope16!$J$6:$J$488</definedName>
    <definedName name="CalcArea_Scope17">[9]Scope17!$J$6:$J$488</definedName>
    <definedName name="CalcArea_Scope18">[10]Scope18!$J$6:$J$488</definedName>
    <definedName name="CalcArea_Scope19">[11]Scope19!$J$6:$J$488</definedName>
    <definedName name="CalcArea_Scope2">[12]Scope2!$J$6:$J$488</definedName>
    <definedName name="CalcArea_Scope20">[13]Scope20!$J$6:$J$488</definedName>
    <definedName name="CalcArea_Scope3">[14]Scope3!$J$6:$J$488</definedName>
    <definedName name="CalcArea_Scope4">[15]Scope4!$J$6:$J$488</definedName>
    <definedName name="CalcArea_Scope5">[16]Scope5!$J$6:$J$488</definedName>
    <definedName name="CalcArea_Scope6">[17]Scope6!$J$6:$J$488</definedName>
    <definedName name="CalcArea_Scope7">[18]Scope7!$J$6:$J$488</definedName>
    <definedName name="CalcArea_Scope8">[19]Scope8!$J$6:$J$488</definedName>
    <definedName name="CalcArea_Scope9">[20]Scope9!$J$6:$J$488</definedName>
    <definedName name="JobType_Scope1">[1]Scope1!$D$3</definedName>
    <definedName name="JobType_Scope10">[2]Scope10!$D$3</definedName>
    <definedName name="JobType_Scope11">[3]Scope11!$D$3</definedName>
    <definedName name="JobType_Scope12">[4]Scope12!$D$3</definedName>
    <definedName name="JobType_Scope13">[5]Scope13!$D$3</definedName>
    <definedName name="JobType_Scope14">[6]Scope14!$D$3</definedName>
    <definedName name="JobType_Scope15">[7]Scope15!$D$3</definedName>
    <definedName name="JobType_Scope16">[8]Scope16!$D$3</definedName>
    <definedName name="JobType_Scope17">[9]Scope17!$D$3</definedName>
    <definedName name="JobType_Scope18">[10]Scope18!$D$3</definedName>
    <definedName name="JobType_Scope19">[11]Scope19!$D$3</definedName>
    <definedName name="JobType_Scope2">[12]Scope2!$D$3</definedName>
    <definedName name="JobType_Scope20">[13]Scope20!$D$3</definedName>
    <definedName name="JobType_Scope3">[14]Scope3!$D$3</definedName>
    <definedName name="JobType_Scope4">[15]Scope4!$D$3</definedName>
    <definedName name="JobType_Scope5">[16]Scope5!$D$3</definedName>
    <definedName name="JobType_Scope6">[17]Scope6!$D$3</definedName>
    <definedName name="JobType_Scope7">[18]Scope7!$D$3</definedName>
    <definedName name="JobType_Scope8">[19]Scope8!$D$3</definedName>
    <definedName name="JobType_Scope9">[20]Scope9!$D$3</definedName>
    <definedName name="_xlnm.Print_Area" localSheetId="1">Print_Template!$A$1:$H$46</definedName>
    <definedName name="PrintArea_Template">Print_Template!$A$1:$H$46</definedName>
    <definedName name="PrintDestRange">Print_Template!$L$14:$S$33</definedName>
    <definedName name="ProjectTotals">'Equipment Reference'!$H$3:$H$486</definedName>
    <definedName name="RefreshSourceRange">'Equipment Reference'!$L$4:$M$23</definedName>
    <definedName name="ScopeTtlAdj_Scope1">[1]Scope1!$P$4</definedName>
    <definedName name="ScopeTtlAdj_Scope10">[2]Scope10!$P$4</definedName>
    <definedName name="ScopeTtlAdj_Scope11">[3]Scope11!$P$4</definedName>
    <definedName name="ScopeTtlAdj_Scope12">[4]Scope12!$P$4</definedName>
    <definedName name="ScopeTtlAdj_Scope13">[5]Scope13!$P$4</definedName>
    <definedName name="ScopeTtlAdj_Scope14">[6]Scope14!$P$4</definedName>
    <definedName name="ScopeTtlAdj_Scope15">[7]Scope15!$P$4</definedName>
    <definedName name="ScopeTtlAdj_Scope16">[8]Scope16!$P$4</definedName>
    <definedName name="ScopeTtlAdj_Scope17">[9]Scope17!$P$4</definedName>
    <definedName name="ScopeTtlAdj_Scope18">[10]Scope18!$P$4</definedName>
    <definedName name="ScopeTtlAdj_Scope19">[11]Scope19!$P$4</definedName>
    <definedName name="ScopeTtlAdj_Scope2">[12]Scope2!$P$4</definedName>
    <definedName name="ScopeTtlAdj_Scope20">[13]Scope20!$P$4</definedName>
    <definedName name="ScopeTtlAdj_Scope3">[14]Scope3!$P$4</definedName>
    <definedName name="ScopeTtlAdj_Scope4">[15]Scope4!$P$4</definedName>
    <definedName name="ScopeTtlAdj_Scope5">[16]Scope5!$P$4</definedName>
    <definedName name="ScopeTtlAdj_Scope6">[17]Scope6!$P$4</definedName>
    <definedName name="ScopeTtlAdj_Scope7">[18]Scope7!$P$4</definedName>
    <definedName name="ScopeTtlAdj_Scope8">[19]Scope8!$P$4</definedName>
    <definedName name="ScopeTtlAdj_Scope9">[20]Scope9!$P$4</definedName>
    <definedName name="TotalOnsiteHoursAdjRange">'Equipment Reference'!$R$3:$R$8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3" i="22" l="1"/>
  <c r="M22" i="22"/>
  <c r="M21" i="22"/>
  <c r="M20" i="22"/>
  <c r="M19" i="22"/>
  <c r="M18" i="22"/>
  <c r="M17" i="22"/>
  <c r="M9" i="22"/>
  <c r="M8" i="22"/>
  <c r="M16" i="22"/>
  <c r="M15" i="22"/>
  <c r="M14" i="22"/>
  <c r="M13" i="22"/>
  <c r="M11" i="22"/>
  <c r="M12" i="22"/>
  <c r="M10" i="22"/>
  <c r="M7" i="22"/>
  <c r="M6" i="22"/>
  <c r="M5" i="22"/>
  <c r="M4" i="22"/>
  <c r="M3" i="22" l="1"/>
  <c r="I41" i="9" l="1"/>
  <c r="J41" i="9" s="1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J47" i="9" s="1"/>
  <c r="I46" i="9"/>
  <c r="J46" i="9" s="1"/>
  <c r="I45" i="9"/>
  <c r="J45" i="9" s="1"/>
  <c r="I44" i="9"/>
  <c r="J44" i="9" s="1"/>
  <c r="I43" i="9"/>
  <c r="J43" i="9" s="1"/>
  <c r="I42" i="9"/>
  <c r="J42" i="9" s="1"/>
  <c r="I40" i="9"/>
  <c r="J40" i="9" s="1"/>
  <c r="I39" i="9"/>
  <c r="J39" i="9" s="1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J48" i="9"/>
  <c r="J38" i="9"/>
  <c r="D47" i="9" l="1"/>
  <c r="J37" i="9"/>
  <c r="D37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6" i="9"/>
  <c r="D45" i="9"/>
  <c r="D44" i="9"/>
  <c r="D43" i="9"/>
  <c r="D42" i="9"/>
  <c r="D41" i="9"/>
  <c r="D40" i="9"/>
  <c r="D39" i="9"/>
  <c r="D38" i="9"/>
  <c r="D36" i="9"/>
  <c r="D35" i="9"/>
  <c r="D34" i="9"/>
  <c r="D33" i="9"/>
  <c r="D32" i="9"/>
  <c r="D31" i="9"/>
  <c r="J31" i="9"/>
  <c r="S8" i="22" l="1"/>
  <c r="S7" i="22"/>
  <c r="T6" i="22"/>
  <c r="T5" i="22"/>
  <c r="U4" i="22"/>
  <c r="U3" i="22"/>
  <c r="M14" i="9" l="1"/>
  <c r="M14" i="48"/>
  <c r="M14" i="47"/>
  <c r="M14" i="46"/>
  <c r="M14" i="45"/>
  <c r="M14" i="44"/>
  <c r="M14" i="43"/>
  <c r="M14" i="42"/>
  <c r="M14" i="41"/>
  <c r="M14" i="40"/>
  <c r="M14" i="39"/>
  <c r="M14" i="38"/>
  <c r="M14" i="37"/>
  <c r="M14" i="36"/>
  <c r="M14" i="35"/>
  <c r="M14" i="34"/>
  <c r="M14" i="33"/>
  <c r="M14" i="32"/>
  <c r="M14" i="31"/>
  <c r="M14" i="30"/>
  <c r="J488" i="48"/>
  <c r="I488" i="48"/>
  <c r="D488" i="48"/>
  <c r="J487" i="48"/>
  <c r="I487" i="48"/>
  <c r="D487" i="48"/>
  <c r="J486" i="48"/>
  <c r="I486" i="48"/>
  <c r="D486" i="48"/>
  <c r="J485" i="48"/>
  <c r="I485" i="48"/>
  <c r="D485" i="48"/>
  <c r="J484" i="48"/>
  <c r="I484" i="48"/>
  <c r="D484" i="48"/>
  <c r="J483" i="48"/>
  <c r="I483" i="48"/>
  <c r="D483" i="48"/>
  <c r="J482" i="48"/>
  <c r="I482" i="48"/>
  <c r="D482" i="48"/>
  <c r="J481" i="48"/>
  <c r="I481" i="48"/>
  <c r="D481" i="48"/>
  <c r="J480" i="48"/>
  <c r="I480" i="48"/>
  <c r="D480" i="48"/>
  <c r="J479" i="48"/>
  <c r="I479" i="48"/>
  <c r="D479" i="48"/>
  <c r="J478" i="48"/>
  <c r="I478" i="48"/>
  <c r="D478" i="48"/>
  <c r="J477" i="48"/>
  <c r="I477" i="48"/>
  <c r="D477" i="48"/>
  <c r="J476" i="48"/>
  <c r="I476" i="48"/>
  <c r="D476" i="48"/>
  <c r="J475" i="48"/>
  <c r="I475" i="48"/>
  <c r="D475" i="48"/>
  <c r="J474" i="48"/>
  <c r="I474" i="48"/>
  <c r="D474" i="48"/>
  <c r="J473" i="48"/>
  <c r="I473" i="48"/>
  <c r="D473" i="48"/>
  <c r="J472" i="48"/>
  <c r="I472" i="48"/>
  <c r="D472" i="48"/>
  <c r="J471" i="48"/>
  <c r="I471" i="48"/>
  <c r="D471" i="48"/>
  <c r="J470" i="48"/>
  <c r="I470" i="48"/>
  <c r="D470" i="48"/>
  <c r="J469" i="48"/>
  <c r="I469" i="48"/>
  <c r="D469" i="48"/>
  <c r="J468" i="48"/>
  <c r="I468" i="48"/>
  <c r="D468" i="48"/>
  <c r="J467" i="48"/>
  <c r="I467" i="48"/>
  <c r="D467" i="48"/>
  <c r="J466" i="48"/>
  <c r="I466" i="48"/>
  <c r="D466" i="48"/>
  <c r="J465" i="48"/>
  <c r="I465" i="48"/>
  <c r="D465" i="48"/>
  <c r="J464" i="48"/>
  <c r="I464" i="48"/>
  <c r="D464" i="48"/>
  <c r="J463" i="48"/>
  <c r="I463" i="48"/>
  <c r="D463" i="48"/>
  <c r="J462" i="48"/>
  <c r="I462" i="48"/>
  <c r="D462" i="48"/>
  <c r="J461" i="48"/>
  <c r="I461" i="48"/>
  <c r="D461" i="48"/>
  <c r="J460" i="48"/>
  <c r="I460" i="48"/>
  <c r="D460" i="48"/>
  <c r="J459" i="48"/>
  <c r="I459" i="48"/>
  <c r="D459" i="48"/>
  <c r="J458" i="48"/>
  <c r="I458" i="48"/>
  <c r="D458" i="48"/>
  <c r="J457" i="48"/>
  <c r="I457" i="48"/>
  <c r="D457" i="48"/>
  <c r="J456" i="48"/>
  <c r="I456" i="48"/>
  <c r="D456" i="48"/>
  <c r="J455" i="48"/>
  <c r="I455" i="48"/>
  <c r="D455" i="48"/>
  <c r="J454" i="48"/>
  <c r="I454" i="48"/>
  <c r="D454" i="48"/>
  <c r="J453" i="48"/>
  <c r="I453" i="48"/>
  <c r="D453" i="48"/>
  <c r="J452" i="48"/>
  <c r="I452" i="48"/>
  <c r="D452" i="48"/>
  <c r="J451" i="48"/>
  <c r="I451" i="48"/>
  <c r="D451" i="48"/>
  <c r="J450" i="48"/>
  <c r="I450" i="48"/>
  <c r="D450" i="48"/>
  <c r="J449" i="48"/>
  <c r="I449" i="48"/>
  <c r="D449" i="48"/>
  <c r="J448" i="48"/>
  <c r="I448" i="48"/>
  <c r="D448" i="48"/>
  <c r="J447" i="48"/>
  <c r="I447" i="48"/>
  <c r="D447" i="48"/>
  <c r="J446" i="48"/>
  <c r="I446" i="48"/>
  <c r="D446" i="48"/>
  <c r="J445" i="48"/>
  <c r="I445" i="48"/>
  <c r="D445" i="48"/>
  <c r="J444" i="48"/>
  <c r="I444" i="48"/>
  <c r="D444" i="48"/>
  <c r="J443" i="48"/>
  <c r="I443" i="48"/>
  <c r="D443" i="48"/>
  <c r="J442" i="48"/>
  <c r="I442" i="48"/>
  <c r="D442" i="48"/>
  <c r="J441" i="48"/>
  <c r="I441" i="48"/>
  <c r="D441" i="48"/>
  <c r="J440" i="48"/>
  <c r="I440" i="48"/>
  <c r="D440" i="48"/>
  <c r="J439" i="48"/>
  <c r="I439" i="48"/>
  <c r="D439" i="48"/>
  <c r="J438" i="48"/>
  <c r="I438" i="48"/>
  <c r="D438" i="48"/>
  <c r="J437" i="48"/>
  <c r="I437" i="48"/>
  <c r="D437" i="48"/>
  <c r="J436" i="48"/>
  <c r="I436" i="48"/>
  <c r="D436" i="48"/>
  <c r="J435" i="48"/>
  <c r="I435" i="48"/>
  <c r="D435" i="48"/>
  <c r="J434" i="48"/>
  <c r="I434" i="48"/>
  <c r="D434" i="48"/>
  <c r="J433" i="48"/>
  <c r="I433" i="48"/>
  <c r="D433" i="48"/>
  <c r="J432" i="48"/>
  <c r="I432" i="48"/>
  <c r="D432" i="48"/>
  <c r="J431" i="48"/>
  <c r="I431" i="48"/>
  <c r="D431" i="48"/>
  <c r="J430" i="48"/>
  <c r="I430" i="48"/>
  <c r="D430" i="48"/>
  <c r="J429" i="48"/>
  <c r="I429" i="48"/>
  <c r="D429" i="48"/>
  <c r="J428" i="48"/>
  <c r="I428" i="48"/>
  <c r="D428" i="48"/>
  <c r="J427" i="48"/>
  <c r="I427" i="48"/>
  <c r="D427" i="48"/>
  <c r="J426" i="48"/>
  <c r="I426" i="48"/>
  <c r="D426" i="48"/>
  <c r="J425" i="48"/>
  <c r="I425" i="48"/>
  <c r="D425" i="48"/>
  <c r="J424" i="48"/>
  <c r="I424" i="48"/>
  <c r="D424" i="48"/>
  <c r="J423" i="48"/>
  <c r="I423" i="48"/>
  <c r="D423" i="48"/>
  <c r="J422" i="48"/>
  <c r="I422" i="48"/>
  <c r="D422" i="48"/>
  <c r="J421" i="48"/>
  <c r="I421" i="48"/>
  <c r="D421" i="48"/>
  <c r="J420" i="48"/>
  <c r="I420" i="48"/>
  <c r="D420" i="48"/>
  <c r="J419" i="48"/>
  <c r="I419" i="48"/>
  <c r="D419" i="48"/>
  <c r="J418" i="48"/>
  <c r="I418" i="48"/>
  <c r="D418" i="48"/>
  <c r="J417" i="48"/>
  <c r="I417" i="48"/>
  <c r="D417" i="48"/>
  <c r="J416" i="48"/>
  <c r="I416" i="48"/>
  <c r="D416" i="48"/>
  <c r="J415" i="48"/>
  <c r="I415" i="48"/>
  <c r="D415" i="48"/>
  <c r="J414" i="48"/>
  <c r="I414" i="48"/>
  <c r="D414" i="48"/>
  <c r="J413" i="48"/>
  <c r="I413" i="48"/>
  <c r="D413" i="48"/>
  <c r="J412" i="48"/>
  <c r="I412" i="48"/>
  <c r="D412" i="48"/>
  <c r="J411" i="48"/>
  <c r="I411" i="48"/>
  <c r="D411" i="48"/>
  <c r="J410" i="48"/>
  <c r="I410" i="48"/>
  <c r="D410" i="48"/>
  <c r="J409" i="48"/>
  <c r="I409" i="48"/>
  <c r="D409" i="48"/>
  <c r="J408" i="48"/>
  <c r="I408" i="48"/>
  <c r="D408" i="48"/>
  <c r="J407" i="48"/>
  <c r="I407" i="48"/>
  <c r="D407" i="48"/>
  <c r="J406" i="48"/>
  <c r="I406" i="48"/>
  <c r="D406" i="48"/>
  <c r="J405" i="48"/>
  <c r="I405" i="48"/>
  <c r="D405" i="48"/>
  <c r="J404" i="48"/>
  <c r="I404" i="48"/>
  <c r="D404" i="48"/>
  <c r="J403" i="48"/>
  <c r="I403" i="48"/>
  <c r="D403" i="48"/>
  <c r="J402" i="48"/>
  <c r="I402" i="48"/>
  <c r="D402" i="48"/>
  <c r="J401" i="48"/>
  <c r="I401" i="48"/>
  <c r="D401" i="48"/>
  <c r="J400" i="48"/>
  <c r="I400" i="48"/>
  <c r="D400" i="48"/>
  <c r="J399" i="48"/>
  <c r="I399" i="48"/>
  <c r="D399" i="48"/>
  <c r="J398" i="48"/>
  <c r="I398" i="48"/>
  <c r="D398" i="48"/>
  <c r="J397" i="48"/>
  <c r="I397" i="48"/>
  <c r="D397" i="48"/>
  <c r="J396" i="48"/>
  <c r="I396" i="48"/>
  <c r="D396" i="48"/>
  <c r="J395" i="48"/>
  <c r="I395" i="48"/>
  <c r="D395" i="48"/>
  <c r="J394" i="48"/>
  <c r="I394" i="48"/>
  <c r="D394" i="48"/>
  <c r="J393" i="48"/>
  <c r="I393" i="48"/>
  <c r="D393" i="48"/>
  <c r="J392" i="48"/>
  <c r="I392" i="48"/>
  <c r="D392" i="48"/>
  <c r="J391" i="48"/>
  <c r="I391" i="48"/>
  <c r="D391" i="48"/>
  <c r="J390" i="48"/>
  <c r="I390" i="48"/>
  <c r="D390" i="48"/>
  <c r="J389" i="48"/>
  <c r="I389" i="48"/>
  <c r="D389" i="48"/>
  <c r="J388" i="48"/>
  <c r="I388" i="48"/>
  <c r="D388" i="48"/>
  <c r="J387" i="48"/>
  <c r="I387" i="48"/>
  <c r="D387" i="48"/>
  <c r="J386" i="48"/>
  <c r="I386" i="48"/>
  <c r="D386" i="48"/>
  <c r="J385" i="48"/>
  <c r="I385" i="48"/>
  <c r="D385" i="48"/>
  <c r="J384" i="48"/>
  <c r="I384" i="48"/>
  <c r="D384" i="48"/>
  <c r="J383" i="48"/>
  <c r="I383" i="48"/>
  <c r="D383" i="48"/>
  <c r="J382" i="48"/>
  <c r="I382" i="48"/>
  <c r="D382" i="48"/>
  <c r="J381" i="48"/>
  <c r="I381" i="48"/>
  <c r="D381" i="48"/>
  <c r="J380" i="48"/>
  <c r="I380" i="48"/>
  <c r="D380" i="48"/>
  <c r="J379" i="48"/>
  <c r="I379" i="48"/>
  <c r="D379" i="48"/>
  <c r="J378" i="48"/>
  <c r="I378" i="48"/>
  <c r="D378" i="48"/>
  <c r="J377" i="48"/>
  <c r="I377" i="48"/>
  <c r="D377" i="48"/>
  <c r="J376" i="48"/>
  <c r="I376" i="48"/>
  <c r="D376" i="48"/>
  <c r="J375" i="48"/>
  <c r="I375" i="48"/>
  <c r="D375" i="48"/>
  <c r="J374" i="48"/>
  <c r="I374" i="48"/>
  <c r="D374" i="48"/>
  <c r="J373" i="48"/>
  <c r="I373" i="48"/>
  <c r="D373" i="48"/>
  <c r="J372" i="48"/>
  <c r="I372" i="48"/>
  <c r="D372" i="48"/>
  <c r="J371" i="48"/>
  <c r="I371" i="48"/>
  <c r="D371" i="48"/>
  <c r="J370" i="48"/>
  <c r="I370" i="48"/>
  <c r="D370" i="48"/>
  <c r="J369" i="48"/>
  <c r="I369" i="48"/>
  <c r="D369" i="48"/>
  <c r="J368" i="48"/>
  <c r="I368" i="48"/>
  <c r="D368" i="48"/>
  <c r="J367" i="48"/>
  <c r="I367" i="48"/>
  <c r="D367" i="48"/>
  <c r="J366" i="48"/>
  <c r="I366" i="48"/>
  <c r="D366" i="48"/>
  <c r="J365" i="48"/>
  <c r="I365" i="48"/>
  <c r="D365" i="48"/>
  <c r="J364" i="48"/>
  <c r="I364" i="48"/>
  <c r="D364" i="48"/>
  <c r="J363" i="48"/>
  <c r="I363" i="48"/>
  <c r="D363" i="48"/>
  <c r="J362" i="48"/>
  <c r="I362" i="48"/>
  <c r="D362" i="48"/>
  <c r="J361" i="48"/>
  <c r="I361" i="48"/>
  <c r="D361" i="48"/>
  <c r="J360" i="48"/>
  <c r="I360" i="48"/>
  <c r="D360" i="48"/>
  <c r="J359" i="48"/>
  <c r="I359" i="48"/>
  <c r="D359" i="48"/>
  <c r="J358" i="48"/>
  <c r="I358" i="48"/>
  <c r="D358" i="48"/>
  <c r="J357" i="48"/>
  <c r="I357" i="48"/>
  <c r="D357" i="48"/>
  <c r="J356" i="48"/>
  <c r="I356" i="48"/>
  <c r="D356" i="48"/>
  <c r="J355" i="48"/>
  <c r="I355" i="48"/>
  <c r="D355" i="48"/>
  <c r="J354" i="48"/>
  <c r="I354" i="48"/>
  <c r="D354" i="48"/>
  <c r="J353" i="48"/>
  <c r="I353" i="48"/>
  <c r="D353" i="48"/>
  <c r="J352" i="48"/>
  <c r="I352" i="48"/>
  <c r="D352" i="48"/>
  <c r="J351" i="48"/>
  <c r="I351" i="48"/>
  <c r="D351" i="48"/>
  <c r="J350" i="48"/>
  <c r="I350" i="48"/>
  <c r="D350" i="48"/>
  <c r="J349" i="48"/>
  <c r="I349" i="48"/>
  <c r="D349" i="48"/>
  <c r="J348" i="48"/>
  <c r="I348" i="48"/>
  <c r="D348" i="48"/>
  <c r="J347" i="48"/>
  <c r="I347" i="48"/>
  <c r="D347" i="48"/>
  <c r="J346" i="48"/>
  <c r="I346" i="48"/>
  <c r="D346" i="48"/>
  <c r="J345" i="48"/>
  <c r="I345" i="48"/>
  <c r="D345" i="48"/>
  <c r="J344" i="48"/>
  <c r="I344" i="48"/>
  <c r="D344" i="48"/>
  <c r="J343" i="48"/>
  <c r="I343" i="48"/>
  <c r="D343" i="48"/>
  <c r="J342" i="48"/>
  <c r="I342" i="48"/>
  <c r="D342" i="48"/>
  <c r="J341" i="48"/>
  <c r="I341" i="48"/>
  <c r="D341" i="48"/>
  <c r="J340" i="48"/>
  <c r="I340" i="48"/>
  <c r="D340" i="48"/>
  <c r="J339" i="48"/>
  <c r="I339" i="48"/>
  <c r="D339" i="48"/>
  <c r="J338" i="48"/>
  <c r="I338" i="48"/>
  <c r="D338" i="48"/>
  <c r="J337" i="48"/>
  <c r="I337" i="48"/>
  <c r="D337" i="48"/>
  <c r="J336" i="48"/>
  <c r="I336" i="48"/>
  <c r="D336" i="48"/>
  <c r="J335" i="48"/>
  <c r="I335" i="48"/>
  <c r="D335" i="48"/>
  <c r="J334" i="48"/>
  <c r="I334" i="48"/>
  <c r="D334" i="48"/>
  <c r="J333" i="48"/>
  <c r="I333" i="48"/>
  <c r="D333" i="48"/>
  <c r="J332" i="48"/>
  <c r="I332" i="48"/>
  <c r="D332" i="48"/>
  <c r="J331" i="48"/>
  <c r="I331" i="48"/>
  <c r="D331" i="48"/>
  <c r="J330" i="48"/>
  <c r="I330" i="48"/>
  <c r="D330" i="48"/>
  <c r="J329" i="48"/>
  <c r="I329" i="48"/>
  <c r="D329" i="48"/>
  <c r="J328" i="48"/>
  <c r="I328" i="48"/>
  <c r="D328" i="48"/>
  <c r="J327" i="48"/>
  <c r="I327" i="48"/>
  <c r="D327" i="48"/>
  <c r="J326" i="48"/>
  <c r="I326" i="48"/>
  <c r="D326" i="48"/>
  <c r="J325" i="48"/>
  <c r="I325" i="48"/>
  <c r="D325" i="48"/>
  <c r="J324" i="48"/>
  <c r="I324" i="48"/>
  <c r="D324" i="48"/>
  <c r="J323" i="48"/>
  <c r="I323" i="48"/>
  <c r="D323" i="48"/>
  <c r="J322" i="48"/>
  <c r="I322" i="48"/>
  <c r="D322" i="48"/>
  <c r="J321" i="48"/>
  <c r="I321" i="48"/>
  <c r="D321" i="48"/>
  <c r="J320" i="48"/>
  <c r="I320" i="48"/>
  <c r="D320" i="48"/>
  <c r="J319" i="48"/>
  <c r="I319" i="48"/>
  <c r="D319" i="48"/>
  <c r="J318" i="48"/>
  <c r="I318" i="48"/>
  <c r="D318" i="48"/>
  <c r="J317" i="48"/>
  <c r="I317" i="48"/>
  <c r="D317" i="48"/>
  <c r="J316" i="48"/>
  <c r="I316" i="48"/>
  <c r="D316" i="48"/>
  <c r="J315" i="48"/>
  <c r="I315" i="48"/>
  <c r="D315" i="48"/>
  <c r="J314" i="48"/>
  <c r="I314" i="48"/>
  <c r="D314" i="48"/>
  <c r="J313" i="48"/>
  <c r="I313" i="48"/>
  <c r="D313" i="48"/>
  <c r="J312" i="48"/>
  <c r="I312" i="48"/>
  <c r="D312" i="48"/>
  <c r="J311" i="48"/>
  <c r="I311" i="48"/>
  <c r="D311" i="48"/>
  <c r="J310" i="48"/>
  <c r="I310" i="48"/>
  <c r="D310" i="48"/>
  <c r="J309" i="48"/>
  <c r="I309" i="48"/>
  <c r="D309" i="48"/>
  <c r="J308" i="48"/>
  <c r="I308" i="48"/>
  <c r="D308" i="48"/>
  <c r="J307" i="48"/>
  <c r="I307" i="48"/>
  <c r="D307" i="48"/>
  <c r="J306" i="48"/>
  <c r="I306" i="48"/>
  <c r="D306" i="48"/>
  <c r="J305" i="48"/>
  <c r="I305" i="48"/>
  <c r="D305" i="48"/>
  <c r="J304" i="48"/>
  <c r="I304" i="48"/>
  <c r="D304" i="48"/>
  <c r="J303" i="48"/>
  <c r="I303" i="48"/>
  <c r="D303" i="48"/>
  <c r="J302" i="48"/>
  <c r="I302" i="48"/>
  <c r="D302" i="48"/>
  <c r="J301" i="48"/>
  <c r="I301" i="48"/>
  <c r="D301" i="48"/>
  <c r="J300" i="48"/>
  <c r="I300" i="48"/>
  <c r="D300" i="48"/>
  <c r="J299" i="48"/>
  <c r="I299" i="48"/>
  <c r="D299" i="48"/>
  <c r="J298" i="48"/>
  <c r="I298" i="48"/>
  <c r="D298" i="48"/>
  <c r="J297" i="48"/>
  <c r="I297" i="48"/>
  <c r="D297" i="48"/>
  <c r="J296" i="48"/>
  <c r="I296" i="48"/>
  <c r="D296" i="48"/>
  <c r="J295" i="48"/>
  <c r="I295" i="48"/>
  <c r="D295" i="48"/>
  <c r="J294" i="48"/>
  <c r="I294" i="48"/>
  <c r="D294" i="48"/>
  <c r="J293" i="48"/>
  <c r="I293" i="48"/>
  <c r="D293" i="48"/>
  <c r="J292" i="48"/>
  <c r="I292" i="48"/>
  <c r="D292" i="48"/>
  <c r="J291" i="48"/>
  <c r="I291" i="48"/>
  <c r="D291" i="48"/>
  <c r="J290" i="48"/>
  <c r="I290" i="48"/>
  <c r="D290" i="48"/>
  <c r="J289" i="48"/>
  <c r="I289" i="48"/>
  <c r="D289" i="48"/>
  <c r="J288" i="48"/>
  <c r="I288" i="48"/>
  <c r="D288" i="48"/>
  <c r="J287" i="48"/>
  <c r="I287" i="48"/>
  <c r="D287" i="48"/>
  <c r="J286" i="48"/>
  <c r="I286" i="48"/>
  <c r="D286" i="48"/>
  <c r="J285" i="48"/>
  <c r="I285" i="48"/>
  <c r="D285" i="48"/>
  <c r="J284" i="48"/>
  <c r="I284" i="48"/>
  <c r="D284" i="48"/>
  <c r="J283" i="48"/>
  <c r="I283" i="48"/>
  <c r="D283" i="48"/>
  <c r="J282" i="48"/>
  <c r="I282" i="48"/>
  <c r="D282" i="48"/>
  <c r="J281" i="48"/>
  <c r="I281" i="48"/>
  <c r="D281" i="48"/>
  <c r="J280" i="48"/>
  <c r="I280" i="48"/>
  <c r="D280" i="48"/>
  <c r="J279" i="48"/>
  <c r="I279" i="48"/>
  <c r="D279" i="48"/>
  <c r="J278" i="48"/>
  <c r="I278" i="48"/>
  <c r="D278" i="48"/>
  <c r="J277" i="48"/>
  <c r="I277" i="48"/>
  <c r="D277" i="48"/>
  <c r="J276" i="48"/>
  <c r="I276" i="48"/>
  <c r="D276" i="48"/>
  <c r="J275" i="48"/>
  <c r="I275" i="48"/>
  <c r="D275" i="48"/>
  <c r="J274" i="48"/>
  <c r="I274" i="48"/>
  <c r="D274" i="48"/>
  <c r="J273" i="48"/>
  <c r="I273" i="48"/>
  <c r="D273" i="48"/>
  <c r="J272" i="48"/>
  <c r="I272" i="48"/>
  <c r="D272" i="48"/>
  <c r="J271" i="48"/>
  <c r="I271" i="48"/>
  <c r="D271" i="48"/>
  <c r="J270" i="48"/>
  <c r="I270" i="48"/>
  <c r="D270" i="48"/>
  <c r="J269" i="48"/>
  <c r="I269" i="48"/>
  <c r="D269" i="48"/>
  <c r="J268" i="48"/>
  <c r="I268" i="48"/>
  <c r="D268" i="48"/>
  <c r="J267" i="48"/>
  <c r="I267" i="48"/>
  <c r="D267" i="48"/>
  <c r="J266" i="48"/>
  <c r="I266" i="48"/>
  <c r="D266" i="48"/>
  <c r="J265" i="48"/>
  <c r="I265" i="48"/>
  <c r="D265" i="48"/>
  <c r="J264" i="48"/>
  <c r="I264" i="48"/>
  <c r="D264" i="48"/>
  <c r="J263" i="48"/>
  <c r="I263" i="48"/>
  <c r="D263" i="48"/>
  <c r="J262" i="48"/>
  <c r="I262" i="48"/>
  <c r="D262" i="48"/>
  <c r="J261" i="48"/>
  <c r="I261" i="48"/>
  <c r="D261" i="48"/>
  <c r="J260" i="48"/>
  <c r="I260" i="48"/>
  <c r="D260" i="48"/>
  <c r="J259" i="48"/>
  <c r="I259" i="48"/>
  <c r="D259" i="48"/>
  <c r="J258" i="48"/>
  <c r="I258" i="48"/>
  <c r="D258" i="48"/>
  <c r="J257" i="48"/>
  <c r="I257" i="48"/>
  <c r="D257" i="48"/>
  <c r="J256" i="48"/>
  <c r="I256" i="48"/>
  <c r="D256" i="48"/>
  <c r="J255" i="48"/>
  <c r="I255" i="48"/>
  <c r="D255" i="48"/>
  <c r="J254" i="48"/>
  <c r="I254" i="48"/>
  <c r="D254" i="48"/>
  <c r="J253" i="48"/>
  <c r="I253" i="48"/>
  <c r="D253" i="48"/>
  <c r="J252" i="48"/>
  <c r="I252" i="48"/>
  <c r="D252" i="48"/>
  <c r="J251" i="48"/>
  <c r="I251" i="48"/>
  <c r="D251" i="48"/>
  <c r="J250" i="48"/>
  <c r="I250" i="48"/>
  <c r="D250" i="48"/>
  <c r="J249" i="48"/>
  <c r="I249" i="48"/>
  <c r="D249" i="48"/>
  <c r="J248" i="48"/>
  <c r="I248" i="48"/>
  <c r="D248" i="48"/>
  <c r="J247" i="48"/>
  <c r="I247" i="48"/>
  <c r="D247" i="48"/>
  <c r="J246" i="48"/>
  <c r="I246" i="48"/>
  <c r="D246" i="48"/>
  <c r="J245" i="48"/>
  <c r="I245" i="48"/>
  <c r="D245" i="48"/>
  <c r="J244" i="48"/>
  <c r="I244" i="48"/>
  <c r="D244" i="48"/>
  <c r="J243" i="48"/>
  <c r="I243" i="48"/>
  <c r="D243" i="48"/>
  <c r="J242" i="48"/>
  <c r="I242" i="48"/>
  <c r="D242" i="48"/>
  <c r="J241" i="48"/>
  <c r="I241" i="48"/>
  <c r="D241" i="48"/>
  <c r="J240" i="48"/>
  <c r="I240" i="48"/>
  <c r="D240" i="48"/>
  <c r="J239" i="48"/>
  <c r="I239" i="48"/>
  <c r="D239" i="48"/>
  <c r="J238" i="48"/>
  <c r="I238" i="48"/>
  <c r="D238" i="48"/>
  <c r="J237" i="48"/>
  <c r="I237" i="48"/>
  <c r="D237" i="48"/>
  <c r="J236" i="48"/>
  <c r="I236" i="48"/>
  <c r="D236" i="48"/>
  <c r="J235" i="48"/>
  <c r="I235" i="48"/>
  <c r="D235" i="48"/>
  <c r="J234" i="48"/>
  <c r="I234" i="48"/>
  <c r="D234" i="48"/>
  <c r="J233" i="48"/>
  <c r="I233" i="48"/>
  <c r="D233" i="48"/>
  <c r="J232" i="48"/>
  <c r="I232" i="48"/>
  <c r="D232" i="48"/>
  <c r="J231" i="48"/>
  <c r="I231" i="48"/>
  <c r="D231" i="48"/>
  <c r="J230" i="48"/>
  <c r="I230" i="48"/>
  <c r="D230" i="48"/>
  <c r="J229" i="48"/>
  <c r="I229" i="48"/>
  <c r="D229" i="48"/>
  <c r="J228" i="48"/>
  <c r="I228" i="48"/>
  <c r="D228" i="48"/>
  <c r="J227" i="48"/>
  <c r="I227" i="48"/>
  <c r="D227" i="48"/>
  <c r="J226" i="48"/>
  <c r="I226" i="48"/>
  <c r="D226" i="48"/>
  <c r="J225" i="48"/>
  <c r="I225" i="48"/>
  <c r="D225" i="48"/>
  <c r="J224" i="48"/>
  <c r="I224" i="48"/>
  <c r="D224" i="48"/>
  <c r="J223" i="48"/>
  <c r="I223" i="48"/>
  <c r="D223" i="48"/>
  <c r="J222" i="48"/>
  <c r="I222" i="48"/>
  <c r="D222" i="48"/>
  <c r="J221" i="48"/>
  <c r="I221" i="48"/>
  <c r="D221" i="48"/>
  <c r="J220" i="48"/>
  <c r="I220" i="48"/>
  <c r="D220" i="48"/>
  <c r="J219" i="48"/>
  <c r="I219" i="48"/>
  <c r="D219" i="48"/>
  <c r="J218" i="48"/>
  <c r="I218" i="48"/>
  <c r="D218" i="48"/>
  <c r="J217" i="48"/>
  <c r="I217" i="48"/>
  <c r="D217" i="48"/>
  <c r="J216" i="48"/>
  <c r="I216" i="48"/>
  <c r="D216" i="48"/>
  <c r="J215" i="48"/>
  <c r="I215" i="48"/>
  <c r="D215" i="48"/>
  <c r="J214" i="48"/>
  <c r="I214" i="48"/>
  <c r="D214" i="48"/>
  <c r="J213" i="48"/>
  <c r="I213" i="48"/>
  <c r="D213" i="48"/>
  <c r="J212" i="48"/>
  <c r="I212" i="48"/>
  <c r="D212" i="48"/>
  <c r="J211" i="48"/>
  <c r="I211" i="48"/>
  <c r="D211" i="48"/>
  <c r="J210" i="48"/>
  <c r="I210" i="48"/>
  <c r="D210" i="48"/>
  <c r="J209" i="48"/>
  <c r="I209" i="48"/>
  <c r="D209" i="48"/>
  <c r="J208" i="48"/>
  <c r="I208" i="48"/>
  <c r="D208" i="48"/>
  <c r="J207" i="48"/>
  <c r="I207" i="48"/>
  <c r="D207" i="48"/>
  <c r="J206" i="48"/>
  <c r="I206" i="48"/>
  <c r="D206" i="48"/>
  <c r="J205" i="48"/>
  <c r="I205" i="48"/>
  <c r="D205" i="48"/>
  <c r="J204" i="48"/>
  <c r="I204" i="48"/>
  <c r="D204" i="48"/>
  <c r="J203" i="48"/>
  <c r="I203" i="48"/>
  <c r="D203" i="48"/>
  <c r="J202" i="48"/>
  <c r="I202" i="48"/>
  <c r="D202" i="48"/>
  <c r="J201" i="48"/>
  <c r="I201" i="48"/>
  <c r="D201" i="48"/>
  <c r="J200" i="48"/>
  <c r="I200" i="48"/>
  <c r="D200" i="48"/>
  <c r="J199" i="48"/>
  <c r="I199" i="48"/>
  <c r="D199" i="48"/>
  <c r="J198" i="48"/>
  <c r="I198" i="48"/>
  <c r="D198" i="48"/>
  <c r="J197" i="48"/>
  <c r="I197" i="48"/>
  <c r="D197" i="48"/>
  <c r="J196" i="48"/>
  <c r="I196" i="48"/>
  <c r="D196" i="48"/>
  <c r="J195" i="48"/>
  <c r="I195" i="48"/>
  <c r="D195" i="48"/>
  <c r="J194" i="48"/>
  <c r="I194" i="48"/>
  <c r="D194" i="48"/>
  <c r="J193" i="48"/>
  <c r="I193" i="48"/>
  <c r="D193" i="48"/>
  <c r="J192" i="48"/>
  <c r="I192" i="48"/>
  <c r="D192" i="48"/>
  <c r="J191" i="48"/>
  <c r="I191" i="48"/>
  <c r="D191" i="48"/>
  <c r="J190" i="48"/>
  <c r="I190" i="48"/>
  <c r="D190" i="48"/>
  <c r="J189" i="48"/>
  <c r="I189" i="48"/>
  <c r="D189" i="48"/>
  <c r="J188" i="48"/>
  <c r="I188" i="48"/>
  <c r="D188" i="48"/>
  <c r="J187" i="48"/>
  <c r="I187" i="48"/>
  <c r="D187" i="48"/>
  <c r="J186" i="48"/>
  <c r="I186" i="48"/>
  <c r="D186" i="48"/>
  <c r="J185" i="48"/>
  <c r="I185" i="48"/>
  <c r="D185" i="48"/>
  <c r="J184" i="48"/>
  <c r="I184" i="48"/>
  <c r="D184" i="48"/>
  <c r="J183" i="48"/>
  <c r="I183" i="48"/>
  <c r="D183" i="48"/>
  <c r="J182" i="48"/>
  <c r="I182" i="48"/>
  <c r="D182" i="48"/>
  <c r="J181" i="48"/>
  <c r="I181" i="48"/>
  <c r="D181" i="48"/>
  <c r="J180" i="48"/>
  <c r="I180" i="48"/>
  <c r="D180" i="48"/>
  <c r="J179" i="48"/>
  <c r="I179" i="48"/>
  <c r="D179" i="48"/>
  <c r="J178" i="48"/>
  <c r="I178" i="48"/>
  <c r="D178" i="48"/>
  <c r="J177" i="48"/>
  <c r="I177" i="48"/>
  <c r="D177" i="48"/>
  <c r="J176" i="48"/>
  <c r="I176" i="48"/>
  <c r="D176" i="48"/>
  <c r="J175" i="48"/>
  <c r="I175" i="48"/>
  <c r="D175" i="48"/>
  <c r="J174" i="48"/>
  <c r="I174" i="48"/>
  <c r="D174" i="48"/>
  <c r="J173" i="48"/>
  <c r="I173" i="48"/>
  <c r="D173" i="48"/>
  <c r="J172" i="48"/>
  <c r="I172" i="48"/>
  <c r="D172" i="48"/>
  <c r="J171" i="48"/>
  <c r="I171" i="48"/>
  <c r="D171" i="48"/>
  <c r="J170" i="48"/>
  <c r="I170" i="48"/>
  <c r="D170" i="48"/>
  <c r="J169" i="48"/>
  <c r="I169" i="48"/>
  <c r="D169" i="48"/>
  <c r="J168" i="48"/>
  <c r="I168" i="48"/>
  <c r="D168" i="48"/>
  <c r="J167" i="48"/>
  <c r="I167" i="48"/>
  <c r="D167" i="48"/>
  <c r="J166" i="48"/>
  <c r="I166" i="48"/>
  <c r="D166" i="48"/>
  <c r="J165" i="48"/>
  <c r="I165" i="48"/>
  <c r="D165" i="48"/>
  <c r="J164" i="48"/>
  <c r="I164" i="48"/>
  <c r="D164" i="48"/>
  <c r="J163" i="48"/>
  <c r="I163" i="48"/>
  <c r="D163" i="48"/>
  <c r="J162" i="48"/>
  <c r="I162" i="48"/>
  <c r="D162" i="48"/>
  <c r="J161" i="48"/>
  <c r="I161" i="48"/>
  <c r="D161" i="48"/>
  <c r="J160" i="48"/>
  <c r="I160" i="48"/>
  <c r="D160" i="48"/>
  <c r="J159" i="48"/>
  <c r="I159" i="48"/>
  <c r="D159" i="48"/>
  <c r="J158" i="48"/>
  <c r="I158" i="48"/>
  <c r="D158" i="48"/>
  <c r="J157" i="48"/>
  <c r="I157" i="48"/>
  <c r="D157" i="48"/>
  <c r="J156" i="48"/>
  <c r="I156" i="48"/>
  <c r="D156" i="48"/>
  <c r="J155" i="48"/>
  <c r="I155" i="48"/>
  <c r="D155" i="48"/>
  <c r="J154" i="48"/>
  <c r="I154" i="48"/>
  <c r="D154" i="48"/>
  <c r="J153" i="48"/>
  <c r="I153" i="48"/>
  <c r="D153" i="48"/>
  <c r="J152" i="48"/>
  <c r="I152" i="48"/>
  <c r="D152" i="48"/>
  <c r="J151" i="48"/>
  <c r="I151" i="48"/>
  <c r="D151" i="48"/>
  <c r="J150" i="48"/>
  <c r="I150" i="48"/>
  <c r="D150" i="48"/>
  <c r="J149" i="48"/>
  <c r="I149" i="48"/>
  <c r="D149" i="48"/>
  <c r="J148" i="48"/>
  <c r="I148" i="48"/>
  <c r="D148" i="48"/>
  <c r="J147" i="48"/>
  <c r="I147" i="48"/>
  <c r="D147" i="48"/>
  <c r="J146" i="48"/>
  <c r="I146" i="48"/>
  <c r="D146" i="48"/>
  <c r="J145" i="48"/>
  <c r="I145" i="48"/>
  <c r="D145" i="48"/>
  <c r="J144" i="48"/>
  <c r="I144" i="48"/>
  <c r="D144" i="48"/>
  <c r="J143" i="48"/>
  <c r="I143" i="48"/>
  <c r="D143" i="48"/>
  <c r="J142" i="48"/>
  <c r="I142" i="48"/>
  <c r="D142" i="48"/>
  <c r="J141" i="48"/>
  <c r="I141" i="48"/>
  <c r="D141" i="48"/>
  <c r="J140" i="48"/>
  <c r="I140" i="48"/>
  <c r="D140" i="48"/>
  <c r="J139" i="48"/>
  <c r="I139" i="48"/>
  <c r="D139" i="48"/>
  <c r="J138" i="48"/>
  <c r="I138" i="48"/>
  <c r="D138" i="48"/>
  <c r="J137" i="48"/>
  <c r="I137" i="48"/>
  <c r="D137" i="48"/>
  <c r="J136" i="48"/>
  <c r="I136" i="48"/>
  <c r="D136" i="48"/>
  <c r="J135" i="48"/>
  <c r="I135" i="48"/>
  <c r="D135" i="48"/>
  <c r="J134" i="48"/>
  <c r="I134" i="48"/>
  <c r="D134" i="48"/>
  <c r="J133" i="48"/>
  <c r="I133" i="48"/>
  <c r="D133" i="48"/>
  <c r="J132" i="48"/>
  <c r="I132" i="48"/>
  <c r="D132" i="48"/>
  <c r="J131" i="48"/>
  <c r="I131" i="48"/>
  <c r="D131" i="48"/>
  <c r="J130" i="48"/>
  <c r="I130" i="48"/>
  <c r="D130" i="48"/>
  <c r="J129" i="48"/>
  <c r="I129" i="48"/>
  <c r="D129" i="48"/>
  <c r="J128" i="48"/>
  <c r="I128" i="48"/>
  <c r="D128" i="48"/>
  <c r="J127" i="48"/>
  <c r="I127" i="48"/>
  <c r="D127" i="48"/>
  <c r="J126" i="48"/>
  <c r="I126" i="48"/>
  <c r="D126" i="48"/>
  <c r="J125" i="48"/>
  <c r="I125" i="48"/>
  <c r="D125" i="48"/>
  <c r="J124" i="48"/>
  <c r="I124" i="48"/>
  <c r="D124" i="48"/>
  <c r="J123" i="48"/>
  <c r="I123" i="48"/>
  <c r="D123" i="48"/>
  <c r="J122" i="48"/>
  <c r="I122" i="48"/>
  <c r="D122" i="48"/>
  <c r="J121" i="48"/>
  <c r="I121" i="48"/>
  <c r="D121" i="48"/>
  <c r="J120" i="48"/>
  <c r="I120" i="48"/>
  <c r="D120" i="48"/>
  <c r="J119" i="48"/>
  <c r="I119" i="48"/>
  <c r="D119" i="48"/>
  <c r="J118" i="48"/>
  <c r="I118" i="48"/>
  <c r="D118" i="48"/>
  <c r="J117" i="48"/>
  <c r="I117" i="48"/>
  <c r="D117" i="48"/>
  <c r="J116" i="48"/>
  <c r="I116" i="48"/>
  <c r="D116" i="48"/>
  <c r="J115" i="48"/>
  <c r="I115" i="48"/>
  <c r="D115" i="48"/>
  <c r="J114" i="48"/>
  <c r="I114" i="48"/>
  <c r="D114" i="48"/>
  <c r="J113" i="48"/>
  <c r="I113" i="48"/>
  <c r="D113" i="48"/>
  <c r="J112" i="48"/>
  <c r="I112" i="48"/>
  <c r="D112" i="48"/>
  <c r="J111" i="48"/>
  <c r="I111" i="48"/>
  <c r="D111" i="48"/>
  <c r="J110" i="48"/>
  <c r="I110" i="48"/>
  <c r="D110" i="48"/>
  <c r="J109" i="48"/>
  <c r="I109" i="48"/>
  <c r="D109" i="48"/>
  <c r="J108" i="48"/>
  <c r="I108" i="48"/>
  <c r="D108" i="48"/>
  <c r="J107" i="48"/>
  <c r="I107" i="48"/>
  <c r="D107" i="48"/>
  <c r="J106" i="48"/>
  <c r="I106" i="48"/>
  <c r="D106" i="48"/>
  <c r="J105" i="48"/>
  <c r="I105" i="48"/>
  <c r="D105" i="48"/>
  <c r="J104" i="48"/>
  <c r="I104" i="48"/>
  <c r="D104" i="48"/>
  <c r="J103" i="48"/>
  <c r="I103" i="48"/>
  <c r="D103" i="48"/>
  <c r="J102" i="48"/>
  <c r="I102" i="48"/>
  <c r="D102" i="48"/>
  <c r="J101" i="48"/>
  <c r="I101" i="48"/>
  <c r="D101" i="48"/>
  <c r="J100" i="48"/>
  <c r="I100" i="48"/>
  <c r="D100" i="48"/>
  <c r="J99" i="48"/>
  <c r="I99" i="48"/>
  <c r="D99" i="48"/>
  <c r="J98" i="48"/>
  <c r="I98" i="48"/>
  <c r="D98" i="48"/>
  <c r="J97" i="48"/>
  <c r="I97" i="48"/>
  <c r="D97" i="48"/>
  <c r="J96" i="48"/>
  <c r="I96" i="48"/>
  <c r="D96" i="48"/>
  <c r="J95" i="48"/>
  <c r="I95" i="48"/>
  <c r="D95" i="48"/>
  <c r="J94" i="48"/>
  <c r="I94" i="48"/>
  <c r="D94" i="48"/>
  <c r="J93" i="48"/>
  <c r="I93" i="48"/>
  <c r="D93" i="48"/>
  <c r="J92" i="48"/>
  <c r="I92" i="48"/>
  <c r="D92" i="48"/>
  <c r="J91" i="48"/>
  <c r="I91" i="48"/>
  <c r="D91" i="48"/>
  <c r="J90" i="48"/>
  <c r="I90" i="48"/>
  <c r="D90" i="48"/>
  <c r="J89" i="48"/>
  <c r="I89" i="48"/>
  <c r="D89" i="48"/>
  <c r="J88" i="48"/>
  <c r="I88" i="48"/>
  <c r="D88" i="48"/>
  <c r="J87" i="48"/>
  <c r="I87" i="48"/>
  <c r="D87" i="48"/>
  <c r="J86" i="48"/>
  <c r="I86" i="48"/>
  <c r="D86" i="48"/>
  <c r="J85" i="48"/>
  <c r="I85" i="48"/>
  <c r="D85" i="48"/>
  <c r="J84" i="48"/>
  <c r="I84" i="48"/>
  <c r="D84" i="48"/>
  <c r="J83" i="48"/>
  <c r="I83" i="48"/>
  <c r="D83" i="48"/>
  <c r="J82" i="48"/>
  <c r="I82" i="48"/>
  <c r="D82" i="48"/>
  <c r="J81" i="48"/>
  <c r="I81" i="48"/>
  <c r="D81" i="48"/>
  <c r="J80" i="48"/>
  <c r="I80" i="48"/>
  <c r="D80" i="48"/>
  <c r="J79" i="48"/>
  <c r="I79" i="48"/>
  <c r="D79" i="48"/>
  <c r="J78" i="48"/>
  <c r="I78" i="48"/>
  <c r="D78" i="48"/>
  <c r="J77" i="48"/>
  <c r="I77" i="48"/>
  <c r="D77" i="48"/>
  <c r="J76" i="48"/>
  <c r="I76" i="48"/>
  <c r="D76" i="48"/>
  <c r="J75" i="48"/>
  <c r="I75" i="48"/>
  <c r="D75" i="48"/>
  <c r="J74" i="48"/>
  <c r="I74" i="48"/>
  <c r="D74" i="48"/>
  <c r="J73" i="48"/>
  <c r="I73" i="48"/>
  <c r="D73" i="48"/>
  <c r="J72" i="48"/>
  <c r="I72" i="48"/>
  <c r="D72" i="48"/>
  <c r="J71" i="48"/>
  <c r="I71" i="48"/>
  <c r="D71" i="48"/>
  <c r="J70" i="48"/>
  <c r="I70" i="48"/>
  <c r="D70" i="48"/>
  <c r="J69" i="48"/>
  <c r="I69" i="48"/>
  <c r="D69" i="48"/>
  <c r="J68" i="48"/>
  <c r="I68" i="48"/>
  <c r="D68" i="48"/>
  <c r="J67" i="48"/>
  <c r="I67" i="48"/>
  <c r="D67" i="48"/>
  <c r="J66" i="48"/>
  <c r="I66" i="48"/>
  <c r="D66" i="48"/>
  <c r="J65" i="48"/>
  <c r="I65" i="48"/>
  <c r="D65" i="48"/>
  <c r="J64" i="48"/>
  <c r="I64" i="48"/>
  <c r="D64" i="48"/>
  <c r="J63" i="48"/>
  <c r="I63" i="48"/>
  <c r="D63" i="48"/>
  <c r="J62" i="48"/>
  <c r="I62" i="48"/>
  <c r="D62" i="48"/>
  <c r="J61" i="48"/>
  <c r="I61" i="48"/>
  <c r="D61" i="48"/>
  <c r="J60" i="48"/>
  <c r="I60" i="48"/>
  <c r="D60" i="48"/>
  <c r="J59" i="48"/>
  <c r="I59" i="48"/>
  <c r="D59" i="48"/>
  <c r="J58" i="48"/>
  <c r="I58" i="48"/>
  <c r="D58" i="48"/>
  <c r="J57" i="48"/>
  <c r="I57" i="48"/>
  <c r="D57" i="48"/>
  <c r="J56" i="48"/>
  <c r="I56" i="48"/>
  <c r="D56" i="48"/>
  <c r="J55" i="48"/>
  <c r="I55" i="48"/>
  <c r="D55" i="48"/>
  <c r="J54" i="48"/>
  <c r="I54" i="48"/>
  <c r="D54" i="48"/>
  <c r="J53" i="48"/>
  <c r="I53" i="48"/>
  <c r="D53" i="48"/>
  <c r="J52" i="48"/>
  <c r="I52" i="48"/>
  <c r="D52" i="48"/>
  <c r="J51" i="48"/>
  <c r="I51" i="48"/>
  <c r="D51" i="48"/>
  <c r="J50" i="48"/>
  <c r="I50" i="48"/>
  <c r="D50" i="48"/>
  <c r="J49" i="48"/>
  <c r="I49" i="48"/>
  <c r="D49" i="48"/>
  <c r="J48" i="48"/>
  <c r="I48" i="48"/>
  <c r="D48" i="48"/>
  <c r="J47" i="48"/>
  <c r="I47" i="48"/>
  <c r="D47" i="48"/>
  <c r="J46" i="48"/>
  <c r="I46" i="48"/>
  <c r="D46" i="48"/>
  <c r="J45" i="48"/>
  <c r="I45" i="48"/>
  <c r="D45" i="48"/>
  <c r="J44" i="48"/>
  <c r="I44" i="48"/>
  <c r="D44" i="48"/>
  <c r="J43" i="48"/>
  <c r="I43" i="48"/>
  <c r="D43" i="48"/>
  <c r="J42" i="48"/>
  <c r="I42" i="48"/>
  <c r="D42" i="48"/>
  <c r="J41" i="48"/>
  <c r="I41" i="48"/>
  <c r="D41" i="48"/>
  <c r="J40" i="48"/>
  <c r="I40" i="48"/>
  <c r="D40" i="48"/>
  <c r="J39" i="48"/>
  <c r="I39" i="48"/>
  <c r="D39" i="48"/>
  <c r="J38" i="48"/>
  <c r="I38" i="48"/>
  <c r="D38" i="48"/>
  <c r="J37" i="48"/>
  <c r="I37" i="48"/>
  <c r="D37" i="48"/>
  <c r="J36" i="48"/>
  <c r="I36" i="48"/>
  <c r="D36" i="48"/>
  <c r="J35" i="48"/>
  <c r="I35" i="48"/>
  <c r="D35" i="48"/>
  <c r="J34" i="48"/>
  <c r="I34" i="48"/>
  <c r="D34" i="48"/>
  <c r="P33" i="48"/>
  <c r="J33" i="48"/>
  <c r="I33" i="48"/>
  <c r="D33" i="48"/>
  <c r="P32" i="48"/>
  <c r="J32" i="48"/>
  <c r="I32" i="48"/>
  <c r="D32" i="48"/>
  <c r="P31" i="48"/>
  <c r="J31" i="48"/>
  <c r="I31" i="48"/>
  <c r="D31" i="48"/>
  <c r="P30" i="48"/>
  <c r="J30" i="48"/>
  <c r="I30" i="48"/>
  <c r="D30" i="48"/>
  <c r="P29" i="48"/>
  <c r="J29" i="48"/>
  <c r="I29" i="48"/>
  <c r="D29" i="48"/>
  <c r="P28" i="48"/>
  <c r="J28" i="48"/>
  <c r="I28" i="48"/>
  <c r="D28" i="48"/>
  <c r="J27" i="48"/>
  <c r="I27" i="48"/>
  <c r="D27" i="48"/>
  <c r="P26" i="48"/>
  <c r="J26" i="48"/>
  <c r="I26" i="48"/>
  <c r="D26" i="48"/>
  <c r="P25" i="48"/>
  <c r="J25" i="48"/>
  <c r="I25" i="48"/>
  <c r="D25" i="48"/>
  <c r="P24" i="48"/>
  <c r="J24" i="48"/>
  <c r="I24" i="48"/>
  <c r="D24" i="48"/>
  <c r="P23" i="48"/>
  <c r="J23" i="48"/>
  <c r="I23" i="48"/>
  <c r="D23" i="48"/>
  <c r="P22" i="48"/>
  <c r="J22" i="48"/>
  <c r="I22" i="48"/>
  <c r="D22" i="48"/>
  <c r="P21" i="48"/>
  <c r="J21" i="48"/>
  <c r="I21" i="48"/>
  <c r="D21" i="48"/>
  <c r="J20" i="48"/>
  <c r="I20" i="48"/>
  <c r="D20" i="48"/>
  <c r="M19" i="48"/>
  <c r="J19" i="48"/>
  <c r="I19" i="48"/>
  <c r="D19" i="48"/>
  <c r="J18" i="48"/>
  <c r="I18" i="48"/>
  <c r="D18" i="48"/>
  <c r="J17" i="48"/>
  <c r="I17" i="48"/>
  <c r="D17" i="48"/>
  <c r="J16" i="48"/>
  <c r="I16" i="48"/>
  <c r="D16" i="48"/>
  <c r="J15" i="48"/>
  <c r="I15" i="48"/>
  <c r="D15" i="48"/>
  <c r="J14" i="48"/>
  <c r="I14" i="48"/>
  <c r="D14" i="48"/>
  <c r="J13" i="48"/>
  <c r="I13" i="48"/>
  <c r="D13" i="48"/>
  <c r="J12" i="48"/>
  <c r="I12" i="48"/>
  <c r="D12" i="48"/>
  <c r="J11" i="48"/>
  <c r="I11" i="48"/>
  <c r="D11" i="48"/>
  <c r="J10" i="48"/>
  <c r="I10" i="48"/>
  <c r="D10" i="48"/>
  <c r="J9" i="48"/>
  <c r="I9" i="48"/>
  <c r="D9" i="48"/>
  <c r="J8" i="48"/>
  <c r="I8" i="48"/>
  <c r="D8" i="48"/>
  <c r="J7" i="48"/>
  <c r="I7" i="48"/>
  <c r="D7" i="48"/>
  <c r="J6" i="48"/>
  <c r="I6" i="48"/>
  <c r="D6" i="48"/>
  <c r="B2" i="48" a="1"/>
  <c r="B2" i="48" s="1"/>
  <c r="J488" i="47"/>
  <c r="I488" i="47"/>
  <c r="D488" i="47"/>
  <c r="J487" i="47"/>
  <c r="I487" i="47"/>
  <c r="D487" i="47"/>
  <c r="J486" i="47"/>
  <c r="I486" i="47"/>
  <c r="D486" i="47"/>
  <c r="J485" i="47"/>
  <c r="I485" i="47"/>
  <c r="D485" i="47"/>
  <c r="J484" i="47"/>
  <c r="I484" i="47"/>
  <c r="D484" i="47"/>
  <c r="J483" i="47"/>
  <c r="I483" i="47"/>
  <c r="D483" i="47"/>
  <c r="J482" i="47"/>
  <c r="I482" i="47"/>
  <c r="D482" i="47"/>
  <c r="J481" i="47"/>
  <c r="I481" i="47"/>
  <c r="D481" i="47"/>
  <c r="J480" i="47"/>
  <c r="I480" i="47"/>
  <c r="D480" i="47"/>
  <c r="J479" i="47"/>
  <c r="I479" i="47"/>
  <c r="D479" i="47"/>
  <c r="J478" i="47"/>
  <c r="I478" i="47"/>
  <c r="D478" i="47"/>
  <c r="J477" i="47"/>
  <c r="I477" i="47"/>
  <c r="D477" i="47"/>
  <c r="J476" i="47"/>
  <c r="I476" i="47"/>
  <c r="D476" i="47"/>
  <c r="J475" i="47"/>
  <c r="I475" i="47"/>
  <c r="D475" i="47"/>
  <c r="J474" i="47"/>
  <c r="I474" i="47"/>
  <c r="D474" i="47"/>
  <c r="J473" i="47"/>
  <c r="I473" i="47"/>
  <c r="D473" i="47"/>
  <c r="J472" i="47"/>
  <c r="I472" i="47"/>
  <c r="D472" i="47"/>
  <c r="J471" i="47"/>
  <c r="I471" i="47"/>
  <c r="D471" i="47"/>
  <c r="J470" i="47"/>
  <c r="I470" i="47"/>
  <c r="D470" i="47"/>
  <c r="J469" i="47"/>
  <c r="I469" i="47"/>
  <c r="D469" i="47"/>
  <c r="J468" i="47"/>
  <c r="I468" i="47"/>
  <c r="D468" i="47"/>
  <c r="J467" i="47"/>
  <c r="I467" i="47"/>
  <c r="D467" i="47"/>
  <c r="J466" i="47"/>
  <c r="I466" i="47"/>
  <c r="D466" i="47"/>
  <c r="J465" i="47"/>
  <c r="I465" i="47"/>
  <c r="D465" i="47"/>
  <c r="J464" i="47"/>
  <c r="I464" i="47"/>
  <c r="D464" i="47"/>
  <c r="J463" i="47"/>
  <c r="I463" i="47"/>
  <c r="D463" i="47"/>
  <c r="J462" i="47"/>
  <c r="I462" i="47"/>
  <c r="D462" i="47"/>
  <c r="J461" i="47"/>
  <c r="I461" i="47"/>
  <c r="D461" i="47"/>
  <c r="J460" i="47"/>
  <c r="I460" i="47"/>
  <c r="D460" i="47"/>
  <c r="J459" i="47"/>
  <c r="I459" i="47"/>
  <c r="D459" i="47"/>
  <c r="J458" i="47"/>
  <c r="I458" i="47"/>
  <c r="D458" i="47"/>
  <c r="J457" i="47"/>
  <c r="I457" i="47"/>
  <c r="D457" i="47"/>
  <c r="J456" i="47"/>
  <c r="I456" i="47"/>
  <c r="D456" i="47"/>
  <c r="J455" i="47"/>
  <c r="I455" i="47"/>
  <c r="D455" i="47"/>
  <c r="J454" i="47"/>
  <c r="I454" i="47"/>
  <c r="D454" i="47"/>
  <c r="J453" i="47"/>
  <c r="I453" i="47"/>
  <c r="D453" i="47"/>
  <c r="J452" i="47"/>
  <c r="I452" i="47"/>
  <c r="D452" i="47"/>
  <c r="J451" i="47"/>
  <c r="I451" i="47"/>
  <c r="D451" i="47"/>
  <c r="J450" i="47"/>
  <c r="I450" i="47"/>
  <c r="D450" i="47"/>
  <c r="J449" i="47"/>
  <c r="I449" i="47"/>
  <c r="D449" i="47"/>
  <c r="J448" i="47"/>
  <c r="I448" i="47"/>
  <c r="D448" i="47"/>
  <c r="J447" i="47"/>
  <c r="I447" i="47"/>
  <c r="D447" i="47"/>
  <c r="J446" i="47"/>
  <c r="I446" i="47"/>
  <c r="D446" i="47"/>
  <c r="J445" i="47"/>
  <c r="I445" i="47"/>
  <c r="D445" i="47"/>
  <c r="J444" i="47"/>
  <c r="I444" i="47"/>
  <c r="D444" i="47"/>
  <c r="J443" i="47"/>
  <c r="I443" i="47"/>
  <c r="D443" i="47"/>
  <c r="J442" i="47"/>
  <c r="I442" i="47"/>
  <c r="D442" i="47"/>
  <c r="J441" i="47"/>
  <c r="I441" i="47"/>
  <c r="D441" i="47"/>
  <c r="J440" i="47"/>
  <c r="I440" i="47"/>
  <c r="D440" i="47"/>
  <c r="J439" i="47"/>
  <c r="I439" i="47"/>
  <c r="D439" i="47"/>
  <c r="J438" i="47"/>
  <c r="I438" i="47"/>
  <c r="D438" i="47"/>
  <c r="J437" i="47"/>
  <c r="I437" i="47"/>
  <c r="D437" i="47"/>
  <c r="J436" i="47"/>
  <c r="I436" i="47"/>
  <c r="D436" i="47"/>
  <c r="J435" i="47"/>
  <c r="I435" i="47"/>
  <c r="D435" i="47"/>
  <c r="J434" i="47"/>
  <c r="I434" i="47"/>
  <c r="D434" i="47"/>
  <c r="J433" i="47"/>
  <c r="I433" i="47"/>
  <c r="D433" i="47"/>
  <c r="J432" i="47"/>
  <c r="I432" i="47"/>
  <c r="D432" i="47"/>
  <c r="J431" i="47"/>
  <c r="I431" i="47"/>
  <c r="D431" i="47"/>
  <c r="J430" i="47"/>
  <c r="I430" i="47"/>
  <c r="D430" i="47"/>
  <c r="J429" i="47"/>
  <c r="I429" i="47"/>
  <c r="D429" i="47"/>
  <c r="J428" i="47"/>
  <c r="I428" i="47"/>
  <c r="D428" i="47"/>
  <c r="J427" i="47"/>
  <c r="I427" i="47"/>
  <c r="D427" i="47"/>
  <c r="J426" i="47"/>
  <c r="I426" i="47"/>
  <c r="D426" i="47"/>
  <c r="J425" i="47"/>
  <c r="I425" i="47"/>
  <c r="D425" i="47"/>
  <c r="J424" i="47"/>
  <c r="I424" i="47"/>
  <c r="D424" i="47"/>
  <c r="J423" i="47"/>
  <c r="I423" i="47"/>
  <c r="D423" i="47"/>
  <c r="J422" i="47"/>
  <c r="I422" i="47"/>
  <c r="D422" i="47"/>
  <c r="J421" i="47"/>
  <c r="I421" i="47"/>
  <c r="D421" i="47"/>
  <c r="J420" i="47"/>
  <c r="I420" i="47"/>
  <c r="D420" i="47"/>
  <c r="J419" i="47"/>
  <c r="I419" i="47"/>
  <c r="D419" i="47"/>
  <c r="J418" i="47"/>
  <c r="I418" i="47"/>
  <c r="D418" i="47"/>
  <c r="J417" i="47"/>
  <c r="I417" i="47"/>
  <c r="D417" i="47"/>
  <c r="J416" i="47"/>
  <c r="I416" i="47"/>
  <c r="D416" i="47"/>
  <c r="J415" i="47"/>
  <c r="I415" i="47"/>
  <c r="D415" i="47"/>
  <c r="J414" i="47"/>
  <c r="I414" i="47"/>
  <c r="D414" i="47"/>
  <c r="J413" i="47"/>
  <c r="I413" i="47"/>
  <c r="D413" i="47"/>
  <c r="J412" i="47"/>
  <c r="I412" i="47"/>
  <c r="D412" i="47"/>
  <c r="J411" i="47"/>
  <c r="I411" i="47"/>
  <c r="D411" i="47"/>
  <c r="J410" i="47"/>
  <c r="I410" i="47"/>
  <c r="D410" i="47"/>
  <c r="J409" i="47"/>
  <c r="I409" i="47"/>
  <c r="D409" i="47"/>
  <c r="J408" i="47"/>
  <c r="I408" i="47"/>
  <c r="D408" i="47"/>
  <c r="J407" i="47"/>
  <c r="I407" i="47"/>
  <c r="D407" i="47"/>
  <c r="J406" i="47"/>
  <c r="I406" i="47"/>
  <c r="D406" i="47"/>
  <c r="J405" i="47"/>
  <c r="I405" i="47"/>
  <c r="D405" i="47"/>
  <c r="J404" i="47"/>
  <c r="I404" i="47"/>
  <c r="D404" i="47"/>
  <c r="J403" i="47"/>
  <c r="I403" i="47"/>
  <c r="D403" i="47"/>
  <c r="J402" i="47"/>
  <c r="I402" i="47"/>
  <c r="D402" i="47"/>
  <c r="J401" i="47"/>
  <c r="I401" i="47"/>
  <c r="D401" i="47"/>
  <c r="J400" i="47"/>
  <c r="I400" i="47"/>
  <c r="D400" i="47"/>
  <c r="J399" i="47"/>
  <c r="I399" i="47"/>
  <c r="D399" i="47"/>
  <c r="J398" i="47"/>
  <c r="I398" i="47"/>
  <c r="D398" i="47"/>
  <c r="J397" i="47"/>
  <c r="I397" i="47"/>
  <c r="D397" i="47"/>
  <c r="J396" i="47"/>
  <c r="I396" i="47"/>
  <c r="D396" i="47"/>
  <c r="J395" i="47"/>
  <c r="I395" i="47"/>
  <c r="D395" i="47"/>
  <c r="J394" i="47"/>
  <c r="I394" i="47"/>
  <c r="D394" i="47"/>
  <c r="J393" i="47"/>
  <c r="I393" i="47"/>
  <c r="D393" i="47"/>
  <c r="J392" i="47"/>
  <c r="I392" i="47"/>
  <c r="D392" i="47"/>
  <c r="J391" i="47"/>
  <c r="I391" i="47"/>
  <c r="D391" i="47"/>
  <c r="J390" i="47"/>
  <c r="I390" i="47"/>
  <c r="D390" i="47"/>
  <c r="J389" i="47"/>
  <c r="I389" i="47"/>
  <c r="D389" i="47"/>
  <c r="J388" i="47"/>
  <c r="I388" i="47"/>
  <c r="D388" i="47"/>
  <c r="J387" i="47"/>
  <c r="I387" i="47"/>
  <c r="D387" i="47"/>
  <c r="J386" i="47"/>
  <c r="I386" i="47"/>
  <c r="D386" i="47"/>
  <c r="J385" i="47"/>
  <c r="I385" i="47"/>
  <c r="D385" i="47"/>
  <c r="J384" i="47"/>
  <c r="I384" i="47"/>
  <c r="D384" i="47"/>
  <c r="J383" i="47"/>
  <c r="I383" i="47"/>
  <c r="D383" i="47"/>
  <c r="J382" i="47"/>
  <c r="I382" i="47"/>
  <c r="D382" i="47"/>
  <c r="J381" i="47"/>
  <c r="I381" i="47"/>
  <c r="D381" i="47"/>
  <c r="J380" i="47"/>
  <c r="I380" i="47"/>
  <c r="D380" i="47"/>
  <c r="J379" i="47"/>
  <c r="I379" i="47"/>
  <c r="D379" i="47"/>
  <c r="J378" i="47"/>
  <c r="I378" i="47"/>
  <c r="D378" i="47"/>
  <c r="J377" i="47"/>
  <c r="I377" i="47"/>
  <c r="D377" i="47"/>
  <c r="J376" i="47"/>
  <c r="I376" i="47"/>
  <c r="D376" i="47"/>
  <c r="J375" i="47"/>
  <c r="I375" i="47"/>
  <c r="D375" i="47"/>
  <c r="J374" i="47"/>
  <c r="I374" i="47"/>
  <c r="D374" i="47"/>
  <c r="J373" i="47"/>
  <c r="I373" i="47"/>
  <c r="D373" i="47"/>
  <c r="J372" i="47"/>
  <c r="I372" i="47"/>
  <c r="D372" i="47"/>
  <c r="J371" i="47"/>
  <c r="I371" i="47"/>
  <c r="D371" i="47"/>
  <c r="J370" i="47"/>
  <c r="I370" i="47"/>
  <c r="D370" i="47"/>
  <c r="J369" i="47"/>
  <c r="I369" i="47"/>
  <c r="D369" i="47"/>
  <c r="J368" i="47"/>
  <c r="I368" i="47"/>
  <c r="D368" i="47"/>
  <c r="J367" i="47"/>
  <c r="I367" i="47"/>
  <c r="D367" i="47"/>
  <c r="J366" i="47"/>
  <c r="I366" i="47"/>
  <c r="D366" i="47"/>
  <c r="J365" i="47"/>
  <c r="I365" i="47"/>
  <c r="D365" i="47"/>
  <c r="J364" i="47"/>
  <c r="I364" i="47"/>
  <c r="D364" i="47"/>
  <c r="J363" i="47"/>
  <c r="I363" i="47"/>
  <c r="D363" i="47"/>
  <c r="J362" i="47"/>
  <c r="I362" i="47"/>
  <c r="D362" i="47"/>
  <c r="J361" i="47"/>
  <c r="I361" i="47"/>
  <c r="D361" i="47"/>
  <c r="J360" i="47"/>
  <c r="I360" i="47"/>
  <c r="D360" i="47"/>
  <c r="J359" i="47"/>
  <c r="I359" i="47"/>
  <c r="D359" i="47"/>
  <c r="J358" i="47"/>
  <c r="I358" i="47"/>
  <c r="D358" i="47"/>
  <c r="J357" i="47"/>
  <c r="I357" i="47"/>
  <c r="D357" i="47"/>
  <c r="J356" i="47"/>
  <c r="I356" i="47"/>
  <c r="D356" i="47"/>
  <c r="J355" i="47"/>
  <c r="I355" i="47"/>
  <c r="D355" i="47"/>
  <c r="J354" i="47"/>
  <c r="I354" i="47"/>
  <c r="D354" i="47"/>
  <c r="J353" i="47"/>
  <c r="I353" i="47"/>
  <c r="D353" i="47"/>
  <c r="J352" i="47"/>
  <c r="I352" i="47"/>
  <c r="D352" i="47"/>
  <c r="J351" i="47"/>
  <c r="I351" i="47"/>
  <c r="D351" i="47"/>
  <c r="J350" i="47"/>
  <c r="I350" i="47"/>
  <c r="D350" i="47"/>
  <c r="J349" i="47"/>
  <c r="I349" i="47"/>
  <c r="D349" i="47"/>
  <c r="J348" i="47"/>
  <c r="I348" i="47"/>
  <c r="D348" i="47"/>
  <c r="J347" i="47"/>
  <c r="I347" i="47"/>
  <c r="D347" i="47"/>
  <c r="J346" i="47"/>
  <c r="I346" i="47"/>
  <c r="D346" i="47"/>
  <c r="J345" i="47"/>
  <c r="I345" i="47"/>
  <c r="D345" i="47"/>
  <c r="J344" i="47"/>
  <c r="I344" i="47"/>
  <c r="D344" i="47"/>
  <c r="J343" i="47"/>
  <c r="I343" i="47"/>
  <c r="D343" i="47"/>
  <c r="J342" i="47"/>
  <c r="I342" i="47"/>
  <c r="D342" i="47"/>
  <c r="J341" i="47"/>
  <c r="I341" i="47"/>
  <c r="D341" i="47"/>
  <c r="J340" i="47"/>
  <c r="I340" i="47"/>
  <c r="D340" i="47"/>
  <c r="J339" i="47"/>
  <c r="I339" i="47"/>
  <c r="D339" i="47"/>
  <c r="J338" i="47"/>
  <c r="I338" i="47"/>
  <c r="D338" i="47"/>
  <c r="J337" i="47"/>
  <c r="I337" i="47"/>
  <c r="D337" i="47"/>
  <c r="J336" i="47"/>
  <c r="I336" i="47"/>
  <c r="D336" i="47"/>
  <c r="J335" i="47"/>
  <c r="I335" i="47"/>
  <c r="D335" i="47"/>
  <c r="J334" i="47"/>
  <c r="I334" i="47"/>
  <c r="D334" i="47"/>
  <c r="J333" i="47"/>
  <c r="I333" i="47"/>
  <c r="D333" i="47"/>
  <c r="J332" i="47"/>
  <c r="I332" i="47"/>
  <c r="D332" i="47"/>
  <c r="J331" i="47"/>
  <c r="I331" i="47"/>
  <c r="D331" i="47"/>
  <c r="J330" i="47"/>
  <c r="I330" i="47"/>
  <c r="D330" i="47"/>
  <c r="J329" i="47"/>
  <c r="I329" i="47"/>
  <c r="D329" i="47"/>
  <c r="J328" i="47"/>
  <c r="I328" i="47"/>
  <c r="D328" i="47"/>
  <c r="J327" i="47"/>
  <c r="I327" i="47"/>
  <c r="D327" i="47"/>
  <c r="J326" i="47"/>
  <c r="I326" i="47"/>
  <c r="D326" i="47"/>
  <c r="J325" i="47"/>
  <c r="I325" i="47"/>
  <c r="D325" i="47"/>
  <c r="J324" i="47"/>
  <c r="I324" i="47"/>
  <c r="D324" i="47"/>
  <c r="J323" i="47"/>
  <c r="I323" i="47"/>
  <c r="D323" i="47"/>
  <c r="J322" i="47"/>
  <c r="I322" i="47"/>
  <c r="D322" i="47"/>
  <c r="J321" i="47"/>
  <c r="I321" i="47"/>
  <c r="D321" i="47"/>
  <c r="J320" i="47"/>
  <c r="I320" i="47"/>
  <c r="D320" i="47"/>
  <c r="J319" i="47"/>
  <c r="I319" i="47"/>
  <c r="D319" i="47"/>
  <c r="J318" i="47"/>
  <c r="I318" i="47"/>
  <c r="D318" i="47"/>
  <c r="J317" i="47"/>
  <c r="I317" i="47"/>
  <c r="D317" i="47"/>
  <c r="J316" i="47"/>
  <c r="I316" i="47"/>
  <c r="D316" i="47"/>
  <c r="J315" i="47"/>
  <c r="I315" i="47"/>
  <c r="D315" i="47"/>
  <c r="J314" i="47"/>
  <c r="I314" i="47"/>
  <c r="D314" i="47"/>
  <c r="J313" i="47"/>
  <c r="I313" i="47"/>
  <c r="D313" i="47"/>
  <c r="J312" i="47"/>
  <c r="I312" i="47"/>
  <c r="D312" i="47"/>
  <c r="J311" i="47"/>
  <c r="I311" i="47"/>
  <c r="D311" i="47"/>
  <c r="J310" i="47"/>
  <c r="I310" i="47"/>
  <c r="D310" i="47"/>
  <c r="J309" i="47"/>
  <c r="I309" i="47"/>
  <c r="D309" i="47"/>
  <c r="J308" i="47"/>
  <c r="I308" i="47"/>
  <c r="D308" i="47"/>
  <c r="J307" i="47"/>
  <c r="I307" i="47"/>
  <c r="D307" i="47"/>
  <c r="J306" i="47"/>
  <c r="I306" i="47"/>
  <c r="D306" i="47"/>
  <c r="J305" i="47"/>
  <c r="I305" i="47"/>
  <c r="D305" i="47"/>
  <c r="J304" i="47"/>
  <c r="I304" i="47"/>
  <c r="D304" i="47"/>
  <c r="J303" i="47"/>
  <c r="I303" i="47"/>
  <c r="D303" i="47"/>
  <c r="J302" i="47"/>
  <c r="I302" i="47"/>
  <c r="D302" i="47"/>
  <c r="J301" i="47"/>
  <c r="I301" i="47"/>
  <c r="D301" i="47"/>
  <c r="J300" i="47"/>
  <c r="I300" i="47"/>
  <c r="D300" i="47"/>
  <c r="J299" i="47"/>
  <c r="I299" i="47"/>
  <c r="D299" i="47"/>
  <c r="J298" i="47"/>
  <c r="I298" i="47"/>
  <c r="D298" i="47"/>
  <c r="J297" i="47"/>
  <c r="I297" i="47"/>
  <c r="D297" i="47"/>
  <c r="J296" i="47"/>
  <c r="I296" i="47"/>
  <c r="D296" i="47"/>
  <c r="J295" i="47"/>
  <c r="I295" i="47"/>
  <c r="D295" i="47"/>
  <c r="J294" i="47"/>
  <c r="I294" i="47"/>
  <c r="D294" i="47"/>
  <c r="J293" i="47"/>
  <c r="I293" i="47"/>
  <c r="D293" i="47"/>
  <c r="J292" i="47"/>
  <c r="I292" i="47"/>
  <c r="D292" i="47"/>
  <c r="J291" i="47"/>
  <c r="I291" i="47"/>
  <c r="D291" i="47"/>
  <c r="J290" i="47"/>
  <c r="I290" i="47"/>
  <c r="D290" i="47"/>
  <c r="J289" i="47"/>
  <c r="I289" i="47"/>
  <c r="D289" i="47"/>
  <c r="J288" i="47"/>
  <c r="I288" i="47"/>
  <c r="D288" i="47"/>
  <c r="J287" i="47"/>
  <c r="I287" i="47"/>
  <c r="D287" i="47"/>
  <c r="J286" i="47"/>
  <c r="I286" i="47"/>
  <c r="D286" i="47"/>
  <c r="J285" i="47"/>
  <c r="I285" i="47"/>
  <c r="D285" i="47"/>
  <c r="J284" i="47"/>
  <c r="I284" i="47"/>
  <c r="D284" i="47"/>
  <c r="J283" i="47"/>
  <c r="I283" i="47"/>
  <c r="D283" i="47"/>
  <c r="J282" i="47"/>
  <c r="I282" i="47"/>
  <c r="D282" i="47"/>
  <c r="J281" i="47"/>
  <c r="I281" i="47"/>
  <c r="D281" i="47"/>
  <c r="J280" i="47"/>
  <c r="I280" i="47"/>
  <c r="D280" i="47"/>
  <c r="J279" i="47"/>
  <c r="I279" i="47"/>
  <c r="D279" i="47"/>
  <c r="J278" i="47"/>
  <c r="I278" i="47"/>
  <c r="D278" i="47"/>
  <c r="J277" i="47"/>
  <c r="I277" i="47"/>
  <c r="D277" i="47"/>
  <c r="J276" i="47"/>
  <c r="I276" i="47"/>
  <c r="D276" i="47"/>
  <c r="J275" i="47"/>
  <c r="I275" i="47"/>
  <c r="D275" i="47"/>
  <c r="J274" i="47"/>
  <c r="I274" i="47"/>
  <c r="D274" i="47"/>
  <c r="J273" i="47"/>
  <c r="I273" i="47"/>
  <c r="D273" i="47"/>
  <c r="J272" i="47"/>
  <c r="I272" i="47"/>
  <c r="D272" i="47"/>
  <c r="J271" i="47"/>
  <c r="I271" i="47"/>
  <c r="D271" i="47"/>
  <c r="J270" i="47"/>
  <c r="I270" i="47"/>
  <c r="D270" i="47"/>
  <c r="J269" i="47"/>
  <c r="I269" i="47"/>
  <c r="D269" i="47"/>
  <c r="J268" i="47"/>
  <c r="I268" i="47"/>
  <c r="D268" i="47"/>
  <c r="J267" i="47"/>
  <c r="I267" i="47"/>
  <c r="D267" i="47"/>
  <c r="J266" i="47"/>
  <c r="I266" i="47"/>
  <c r="D266" i="47"/>
  <c r="J265" i="47"/>
  <c r="I265" i="47"/>
  <c r="D265" i="47"/>
  <c r="J264" i="47"/>
  <c r="I264" i="47"/>
  <c r="D264" i="47"/>
  <c r="J263" i="47"/>
  <c r="I263" i="47"/>
  <c r="D263" i="47"/>
  <c r="J262" i="47"/>
  <c r="I262" i="47"/>
  <c r="D262" i="47"/>
  <c r="J261" i="47"/>
  <c r="I261" i="47"/>
  <c r="D261" i="47"/>
  <c r="J260" i="47"/>
  <c r="I260" i="47"/>
  <c r="D260" i="47"/>
  <c r="J259" i="47"/>
  <c r="I259" i="47"/>
  <c r="D259" i="47"/>
  <c r="J258" i="47"/>
  <c r="I258" i="47"/>
  <c r="D258" i="47"/>
  <c r="J257" i="47"/>
  <c r="I257" i="47"/>
  <c r="D257" i="47"/>
  <c r="J256" i="47"/>
  <c r="I256" i="47"/>
  <c r="D256" i="47"/>
  <c r="J255" i="47"/>
  <c r="I255" i="47"/>
  <c r="D255" i="47"/>
  <c r="J254" i="47"/>
  <c r="I254" i="47"/>
  <c r="D254" i="47"/>
  <c r="J253" i="47"/>
  <c r="I253" i="47"/>
  <c r="D253" i="47"/>
  <c r="J252" i="47"/>
  <c r="I252" i="47"/>
  <c r="D252" i="47"/>
  <c r="J251" i="47"/>
  <c r="I251" i="47"/>
  <c r="D251" i="47"/>
  <c r="J250" i="47"/>
  <c r="I250" i="47"/>
  <c r="D250" i="47"/>
  <c r="J249" i="47"/>
  <c r="I249" i="47"/>
  <c r="D249" i="47"/>
  <c r="J248" i="47"/>
  <c r="I248" i="47"/>
  <c r="D248" i="47"/>
  <c r="J247" i="47"/>
  <c r="I247" i="47"/>
  <c r="D247" i="47"/>
  <c r="J246" i="47"/>
  <c r="I246" i="47"/>
  <c r="D246" i="47"/>
  <c r="J245" i="47"/>
  <c r="I245" i="47"/>
  <c r="D245" i="47"/>
  <c r="J244" i="47"/>
  <c r="I244" i="47"/>
  <c r="D244" i="47"/>
  <c r="J243" i="47"/>
  <c r="I243" i="47"/>
  <c r="D243" i="47"/>
  <c r="J242" i="47"/>
  <c r="I242" i="47"/>
  <c r="D242" i="47"/>
  <c r="J241" i="47"/>
  <c r="I241" i="47"/>
  <c r="D241" i="47"/>
  <c r="J240" i="47"/>
  <c r="I240" i="47"/>
  <c r="D240" i="47"/>
  <c r="J239" i="47"/>
  <c r="I239" i="47"/>
  <c r="D239" i="47"/>
  <c r="J238" i="47"/>
  <c r="I238" i="47"/>
  <c r="D238" i="47"/>
  <c r="J237" i="47"/>
  <c r="I237" i="47"/>
  <c r="D237" i="47"/>
  <c r="J236" i="47"/>
  <c r="I236" i="47"/>
  <c r="D236" i="47"/>
  <c r="J235" i="47"/>
  <c r="I235" i="47"/>
  <c r="D235" i="47"/>
  <c r="J234" i="47"/>
  <c r="I234" i="47"/>
  <c r="D234" i="47"/>
  <c r="J233" i="47"/>
  <c r="I233" i="47"/>
  <c r="D233" i="47"/>
  <c r="J232" i="47"/>
  <c r="I232" i="47"/>
  <c r="D232" i="47"/>
  <c r="J231" i="47"/>
  <c r="I231" i="47"/>
  <c r="D231" i="47"/>
  <c r="J230" i="47"/>
  <c r="I230" i="47"/>
  <c r="D230" i="47"/>
  <c r="J229" i="47"/>
  <c r="I229" i="47"/>
  <c r="D229" i="47"/>
  <c r="J228" i="47"/>
  <c r="I228" i="47"/>
  <c r="D228" i="47"/>
  <c r="J227" i="47"/>
  <c r="I227" i="47"/>
  <c r="D227" i="47"/>
  <c r="J226" i="47"/>
  <c r="I226" i="47"/>
  <c r="D226" i="47"/>
  <c r="J225" i="47"/>
  <c r="I225" i="47"/>
  <c r="D225" i="47"/>
  <c r="J224" i="47"/>
  <c r="I224" i="47"/>
  <c r="D224" i="47"/>
  <c r="J223" i="47"/>
  <c r="I223" i="47"/>
  <c r="D223" i="47"/>
  <c r="J222" i="47"/>
  <c r="I222" i="47"/>
  <c r="D222" i="47"/>
  <c r="J221" i="47"/>
  <c r="I221" i="47"/>
  <c r="D221" i="47"/>
  <c r="J220" i="47"/>
  <c r="I220" i="47"/>
  <c r="D220" i="47"/>
  <c r="J219" i="47"/>
  <c r="I219" i="47"/>
  <c r="D219" i="47"/>
  <c r="J218" i="47"/>
  <c r="I218" i="47"/>
  <c r="D218" i="47"/>
  <c r="J217" i="47"/>
  <c r="I217" i="47"/>
  <c r="D217" i="47"/>
  <c r="J216" i="47"/>
  <c r="I216" i="47"/>
  <c r="D216" i="47"/>
  <c r="J215" i="47"/>
  <c r="I215" i="47"/>
  <c r="D215" i="47"/>
  <c r="J214" i="47"/>
  <c r="I214" i="47"/>
  <c r="D214" i="47"/>
  <c r="J213" i="47"/>
  <c r="I213" i="47"/>
  <c r="D213" i="47"/>
  <c r="J212" i="47"/>
  <c r="I212" i="47"/>
  <c r="D212" i="47"/>
  <c r="J211" i="47"/>
  <c r="I211" i="47"/>
  <c r="D211" i="47"/>
  <c r="J210" i="47"/>
  <c r="I210" i="47"/>
  <c r="D210" i="47"/>
  <c r="J209" i="47"/>
  <c r="I209" i="47"/>
  <c r="D209" i="47"/>
  <c r="J208" i="47"/>
  <c r="I208" i="47"/>
  <c r="D208" i="47"/>
  <c r="J207" i="47"/>
  <c r="I207" i="47"/>
  <c r="D207" i="47"/>
  <c r="J206" i="47"/>
  <c r="I206" i="47"/>
  <c r="D206" i="47"/>
  <c r="J205" i="47"/>
  <c r="I205" i="47"/>
  <c r="D205" i="47"/>
  <c r="J204" i="47"/>
  <c r="I204" i="47"/>
  <c r="D204" i="47"/>
  <c r="J203" i="47"/>
  <c r="I203" i="47"/>
  <c r="D203" i="47"/>
  <c r="J202" i="47"/>
  <c r="I202" i="47"/>
  <c r="D202" i="47"/>
  <c r="J201" i="47"/>
  <c r="I201" i="47"/>
  <c r="D201" i="47"/>
  <c r="J200" i="47"/>
  <c r="I200" i="47"/>
  <c r="D200" i="47"/>
  <c r="J199" i="47"/>
  <c r="I199" i="47"/>
  <c r="D199" i="47"/>
  <c r="J198" i="47"/>
  <c r="I198" i="47"/>
  <c r="D198" i="47"/>
  <c r="J197" i="47"/>
  <c r="I197" i="47"/>
  <c r="D197" i="47"/>
  <c r="J196" i="47"/>
  <c r="I196" i="47"/>
  <c r="D196" i="47"/>
  <c r="J195" i="47"/>
  <c r="I195" i="47"/>
  <c r="D195" i="47"/>
  <c r="J194" i="47"/>
  <c r="I194" i="47"/>
  <c r="D194" i="47"/>
  <c r="J193" i="47"/>
  <c r="I193" i="47"/>
  <c r="D193" i="47"/>
  <c r="J192" i="47"/>
  <c r="I192" i="47"/>
  <c r="D192" i="47"/>
  <c r="J191" i="47"/>
  <c r="I191" i="47"/>
  <c r="D191" i="47"/>
  <c r="J190" i="47"/>
  <c r="I190" i="47"/>
  <c r="D190" i="47"/>
  <c r="J189" i="47"/>
  <c r="I189" i="47"/>
  <c r="D189" i="47"/>
  <c r="J188" i="47"/>
  <c r="I188" i="47"/>
  <c r="D188" i="47"/>
  <c r="J187" i="47"/>
  <c r="I187" i="47"/>
  <c r="D187" i="47"/>
  <c r="J186" i="47"/>
  <c r="I186" i="47"/>
  <c r="D186" i="47"/>
  <c r="J185" i="47"/>
  <c r="I185" i="47"/>
  <c r="D185" i="47"/>
  <c r="J184" i="47"/>
  <c r="I184" i="47"/>
  <c r="D184" i="47"/>
  <c r="J183" i="47"/>
  <c r="I183" i="47"/>
  <c r="D183" i="47"/>
  <c r="J182" i="47"/>
  <c r="I182" i="47"/>
  <c r="D182" i="47"/>
  <c r="J181" i="47"/>
  <c r="I181" i="47"/>
  <c r="D181" i="47"/>
  <c r="J180" i="47"/>
  <c r="I180" i="47"/>
  <c r="D180" i="47"/>
  <c r="J179" i="47"/>
  <c r="I179" i="47"/>
  <c r="D179" i="47"/>
  <c r="J178" i="47"/>
  <c r="I178" i="47"/>
  <c r="D178" i="47"/>
  <c r="J177" i="47"/>
  <c r="I177" i="47"/>
  <c r="D177" i="47"/>
  <c r="J176" i="47"/>
  <c r="I176" i="47"/>
  <c r="D176" i="47"/>
  <c r="J175" i="47"/>
  <c r="I175" i="47"/>
  <c r="D175" i="47"/>
  <c r="J174" i="47"/>
  <c r="I174" i="47"/>
  <c r="D174" i="47"/>
  <c r="J173" i="47"/>
  <c r="I173" i="47"/>
  <c r="D173" i="47"/>
  <c r="J172" i="47"/>
  <c r="I172" i="47"/>
  <c r="D172" i="47"/>
  <c r="J171" i="47"/>
  <c r="I171" i="47"/>
  <c r="D171" i="47"/>
  <c r="J170" i="47"/>
  <c r="I170" i="47"/>
  <c r="D170" i="47"/>
  <c r="J169" i="47"/>
  <c r="I169" i="47"/>
  <c r="D169" i="47"/>
  <c r="J168" i="47"/>
  <c r="I168" i="47"/>
  <c r="D168" i="47"/>
  <c r="J167" i="47"/>
  <c r="I167" i="47"/>
  <c r="D167" i="47"/>
  <c r="J166" i="47"/>
  <c r="I166" i="47"/>
  <c r="D166" i="47"/>
  <c r="J165" i="47"/>
  <c r="I165" i="47"/>
  <c r="D165" i="47"/>
  <c r="J164" i="47"/>
  <c r="I164" i="47"/>
  <c r="D164" i="47"/>
  <c r="J163" i="47"/>
  <c r="I163" i="47"/>
  <c r="D163" i="47"/>
  <c r="J162" i="47"/>
  <c r="I162" i="47"/>
  <c r="D162" i="47"/>
  <c r="J161" i="47"/>
  <c r="I161" i="47"/>
  <c r="D161" i="47"/>
  <c r="J160" i="47"/>
  <c r="I160" i="47"/>
  <c r="D160" i="47"/>
  <c r="J159" i="47"/>
  <c r="I159" i="47"/>
  <c r="D159" i="47"/>
  <c r="J158" i="47"/>
  <c r="I158" i="47"/>
  <c r="D158" i="47"/>
  <c r="J157" i="47"/>
  <c r="I157" i="47"/>
  <c r="D157" i="47"/>
  <c r="J156" i="47"/>
  <c r="I156" i="47"/>
  <c r="D156" i="47"/>
  <c r="J155" i="47"/>
  <c r="I155" i="47"/>
  <c r="D155" i="47"/>
  <c r="J154" i="47"/>
  <c r="I154" i="47"/>
  <c r="D154" i="47"/>
  <c r="J153" i="47"/>
  <c r="I153" i="47"/>
  <c r="D153" i="47"/>
  <c r="J152" i="47"/>
  <c r="I152" i="47"/>
  <c r="D152" i="47"/>
  <c r="J151" i="47"/>
  <c r="I151" i="47"/>
  <c r="D151" i="47"/>
  <c r="J150" i="47"/>
  <c r="I150" i="47"/>
  <c r="D150" i="47"/>
  <c r="J149" i="47"/>
  <c r="I149" i="47"/>
  <c r="D149" i="47"/>
  <c r="J148" i="47"/>
  <c r="I148" i="47"/>
  <c r="D148" i="47"/>
  <c r="J147" i="47"/>
  <c r="I147" i="47"/>
  <c r="D147" i="47"/>
  <c r="J146" i="47"/>
  <c r="I146" i="47"/>
  <c r="D146" i="47"/>
  <c r="J145" i="47"/>
  <c r="I145" i="47"/>
  <c r="D145" i="47"/>
  <c r="J144" i="47"/>
  <c r="I144" i="47"/>
  <c r="D144" i="47"/>
  <c r="J143" i="47"/>
  <c r="I143" i="47"/>
  <c r="D143" i="47"/>
  <c r="J142" i="47"/>
  <c r="I142" i="47"/>
  <c r="D142" i="47"/>
  <c r="J141" i="47"/>
  <c r="I141" i="47"/>
  <c r="D141" i="47"/>
  <c r="J140" i="47"/>
  <c r="I140" i="47"/>
  <c r="D140" i="47"/>
  <c r="J139" i="47"/>
  <c r="I139" i="47"/>
  <c r="D139" i="47"/>
  <c r="J138" i="47"/>
  <c r="I138" i="47"/>
  <c r="D138" i="47"/>
  <c r="J137" i="47"/>
  <c r="I137" i="47"/>
  <c r="D137" i="47"/>
  <c r="J136" i="47"/>
  <c r="I136" i="47"/>
  <c r="D136" i="47"/>
  <c r="J135" i="47"/>
  <c r="I135" i="47"/>
  <c r="D135" i="47"/>
  <c r="J134" i="47"/>
  <c r="I134" i="47"/>
  <c r="D134" i="47"/>
  <c r="J133" i="47"/>
  <c r="I133" i="47"/>
  <c r="D133" i="47"/>
  <c r="J132" i="47"/>
  <c r="I132" i="47"/>
  <c r="D132" i="47"/>
  <c r="J131" i="47"/>
  <c r="I131" i="47"/>
  <c r="D131" i="47"/>
  <c r="J130" i="47"/>
  <c r="I130" i="47"/>
  <c r="D130" i="47"/>
  <c r="J129" i="47"/>
  <c r="I129" i="47"/>
  <c r="D129" i="47"/>
  <c r="J128" i="47"/>
  <c r="I128" i="47"/>
  <c r="D128" i="47"/>
  <c r="J127" i="47"/>
  <c r="I127" i="47"/>
  <c r="D127" i="47"/>
  <c r="J126" i="47"/>
  <c r="I126" i="47"/>
  <c r="D126" i="47"/>
  <c r="J125" i="47"/>
  <c r="I125" i="47"/>
  <c r="D125" i="47"/>
  <c r="J124" i="47"/>
  <c r="I124" i="47"/>
  <c r="D124" i="47"/>
  <c r="J123" i="47"/>
  <c r="I123" i="47"/>
  <c r="D123" i="47"/>
  <c r="J122" i="47"/>
  <c r="I122" i="47"/>
  <c r="D122" i="47"/>
  <c r="J121" i="47"/>
  <c r="I121" i="47"/>
  <c r="D121" i="47"/>
  <c r="J120" i="47"/>
  <c r="I120" i="47"/>
  <c r="D120" i="47"/>
  <c r="J119" i="47"/>
  <c r="I119" i="47"/>
  <c r="D119" i="47"/>
  <c r="J118" i="47"/>
  <c r="I118" i="47"/>
  <c r="D118" i="47"/>
  <c r="J117" i="47"/>
  <c r="I117" i="47"/>
  <c r="D117" i="47"/>
  <c r="J116" i="47"/>
  <c r="I116" i="47"/>
  <c r="D116" i="47"/>
  <c r="J115" i="47"/>
  <c r="I115" i="47"/>
  <c r="D115" i="47"/>
  <c r="J114" i="47"/>
  <c r="I114" i="47"/>
  <c r="D114" i="47"/>
  <c r="J113" i="47"/>
  <c r="I113" i="47"/>
  <c r="D113" i="47"/>
  <c r="J112" i="47"/>
  <c r="I112" i="47"/>
  <c r="D112" i="47"/>
  <c r="J111" i="47"/>
  <c r="I111" i="47"/>
  <c r="D111" i="47"/>
  <c r="J110" i="47"/>
  <c r="I110" i="47"/>
  <c r="D110" i="47"/>
  <c r="J109" i="47"/>
  <c r="I109" i="47"/>
  <c r="D109" i="47"/>
  <c r="J108" i="47"/>
  <c r="I108" i="47"/>
  <c r="D108" i="47"/>
  <c r="J107" i="47"/>
  <c r="I107" i="47"/>
  <c r="D107" i="47"/>
  <c r="J106" i="47"/>
  <c r="I106" i="47"/>
  <c r="D106" i="47"/>
  <c r="J105" i="47"/>
  <c r="I105" i="47"/>
  <c r="D105" i="47"/>
  <c r="J104" i="47"/>
  <c r="I104" i="47"/>
  <c r="D104" i="47"/>
  <c r="J103" i="47"/>
  <c r="I103" i="47"/>
  <c r="D103" i="47"/>
  <c r="J102" i="47"/>
  <c r="I102" i="47"/>
  <c r="D102" i="47"/>
  <c r="J101" i="47"/>
  <c r="I101" i="47"/>
  <c r="D101" i="47"/>
  <c r="J100" i="47"/>
  <c r="I100" i="47"/>
  <c r="D100" i="47"/>
  <c r="J99" i="47"/>
  <c r="I99" i="47"/>
  <c r="D99" i="47"/>
  <c r="J98" i="47"/>
  <c r="I98" i="47"/>
  <c r="D98" i="47"/>
  <c r="J97" i="47"/>
  <c r="I97" i="47"/>
  <c r="D97" i="47"/>
  <c r="J96" i="47"/>
  <c r="I96" i="47"/>
  <c r="D96" i="47"/>
  <c r="J95" i="47"/>
  <c r="I95" i="47"/>
  <c r="D95" i="47"/>
  <c r="J94" i="47"/>
  <c r="I94" i="47"/>
  <c r="D94" i="47"/>
  <c r="J93" i="47"/>
  <c r="I93" i="47"/>
  <c r="D93" i="47"/>
  <c r="J92" i="47"/>
  <c r="I92" i="47"/>
  <c r="D92" i="47"/>
  <c r="J91" i="47"/>
  <c r="I91" i="47"/>
  <c r="D91" i="47"/>
  <c r="J90" i="47"/>
  <c r="I90" i="47"/>
  <c r="D90" i="47"/>
  <c r="J89" i="47"/>
  <c r="I89" i="47"/>
  <c r="D89" i="47"/>
  <c r="J88" i="47"/>
  <c r="I88" i="47"/>
  <c r="D88" i="47"/>
  <c r="J87" i="47"/>
  <c r="I87" i="47"/>
  <c r="D87" i="47"/>
  <c r="J86" i="47"/>
  <c r="I86" i="47"/>
  <c r="D86" i="47"/>
  <c r="J85" i="47"/>
  <c r="I85" i="47"/>
  <c r="D85" i="47"/>
  <c r="J84" i="47"/>
  <c r="I84" i="47"/>
  <c r="D84" i="47"/>
  <c r="J83" i="47"/>
  <c r="I83" i="47"/>
  <c r="D83" i="47"/>
  <c r="J82" i="47"/>
  <c r="I82" i="47"/>
  <c r="D82" i="47"/>
  <c r="J81" i="47"/>
  <c r="I81" i="47"/>
  <c r="D81" i="47"/>
  <c r="J80" i="47"/>
  <c r="I80" i="47"/>
  <c r="D80" i="47"/>
  <c r="J79" i="47"/>
  <c r="I79" i="47"/>
  <c r="D79" i="47"/>
  <c r="J78" i="47"/>
  <c r="I78" i="47"/>
  <c r="D78" i="47"/>
  <c r="J77" i="47"/>
  <c r="I77" i="47"/>
  <c r="D77" i="47"/>
  <c r="J76" i="47"/>
  <c r="I76" i="47"/>
  <c r="D76" i="47"/>
  <c r="J75" i="47"/>
  <c r="I75" i="47"/>
  <c r="D75" i="47"/>
  <c r="J74" i="47"/>
  <c r="I74" i="47"/>
  <c r="D74" i="47"/>
  <c r="J73" i="47"/>
  <c r="I73" i="47"/>
  <c r="D73" i="47"/>
  <c r="J72" i="47"/>
  <c r="I72" i="47"/>
  <c r="D72" i="47"/>
  <c r="J71" i="47"/>
  <c r="I71" i="47"/>
  <c r="D71" i="47"/>
  <c r="J70" i="47"/>
  <c r="I70" i="47"/>
  <c r="D70" i="47"/>
  <c r="J69" i="47"/>
  <c r="I69" i="47"/>
  <c r="D69" i="47"/>
  <c r="J68" i="47"/>
  <c r="I68" i="47"/>
  <c r="D68" i="47"/>
  <c r="J67" i="47"/>
  <c r="I67" i="47"/>
  <c r="D67" i="47"/>
  <c r="J66" i="47"/>
  <c r="I66" i="47"/>
  <c r="D66" i="47"/>
  <c r="J65" i="47"/>
  <c r="I65" i="47"/>
  <c r="D65" i="47"/>
  <c r="J64" i="47"/>
  <c r="I64" i="47"/>
  <c r="D64" i="47"/>
  <c r="J63" i="47"/>
  <c r="I63" i="47"/>
  <c r="D63" i="47"/>
  <c r="J62" i="47"/>
  <c r="I62" i="47"/>
  <c r="D62" i="47"/>
  <c r="J61" i="47"/>
  <c r="I61" i="47"/>
  <c r="D61" i="47"/>
  <c r="J60" i="47"/>
  <c r="I60" i="47"/>
  <c r="D60" i="47"/>
  <c r="J59" i="47"/>
  <c r="I59" i="47"/>
  <c r="D59" i="47"/>
  <c r="J58" i="47"/>
  <c r="I58" i="47"/>
  <c r="D58" i="47"/>
  <c r="J57" i="47"/>
  <c r="I57" i="47"/>
  <c r="D57" i="47"/>
  <c r="J56" i="47"/>
  <c r="I56" i="47"/>
  <c r="D56" i="47"/>
  <c r="J55" i="47"/>
  <c r="I55" i="47"/>
  <c r="D55" i="47"/>
  <c r="J54" i="47"/>
  <c r="I54" i="47"/>
  <c r="D54" i="47"/>
  <c r="J53" i="47"/>
  <c r="I53" i="47"/>
  <c r="D53" i="47"/>
  <c r="J52" i="47"/>
  <c r="I52" i="47"/>
  <c r="D52" i="47"/>
  <c r="J51" i="47"/>
  <c r="I51" i="47"/>
  <c r="D51" i="47"/>
  <c r="J50" i="47"/>
  <c r="I50" i="47"/>
  <c r="D50" i="47"/>
  <c r="J49" i="47"/>
  <c r="I49" i="47"/>
  <c r="D49" i="47"/>
  <c r="J48" i="47"/>
  <c r="I48" i="47"/>
  <c r="D48" i="47"/>
  <c r="J47" i="47"/>
  <c r="I47" i="47"/>
  <c r="D47" i="47"/>
  <c r="J46" i="47"/>
  <c r="I46" i="47"/>
  <c r="D46" i="47"/>
  <c r="J45" i="47"/>
  <c r="I45" i="47"/>
  <c r="D45" i="47"/>
  <c r="J44" i="47"/>
  <c r="I44" i="47"/>
  <c r="D44" i="47"/>
  <c r="J43" i="47"/>
  <c r="I43" i="47"/>
  <c r="D43" i="47"/>
  <c r="J42" i="47"/>
  <c r="I42" i="47"/>
  <c r="D42" i="47"/>
  <c r="J41" i="47"/>
  <c r="I41" i="47"/>
  <c r="D41" i="47"/>
  <c r="J40" i="47"/>
  <c r="I40" i="47"/>
  <c r="D40" i="47"/>
  <c r="J39" i="47"/>
  <c r="I39" i="47"/>
  <c r="D39" i="47"/>
  <c r="J38" i="47"/>
  <c r="I38" i="47"/>
  <c r="D38" i="47"/>
  <c r="J37" i="47"/>
  <c r="I37" i="47"/>
  <c r="D37" i="47"/>
  <c r="J36" i="47"/>
  <c r="I36" i="47"/>
  <c r="D36" i="47"/>
  <c r="J35" i="47"/>
  <c r="I35" i="47"/>
  <c r="D35" i="47"/>
  <c r="J34" i="47"/>
  <c r="I34" i="47"/>
  <c r="D34" i="47"/>
  <c r="P33" i="47"/>
  <c r="J33" i="47"/>
  <c r="I33" i="47"/>
  <c r="D33" i="47"/>
  <c r="P32" i="47"/>
  <c r="J32" i="47"/>
  <c r="I32" i="47"/>
  <c r="D32" i="47"/>
  <c r="P31" i="47"/>
  <c r="J31" i="47"/>
  <c r="I31" i="47"/>
  <c r="D31" i="47"/>
  <c r="P30" i="47"/>
  <c r="J30" i="47"/>
  <c r="I30" i="47"/>
  <c r="D30" i="47"/>
  <c r="P29" i="47"/>
  <c r="J29" i="47"/>
  <c r="I29" i="47"/>
  <c r="D29" i="47"/>
  <c r="P28" i="47"/>
  <c r="J28" i="47"/>
  <c r="I28" i="47"/>
  <c r="D28" i="47"/>
  <c r="J27" i="47"/>
  <c r="I27" i="47"/>
  <c r="D27" i="47"/>
  <c r="P26" i="47"/>
  <c r="J26" i="47"/>
  <c r="I26" i="47"/>
  <c r="D26" i="47"/>
  <c r="P25" i="47"/>
  <c r="J25" i="47"/>
  <c r="I25" i="47"/>
  <c r="D25" i="47"/>
  <c r="P24" i="47"/>
  <c r="J24" i="47"/>
  <c r="I24" i="47"/>
  <c r="D24" i="47"/>
  <c r="P23" i="47"/>
  <c r="J23" i="47"/>
  <c r="I23" i="47"/>
  <c r="D23" i="47"/>
  <c r="P22" i="47"/>
  <c r="J22" i="47"/>
  <c r="I22" i="47"/>
  <c r="D22" i="47"/>
  <c r="P21" i="47"/>
  <c r="J21" i="47"/>
  <c r="I21" i="47"/>
  <c r="D21" i="47"/>
  <c r="J20" i="47"/>
  <c r="I20" i="47"/>
  <c r="D20" i="47"/>
  <c r="M19" i="47"/>
  <c r="J19" i="47"/>
  <c r="I19" i="47"/>
  <c r="D19" i="47"/>
  <c r="J18" i="47"/>
  <c r="I18" i="47"/>
  <c r="D18" i="47"/>
  <c r="J17" i="47"/>
  <c r="I17" i="47"/>
  <c r="D17" i="47"/>
  <c r="J16" i="47"/>
  <c r="I16" i="47"/>
  <c r="D16" i="47"/>
  <c r="J15" i="47"/>
  <c r="I15" i="47"/>
  <c r="D15" i="47"/>
  <c r="J14" i="47"/>
  <c r="I14" i="47"/>
  <c r="D14" i="47"/>
  <c r="J13" i="47"/>
  <c r="I13" i="47"/>
  <c r="D13" i="47"/>
  <c r="J12" i="47"/>
  <c r="I12" i="47"/>
  <c r="D12" i="47"/>
  <c r="J11" i="47"/>
  <c r="I11" i="47"/>
  <c r="D11" i="47"/>
  <c r="J10" i="47"/>
  <c r="I10" i="47"/>
  <c r="D10" i="47"/>
  <c r="J9" i="47"/>
  <c r="I9" i="47"/>
  <c r="D9" i="47"/>
  <c r="J8" i="47"/>
  <c r="I8" i="47"/>
  <c r="D8" i="47"/>
  <c r="J7" i="47"/>
  <c r="I7" i="47"/>
  <c r="D7" i="47"/>
  <c r="J6" i="47"/>
  <c r="I6" i="47"/>
  <c r="D6" i="47"/>
  <c r="B2" i="47" a="1"/>
  <c r="B2" i="47" s="1"/>
  <c r="J488" i="46"/>
  <c r="I488" i="46"/>
  <c r="D488" i="46"/>
  <c r="J487" i="46"/>
  <c r="I487" i="46"/>
  <c r="D487" i="46"/>
  <c r="J486" i="46"/>
  <c r="I486" i="46"/>
  <c r="D486" i="46"/>
  <c r="J485" i="46"/>
  <c r="I485" i="46"/>
  <c r="D485" i="46"/>
  <c r="J484" i="46"/>
  <c r="I484" i="46"/>
  <c r="D484" i="46"/>
  <c r="J483" i="46"/>
  <c r="I483" i="46"/>
  <c r="D483" i="46"/>
  <c r="J482" i="46"/>
  <c r="I482" i="46"/>
  <c r="D482" i="46"/>
  <c r="J481" i="46"/>
  <c r="I481" i="46"/>
  <c r="D481" i="46"/>
  <c r="J480" i="46"/>
  <c r="I480" i="46"/>
  <c r="D480" i="46"/>
  <c r="J479" i="46"/>
  <c r="I479" i="46"/>
  <c r="D479" i="46"/>
  <c r="J478" i="46"/>
  <c r="I478" i="46"/>
  <c r="D478" i="46"/>
  <c r="J477" i="46"/>
  <c r="I477" i="46"/>
  <c r="D477" i="46"/>
  <c r="J476" i="46"/>
  <c r="I476" i="46"/>
  <c r="D476" i="46"/>
  <c r="J475" i="46"/>
  <c r="I475" i="46"/>
  <c r="D475" i="46"/>
  <c r="J474" i="46"/>
  <c r="I474" i="46"/>
  <c r="D474" i="46"/>
  <c r="J473" i="46"/>
  <c r="I473" i="46"/>
  <c r="D473" i="46"/>
  <c r="J472" i="46"/>
  <c r="I472" i="46"/>
  <c r="D472" i="46"/>
  <c r="J471" i="46"/>
  <c r="I471" i="46"/>
  <c r="D471" i="46"/>
  <c r="J470" i="46"/>
  <c r="I470" i="46"/>
  <c r="D470" i="46"/>
  <c r="J469" i="46"/>
  <c r="I469" i="46"/>
  <c r="D469" i="46"/>
  <c r="J468" i="46"/>
  <c r="I468" i="46"/>
  <c r="D468" i="46"/>
  <c r="J467" i="46"/>
  <c r="I467" i="46"/>
  <c r="D467" i="46"/>
  <c r="J466" i="46"/>
  <c r="I466" i="46"/>
  <c r="D466" i="46"/>
  <c r="J465" i="46"/>
  <c r="I465" i="46"/>
  <c r="D465" i="46"/>
  <c r="J464" i="46"/>
  <c r="I464" i="46"/>
  <c r="D464" i="46"/>
  <c r="J463" i="46"/>
  <c r="I463" i="46"/>
  <c r="D463" i="46"/>
  <c r="J462" i="46"/>
  <c r="I462" i="46"/>
  <c r="D462" i="46"/>
  <c r="J461" i="46"/>
  <c r="I461" i="46"/>
  <c r="D461" i="46"/>
  <c r="J460" i="46"/>
  <c r="I460" i="46"/>
  <c r="D460" i="46"/>
  <c r="J459" i="46"/>
  <c r="I459" i="46"/>
  <c r="D459" i="46"/>
  <c r="J458" i="46"/>
  <c r="I458" i="46"/>
  <c r="D458" i="46"/>
  <c r="J457" i="46"/>
  <c r="I457" i="46"/>
  <c r="D457" i="46"/>
  <c r="J456" i="46"/>
  <c r="I456" i="46"/>
  <c r="D456" i="46"/>
  <c r="J455" i="46"/>
  <c r="I455" i="46"/>
  <c r="D455" i="46"/>
  <c r="J454" i="46"/>
  <c r="I454" i="46"/>
  <c r="D454" i="46"/>
  <c r="J453" i="46"/>
  <c r="I453" i="46"/>
  <c r="D453" i="46"/>
  <c r="J452" i="46"/>
  <c r="I452" i="46"/>
  <c r="D452" i="46"/>
  <c r="J451" i="46"/>
  <c r="I451" i="46"/>
  <c r="D451" i="46"/>
  <c r="J450" i="46"/>
  <c r="I450" i="46"/>
  <c r="D450" i="46"/>
  <c r="J449" i="46"/>
  <c r="I449" i="46"/>
  <c r="D449" i="46"/>
  <c r="J448" i="46"/>
  <c r="I448" i="46"/>
  <c r="D448" i="46"/>
  <c r="J447" i="46"/>
  <c r="I447" i="46"/>
  <c r="D447" i="46"/>
  <c r="J446" i="46"/>
  <c r="I446" i="46"/>
  <c r="D446" i="46"/>
  <c r="J445" i="46"/>
  <c r="I445" i="46"/>
  <c r="D445" i="46"/>
  <c r="J444" i="46"/>
  <c r="I444" i="46"/>
  <c r="D444" i="46"/>
  <c r="J443" i="46"/>
  <c r="I443" i="46"/>
  <c r="D443" i="46"/>
  <c r="J442" i="46"/>
  <c r="I442" i="46"/>
  <c r="D442" i="46"/>
  <c r="J441" i="46"/>
  <c r="I441" i="46"/>
  <c r="D441" i="46"/>
  <c r="J440" i="46"/>
  <c r="I440" i="46"/>
  <c r="D440" i="46"/>
  <c r="J439" i="46"/>
  <c r="I439" i="46"/>
  <c r="D439" i="46"/>
  <c r="J438" i="46"/>
  <c r="I438" i="46"/>
  <c r="D438" i="46"/>
  <c r="J437" i="46"/>
  <c r="I437" i="46"/>
  <c r="D437" i="46"/>
  <c r="J436" i="46"/>
  <c r="I436" i="46"/>
  <c r="D436" i="46"/>
  <c r="J435" i="46"/>
  <c r="I435" i="46"/>
  <c r="D435" i="46"/>
  <c r="J434" i="46"/>
  <c r="I434" i="46"/>
  <c r="D434" i="46"/>
  <c r="J433" i="46"/>
  <c r="I433" i="46"/>
  <c r="D433" i="46"/>
  <c r="J432" i="46"/>
  <c r="I432" i="46"/>
  <c r="D432" i="46"/>
  <c r="J431" i="46"/>
  <c r="I431" i="46"/>
  <c r="D431" i="46"/>
  <c r="J430" i="46"/>
  <c r="I430" i="46"/>
  <c r="D430" i="46"/>
  <c r="J429" i="46"/>
  <c r="I429" i="46"/>
  <c r="D429" i="46"/>
  <c r="J428" i="46"/>
  <c r="I428" i="46"/>
  <c r="D428" i="46"/>
  <c r="J427" i="46"/>
  <c r="I427" i="46"/>
  <c r="D427" i="46"/>
  <c r="J426" i="46"/>
  <c r="I426" i="46"/>
  <c r="D426" i="46"/>
  <c r="J425" i="46"/>
  <c r="I425" i="46"/>
  <c r="D425" i="46"/>
  <c r="J424" i="46"/>
  <c r="I424" i="46"/>
  <c r="D424" i="46"/>
  <c r="J423" i="46"/>
  <c r="I423" i="46"/>
  <c r="D423" i="46"/>
  <c r="J422" i="46"/>
  <c r="I422" i="46"/>
  <c r="D422" i="46"/>
  <c r="J421" i="46"/>
  <c r="I421" i="46"/>
  <c r="D421" i="46"/>
  <c r="J420" i="46"/>
  <c r="I420" i="46"/>
  <c r="D420" i="46"/>
  <c r="J419" i="46"/>
  <c r="I419" i="46"/>
  <c r="D419" i="46"/>
  <c r="J418" i="46"/>
  <c r="I418" i="46"/>
  <c r="D418" i="46"/>
  <c r="J417" i="46"/>
  <c r="I417" i="46"/>
  <c r="D417" i="46"/>
  <c r="J416" i="46"/>
  <c r="I416" i="46"/>
  <c r="D416" i="46"/>
  <c r="J415" i="46"/>
  <c r="I415" i="46"/>
  <c r="D415" i="46"/>
  <c r="J414" i="46"/>
  <c r="I414" i="46"/>
  <c r="D414" i="46"/>
  <c r="J413" i="46"/>
  <c r="I413" i="46"/>
  <c r="D413" i="46"/>
  <c r="J412" i="46"/>
  <c r="I412" i="46"/>
  <c r="D412" i="46"/>
  <c r="J411" i="46"/>
  <c r="I411" i="46"/>
  <c r="D411" i="46"/>
  <c r="J410" i="46"/>
  <c r="I410" i="46"/>
  <c r="D410" i="46"/>
  <c r="J409" i="46"/>
  <c r="I409" i="46"/>
  <c r="D409" i="46"/>
  <c r="J408" i="46"/>
  <c r="I408" i="46"/>
  <c r="D408" i="46"/>
  <c r="J407" i="46"/>
  <c r="I407" i="46"/>
  <c r="D407" i="46"/>
  <c r="J406" i="46"/>
  <c r="I406" i="46"/>
  <c r="D406" i="46"/>
  <c r="J405" i="46"/>
  <c r="I405" i="46"/>
  <c r="D405" i="46"/>
  <c r="J404" i="46"/>
  <c r="I404" i="46"/>
  <c r="D404" i="46"/>
  <c r="J403" i="46"/>
  <c r="I403" i="46"/>
  <c r="D403" i="46"/>
  <c r="J402" i="46"/>
  <c r="I402" i="46"/>
  <c r="D402" i="46"/>
  <c r="J401" i="46"/>
  <c r="I401" i="46"/>
  <c r="D401" i="46"/>
  <c r="J400" i="46"/>
  <c r="I400" i="46"/>
  <c r="D400" i="46"/>
  <c r="J399" i="46"/>
  <c r="I399" i="46"/>
  <c r="D399" i="46"/>
  <c r="J398" i="46"/>
  <c r="I398" i="46"/>
  <c r="D398" i="46"/>
  <c r="J397" i="46"/>
  <c r="I397" i="46"/>
  <c r="D397" i="46"/>
  <c r="J396" i="46"/>
  <c r="I396" i="46"/>
  <c r="D396" i="46"/>
  <c r="J395" i="46"/>
  <c r="I395" i="46"/>
  <c r="D395" i="46"/>
  <c r="J394" i="46"/>
  <c r="I394" i="46"/>
  <c r="D394" i="46"/>
  <c r="J393" i="46"/>
  <c r="I393" i="46"/>
  <c r="D393" i="46"/>
  <c r="J392" i="46"/>
  <c r="I392" i="46"/>
  <c r="D392" i="46"/>
  <c r="J391" i="46"/>
  <c r="I391" i="46"/>
  <c r="D391" i="46"/>
  <c r="J390" i="46"/>
  <c r="I390" i="46"/>
  <c r="D390" i="46"/>
  <c r="J389" i="46"/>
  <c r="I389" i="46"/>
  <c r="D389" i="46"/>
  <c r="J388" i="46"/>
  <c r="I388" i="46"/>
  <c r="D388" i="46"/>
  <c r="J387" i="46"/>
  <c r="I387" i="46"/>
  <c r="D387" i="46"/>
  <c r="J386" i="46"/>
  <c r="I386" i="46"/>
  <c r="D386" i="46"/>
  <c r="J385" i="46"/>
  <c r="I385" i="46"/>
  <c r="D385" i="46"/>
  <c r="J384" i="46"/>
  <c r="I384" i="46"/>
  <c r="D384" i="46"/>
  <c r="J383" i="46"/>
  <c r="I383" i="46"/>
  <c r="D383" i="46"/>
  <c r="J382" i="46"/>
  <c r="I382" i="46"/>
  <c r="D382" i="46"/>
  <c r="J381" i="46"/>
  <c r="I381" i="46"/>
  <c r="D381" i="46"/>
  <c r="J380" i="46"/>
  <c r="I380" i="46"/>
  <c r="D380" i="46"/>
  <c r="J379" i="46"/>
  <c r="I379" i="46"/>
  <c r="D379" i="46"/>
  <c r="J378" i="46"/>
  <c r="I378" i="46"/>
  <c r="D378" i="46"/>
  <c r="J377" i="46"/>
  <c r="I377" i="46"/>
  <c r="D377" i="46"/>
  <c r="J376" i="46"/>
  <c r="I376" i="46"/>
  <c r="D376" i="46"/>
  <c r="J375" i="46"/>
  <c r="I375" i="46"/>
  <c r="D375" i="46"/>
  <c r="J374" i="46"/>
  <c r="I374" i="46"/>
  <c r="D374" i="46"/>
  <c r="J373" i="46"/>
  <c r="I373" i="46"/>
  <c r="D373" i="46"/>
  <c r="J372" i="46"/>
  <c r="I372" i="46"/>
  <c r="D372" i="46"/>
  <c r="J371" i="46"/>
  <c r="I371" i="46"/>
  <c r="D371" i="46"/>
  <c r="J370" i="46"/>
  <c r="I370" i="46"/>
  <c r="D370" i="46"/>
  <c r="J369" i="46"/>
  <c r="I369" i="46"/>
  <c r="D369" i="46"/>
  <c r="J368" i="46"/>
  <c r="I368" i="46"/>
  <c r="D368" i="46"/>
  <c r="J367" i="46"/>
  <c r="I367" i="46"/>
  <c r="D367" i="46"/>
  <c r="J366" i="46"/>
  <c r="I366" i="46"/>
  <c r="D366" i="46"/>
  <c r="J365" i="46"/>
  <c r="I365" i="46"/>
  <c r="D365" i="46"/>
  <c r="J364" i="46"/>
  <c r="I364" i="46"/>
  <c r="D364" i="46"/>
  <c r="J363" i="46"/>
  <c r="I363" i="46"/>
  <c r="D363" i="46"/>
  <c r="J362" i="46"/>
  <c r="I362" i="46"/>
  <c r="D362" i="46"/>
  <c r="J361" i="46"/>
  <c r="I361" i="46"/>
  <c r="D361" i="46"/>
  <c r="J360" i="46"/>
  <c r="I360" i="46"/>
  <c r="D360" i="46"/>
  <c r="J359" i="46"/>
  <c r="I359" i="46"/>
  <c r="D359" i="46"/>
  <c r="J358" i="46"/>
  <c r="I358" i="46"/>
  <c r="D358" i="46"/>
  <c r="J357" i="46"/>
  <c r="I357" i="46"/>
  <c r="D357" i="46"/>
  <c r="J356" i="46"/>
  <c r="I356" i="46"/>
  <c r="D356" i="46"/>
  <c r="J355" i="46"/>
  <c r="I355" i="46"/>
  <c r="D355" i="46"/>
  <c r="J354" i="46"/>
  <c r="I354" i="46"/>
  <c r="D354" i="46"/>
  <c r="J353" i="46"/>
  <c r="I353" i="46"/>
  <c r="D353" i="46"/>
  <c r="J352" i="46"/>
  <c r="I352" i="46"/>
  <c r="D352" i="46"/>
  <c r="J351" i="46"/>
  <c r="I351" i="46"/>
  <c r="D351" i="46"/>
  <c r="J350" i="46"/>
  <c r="I350" i="46"/>
  <c r="D350" i="46"/>
  <c r="J349" i="46"/>
  <c r="I349" i="46"/>
  <c r="D349" i="46"/>
  <c r="J348" i="46"/>
  <c r="I348" i="46"/>
  <c r="D348" i="46"/>
  <c r="J347" i="46"/>
  <c r="I347" i="46"/>
  <c r="D347" i="46"/>
  <c r="J346" i="46"/>
  <c r="I346" i="46"/>
  <c r="D346" i="46"/>
  <c r="J345" i="46"/>
  <c r="I345" i="46"/>
  <c r="D345" i="46"/>
  <c r="J344" i="46"/>
  <c r="I344" i="46"/>
  <c r="D344" i="46"/>
  <c r="J343" i="46"/>
  <c r="I343" i="46"/>
  <c r="D343" i="46"/>
  <c r="J342" i="46"/>
  <c r="I342" i="46"/>
  <c r="D342" i="46"/>
  <c r="J341" i="46"/>
  <c r="I341" i="46"/>
  <c r="D341" i="46"/>
  <c r="J340" i="46"/>
  <c r="I340" i="46"/>
  <c r="D340" i="46"/>
  <c r="J339" i="46"/>
  <c r="I339" i="46"/>
  <c r="D339" i="46"/>
  <c r="J338" i="46"/>
  <c r="I338" i="46"/>
  <c r="D338" i="46"/>
  <c r="J337" i="46"/>
  <c r="I337" i="46"/>
  <c r="D337" i="46"/>
  <c r="J336" i="46"/>
  <c r="I336" i="46"/>
  <c r="D336" i="46"/>
  <c r="J335" i="46"/>
  <c r="I335" i="46"/>
  <c r="D335" i="46"/>
  <c r="J334" i="46"/>
  <c r="I334" i="46"/>
  <c r="D334" i="46"/>
  <c r="J333" i="46"/>
  <c r="I333" i="46"/>
  <c r="D333" i="46"/>
  <c r="J332" i="46"/>
  <c r="I332" i="46"/>
  <c r="D332" i="46"/>
  <c r="J331" i="46"/>
  <c r="I331" i="46"/>
  <c r="D331" i="46"/>
  <c r="J330" i="46"/>
  <c r="I330" i="46"/>
  <c r="D330" i="46"/>
  <c r="J329" i="46"/>
  <c r="I329" i="46"/>
  <c r="D329" i="46"/>
  <c r="J328" i="46"/>
  <c r="I328" i="46"/>
  <c r="D328" i="46"/>
  <c r="J327" i="46"/>
  <c r="I327" i="46"/>
  <c r="D327" i="46"/>
  <c r="J326" i="46"/>
  <c r="I326" i="46"/>
  <c r="D326" i="46"/>
  <c r="J325" i="46"/>
  <c r="I325" i="46"/>
  <c r="D325" i="46"/>
  <c r="J324" i="46"/>
  <c r="I324" i="46"/>
  <c r="D324" i="46"/>
  <c r="J323" i="46"/>
  <c r="I323" i="46"/>
  <c r="D323" i="46"/>
  <c r="J322" i="46"/>
  <c r="I322" i="46"/>
  <c r="D322" i="46"/>
  <c r="J321" i="46"/>
  <c r="I321" i="46"/>
  <c r="D321" i="46"/>
  <c r="J320" i="46"/>
  <c r="I320" i="46"/>
  <c r="D320" i="46"/>
  <c r="J319" i="46"/>
  <c r="I319" i="46"/>
  <c r="D319" i="46"/>
  <c r="J318" i="46"/>
  <c r="I318" i="46"/>
  <c r="D318" i="46"/>
  <c r="J317" i="46"/>
  <c r="I317" i="46"/>
  <c r="D317" i="46"/>
  <c r="J316" i="46"/>
  <c r="I316" i="46"/>
  <c r="D316" i="46"/>
  <c r="J315" i="46"/>
  <c r="I315" i="46"/>
  <c r="D315" i="46"/>
  <c r="J314" i="46"/>
  <c r="I314" i="46"/>
  <c r="D314" i="46"/>
  <c r="J313" i="46"/>
  <c r="I313" i="46"/>
  <c r="D313" i="46"/>
  <c r="J312" i="46"/>
  <c r="I312" i="46"/>
  <c r="D312" i="46"/>
  <c r="J311" i="46"/>
  <c r="I311" i="46"/>
  <c r="D311" i="46"/>
  <c r="J310" i="46"/>
  <c r="I310" i="46"/>
  <c r="D310" i="46"/>
  <c r="J309" i="46"/>
  <c r="I309" i="46"/>
  <c r="D309" i="46"/>
  <c r="J308" i="46"/>
  <c r="I308" i="46"/>
  <c r="D308" i="46"/>
  <c r="J307" i="46"/>
  <c r="I307" i="46"/>
  <c r="D307" i="46"/>
  <c r="J306" i="46"/>
  <c r="I306" i="46"/>
  <c r="D306" i="46"/>
  <c r="J305" i="46"/>
  <c r="I305" i="46"/>
  <c r="D305" i="46"/>
  <c r="J304" i="46"/>
  <c r="I304" i="46"/>
  <c r="D304" i="46"/>
  <c r="J303" i="46"/>
  <c r="I303" i="46"/>
  <c r="D303" i="46"/>
  <c r="J302" i="46"/>
  <c r="I302" i="46"/>
  <c r="D302" i="46"/>
  <c r="J301" i="46"/>
  <c r="I301" i="46"/>
  <c r="D301" i="46"/>
  <c r="J300" i="46"/>
  <c r="I300" i="46"/>
  <c r="D300" i="46"/>
  <c r="J299" i="46"/>
  <c r="I299" i="46"/>
  <c r="D299" i="46"/>
  <c r="J298" i="46"/>
  <c r="I298" i="46"/>
  <c r="D298" i="46"/>
  <c r="J297" i="46"/>
  <c r="I297" i="46"/>
  <c r="D297" i="46"/>
  <c r="J296" i="46"/>
  <c r="I296" i="46"/>
  <c r="D296" i="46"/>
  <c r="J295" i="46"/>
  <c r="I295" i="46"/>
  <c r="D295" i="46"/>
  <c r="J294" i="46"/>
  <c r="I294" i="46"/>
  <c r="D294" i="46"/>
  <c r="J293" i="46"/>
  <c r="I293" i="46"/>
  <c r="D293" i="46"/>
  <c r="J292" i="46"/>
  <c r="I292" i="46"/>
  <c r="D292" i="46"/>
  <c r="J291" i="46"/>
  <c r="I291" i="46"/>
  <c r="D291" i="46"/>
  <c r="J290" i="46"/>
  <c r="I290" i="46"/>
  <c r="D290" i="46"/>
  <c r="J289" i="46"/>
  <c r="I289" i="46"/>
  <c r="D289" i="46"/>
  <c r="J288" i="46"/>
  <c r="I288" i="46"/>
  <c r="D288" i="46"/>
  <c r="J287" i="46"/>
  <c r="I287" i="46"/>
  <c r="D287" i="46"/>
  <c r="J286" i="46"/>
  <c r="I286" i="46"/>
  <c r="D286" i="46"/>
  <c r="J285" i="46"/>
  <c r="I285" i="46"/>
  <c r="D285" i="46"/>
  <c r="J284" i="46"/>
  <c r="I284" i="46"/>
  <c r="D284" i="46"/>
  <c r="J283" i="46"/>
  <c r="I283" i="46"/>
  <c r="D283" i="46"/>
  <c r="J282" i="46"/>
  <c r="I282" i="46"/>
  <c r="D282" i="46"/>
  <c r="J281" i="46"/>
  <c r="I281" i="46"/>
  <c r="D281" i="46"/>
  <c r="J280" i="46"/>
  <c r="I280" i="46"/>
  <c r="D280" i="46"/>
  <c r="J279" i="46"/>
  <c r="I279" i="46"/>
  <c r="D279" i="46"/>
  <c r="J278" i="46"/>
  <c r="I278" i="46"/>
  <c r="D278" i="46"/>
  <c r="J277" i="46"/>
  <c r="I277" i="46"/>
  <c r="D277" i="46"/>
  <c r="J276" i="46"/>
  <c r="I276" i="46"/>
  <c r="D276" i="46"/>
  <c r="J275" i="46"/>
  <c r="I275" i="46"/>
  <c r="D275" i="46"/>
  <c r="J274" i="46"/>
  <c r="I274" i="46"/>
  <c r="D274" i="46"/>
  <c r="J273" i="46"/>
  <c r="I273" i="46"/>
  <c r="D273" i="46"/>
  <c r="J272" i="46"/>
  <c r="I272" i="46"/>
  <c r="D272" i="46"/>
  <c r="J271" i="46"/>
  <c r="I271" i="46"/>
  <c r="D271" i="46"/>
  <c r="J270" i="46"/>
  <c r="I270" i="46"/>
  <c r="D270" i="46"/>
  <c r="J269" i="46"/>
  <c r="I269" i="46"/>
  <c r="D269" i="46"/>
  <c r="J268" i="46"/>
  <c r="I268" i="46"/>
  <c r="D268" i="46"/>
  <c r="J267" i="46"/>
  <c r="I267" i="46"/>
  <c r="D267" i="46"/>
  <c r="J266" i="46"/>
  <c r="I266" i="46"/>
  <c r="D266" i="46"/>
  <c r="J265" i="46"/>
  <c r="I265" i="46"/>
  <c r="D265" i="46"/>
  <c r="J264" i="46"/>
  <c r="I264" i="46"/>
  <c r="D264" i="46"/>
  <c r="J263" i="46"/>
  <c r="I263" i="46"/>
  <c r="D263" i="46"/>
  <c r="J262" i="46"/>
  <c r="I262" i="46"/>
  <c r="D262" i="46"/>
  <c r="J261" i="46"/>
  <c r="I261" i="46"/>
  <c r="D261" i="46"/>
  <c r="J260" i="46"/>
  <c r="I260" i="46"/>
  <c r="D260" i="46"/>
  <c r="J259" i="46"/>
  <c r="I259" i="46"/>
  <c r="D259" i="46"/>
  <c r="J258" i="46"/>
  <c r="I258" i="46"/>
  <c r="D258" i="46"/>
  <c r="J257" i="46"/>
  <c r="I257" i="46"/>
  <c r="D257" i="46"/>
  <c r="J256" i="46"/>
  <c r="I256" i="46"/>
  <c r="D256" i="46"/>
  <c r="J255" i="46"/>
  <c r="I255" i="46"/>
  <c r="D255" i="46"/>
  <c r="J254" i="46"/>
  <c r="I254" i="46"/>
  <c r="D254" i="46"/>
  <c r="J253" i="46"/>
  <c r="I253" i="46"/>
  <c r="D253" i="46"/>
  <c r="J252" i="46"/>
  <c r="I252" i="46"/>
  <c r="D252" i="46"/>
  <c r="J251" i="46"/>
  <c r="I251" i="46"/>
  <c r="D251" i="46"/>
  <c r="J250" i="46"/>
  <c r="I250" i="46"/>
  <c r="D250" i="46"/>
  <c r="J249" i="46"/>
  <c r="I249" i="46"/>
  <c r="D249" i="46"/>
  <c r="J248" i="46"/>
  <c r="I248" i="46"/>
  <c r="D248" i="46"/>
  <c r="J247" i="46"/>
  <c r="I247" i="46"/>
  <c r="D247" i="46"/>
  <c r="J246" i="46"/>
  <c r="I246" i="46"/>
  <c r="D246" i="46"/>
  <c r="J245" i="46"/>
  <c r="I245" i="46"/>
  <c r="D245" i="46"/>
  <c r="J244" i="46"/>
  <c r="I244" i="46"/>
  <c r="D244" i="46"/>
  <c r="J243" i="46"/>
  <c r="I243" i="46"/>
  <c r="D243" i="46"/>
  <c r="J242" i="46"/>
  <c r="I242" i="46"/>
  <c r="D242" i="46"/>
  <c r="J241" i="46"/>
  <c r="I241" i="46"/>
  <c r="D241" i="46"/>
  <c r="J240" i="46"/>
  <c r="I240" i="46"/>
  <c r="D240" i="46"/>
  <c r="J239" i="46"/>
  <c r="I239" i="46"/>
  <c r="D239" i="46"/>
  <c r="J238" i="46"/>
  <c r="I238" i="46"/>
  <c r="D238" i="46"/>
  <c r="J237" i="46"/>
  <c r="I237" i="46"/>
  <c r="D237" i="46"/>
  <c r="J236" i="46"/>
  <c r="I236" i="46"/>
  <c r="D236" i="46"/>
  <c r="J235" i="46"/>
  <c r="I235" i="46"/>
  <c r="D235" i="46"/>
  <c r="J234" i="46"/>
  <c r="I234" i="46"/>
  <c r="D234" i="46"/>
  <c r="J233" i="46"/>
  <c r="I233" i="46"/>
  <c r="D233" i="46"/>
  <c r="J232" i="46"/>
  <c r="I232" i="46"/>
  <c r="D232" i="46"/>
  <c r="J231" i="46"/>
  <c r="I231" i="46"/>
  <c r="D231" i="46"/>
  <c r="J230" i="46"/>
  <c r="I230" i="46"/>
  <c r="D230" i="46"/>
  <c r="J229" i="46"/>
  <c r="I229" i="46"/>
  <c r="D229" i="46"/>
  <c r="J228" i="46"/>
  <c r="I228" i="46"/>
  <c r="D228" i="46"/>
  <c r="J227" i="46"/>
  <c r="I227" i="46"/>
  <c r="D227" i="46"/>
  <c r="J226" i="46"/>
  <c r="I226" i="46"/>
  <c r="D226" i="46"/>
  <c r="J225" i="46"/>
  <c r="I225" i="46"/>
  <c r="D225" i="46"/>
  <c r="J224" i="46"/>
  <c r="I224" i="46"/>
  <c r="D224" i="46"/>
  <c r="J223" i="46"/>
  <c r="I223" i="46"/>
  <c r="D223" i="46"/>
  <c r="J222" i="46"/>
  <c r="I222" i="46"/>
  <c r="D222" i="46"/>
  <c r="J221" i="46"/>
  <c r="I221" i="46"/>
  <c r="D221" i="46"/>
  <c r="J220" i="46"/>
  <c r="I220" i="46"/>
  <c r="D220" i="46"/>
  <c r="J219" i="46"/>
  <c r="I219" i="46"/>
  <c r="D219" i="46"/>
  <c r="J218" i="46"/>
  <c r="I218" i="46"/>
  <c r="D218" i="46"/>
  <c r="J217" i="46"/>
  <c r="I217" i="46"/>
  <c r="D217" i="46"/>
  <c r="J216" i="46"/>
  <c r="I216" i="46"/>
  <c r="D216" i="46"/>
  <c r="J215" i="46"/>
  <c r="I215" i="46"/>
  <c r="D215" i="46"/>
  <c r="J214" i="46"/>
  <c r="I214" i="46"/>
  <c r="D214" i="46"/>
  <c r="J213" i="46"/>
  <c r="I213" i="46"/>
  <c r="D213" i="46"/>
  <c r="J212" i="46"/>
  <c r="I212" i="46"/>
  <c r="D212" i="46"/>
  <c r="J211" i="46"/>
  <c r="I211" i="46"/>
  <c r="D211" i="46"/>
  <c r="J210" i="46"/>
  <c r="I210" i="46"/>
  <c r="D210" i="46"/>
  <c r="J209" i="46"/>
  <c r="I209" i="46"/>
  <c r="D209" i="46"/>
  <c r="J208" i="46"/>
  <c r="I208" i="46"/>
  <c r="D208" i="46"/>
  <c r="J207" i="46"/>
  <c r="I207" i="46"/>
  <c r="D207" i="46"/>
  <c r="J206" i="46"/>
  <c r="I206" i="46"/>
  <c r="D206" i="46"/>
  <c r="J205" i="46"/>
  <c r="I205" i="46"/>
  <c r="D205" i="46"/>
  <c r="J204" i="46"/>
  <c r="I204" i="46"/>
  <c r="D204" i="46"/>
  <c r="J203" i="46"/>
  <c r="I203" i="46"/>
  <c r="D203" i="46"/>
  <c r="J202" i="46"/>
  <c r="I202" i="46"/>
  <c r="D202" i="46"/>
  <c r="J201" i="46"/>
  <c r="I201" i="46"/>
  <c r="D201" i="46"/>
  <c r="J200" i="46"/>
  <c r="I200" i="46"/>
  <c r="D200" i="46"/>
  <c r="J199" i="46"/>
  <c r="I199" i="46"/>
  <c r="D199" i="46"/>
  <c r="J198" i="46"/>
  <c r="I198" i="46"/>
  <c r="D198" i="46"/>
  <c r="J197" i="46"/>
  <c r="I197" i="46"/>
  <c r="D197" i="46"/>
  <c r="J196" i="46"/>
  <c r="I196" i="46"/>
  <c r="D196" i="46"/>
  <c r="J195" i="46"/>
  <c r="I195" i="46"/>
  <c r="D195" i="46"/>
  <c r="J194" i="46"/>
  <c r="I194" i="46"/>
  <c r="D194" i="46"/>
  <c r="J193" i="46"/>
  <c r="I193" i="46"/>
  <c r="D193" i="46"/>
  <c r="J192" i="46"/>
  <c r="I192" i="46"/>
  <c r="D192" i="46"/>
  <c r="J191" i="46"/>
  <c r="I191" i="46"/>
  <c r="D191" i="46"/>
  <c r="J190" i="46"/>
  <c r="I190" i="46"/>
  <c r="D190" i="46"/>
  <c r="J189" i="46"/>
  <c r="I189" i="46"/>
  <c r="D189" i="46"/>
  <c r="J188" i="46"/>
  <c r="I188" i="46"/>
  <c r="D188" i="46"/>
  <c r="J187" i="46"/>
  <c r="I187" i="46"/>
  <c r="D187" i="46"/>
  <c r="J186" i="46"/>
  <c r="I186" i="46"/>
  <c r="D186" i="46"/>
  <c r="J185" i="46"/>
  <c r="I185" i="46"/>
  <c r="D185" i="46"/>
  <c r="J184" i="46"/>
  <c r="I184" i="46"/>
  <c r="D184" i="46"/>
  <c r="J183" i="46"/>
  <c r="I183" i="46"/>
  <c r="D183" i="46"/>
  <c r="J182" i="46"/>
  <c r="I182" i="46"/>
  <c r="D182" i="46"/>
  <c r="J181" i="46"/>
  <c r="I181" i="46"/>
  <c r="D181" i="46"/>
  <c r="J180" i="46"/>
  <c r="I180" i="46"/>
  <c r="D180" i="46"/>
  <c r="J179" i="46"/>
  <c r="I179" i="46"/>
  <c r="D179" i="46"/>
  <c r="J178" i="46"/>
  <c r="I178" i="46"/>
  <c r="D178" i="46"/>
  <c r="J177" i="46"/>
  <c r="I177" i="46"/>
  <c r="D177" i="46"/>
  <c r="J176" i="46"/>
  <c r="I176" i="46"/>
  <c r="D176" i="46"/>
  <c r="J175" i="46"/>
  <c r="I175" i="46"/>
  <c r="D175" i="46"/>
  <c r="J174" i="46"/>
  <c r="I174" i="46"/>
  <c r="D174" i="46"/>
  <c r="J173" i="46"/>
  <c r="I173" i="46"/>
  <c r="D173" i="46"/>
  <c r="J172" i="46"/>
  <c r="I172" i="46"/>
  <c r="D172" i="46"/>
  <c r="J171" i="46"/>
  <c r="I171" i="46"/>
  <c r="D171" i="46"/>
  <c r="J170" i="46"/>
  <c r="I170" i="46"/>
  <c r="D170" i="46"/>
  <c r="J169" i="46"/>
  <c r="I169" i="46"/>
  <c r="D169" i="46"/>
  <c r="J168" i="46"/>
  <c r="I168" i="46"/>
  <c r="D168" i="46"/>
  <c r="J167" i="46"/>
  <c r="I167" i="46"/>
  <c r="D167" i="46"/>
  <c r="J166" i="46"/>
  <c r="I166" i="46"/>
  <c r="D166" i="46"/>
  <c r="J165" i="46"/>
  <c r="I165" i="46"/>
  <c r="D165" i="46"/>
  <c r="J164" i="46"/>
  <c r="I164" i="46"/>
  <c r="D164" i="46"/>
  <c r="J163" i="46"/>
  <c r="I163" i="46"/>
  <c r="D163" i="46"/>
  <c r="J162" i="46"/>
  <c r="I162" i="46"/>
  <c r="D162" i="46"/>
  <c r="J161" i="46"/>
  <c r="I161" i="46"/>
  <c r="D161" i="46"/>
  <c r="J160" i="46"/>
  <c r="I160" i="46"/>
  <c r="D160" i="46"/>
  <c r="J159" i="46"/>
  <c r="I159" i="46"/>
  <c r="D159" i="46"/>
  <c r="J158" i="46"/>
  <c r="I158" i="46"/>
  <c r="D158" i="46"/>
  <c r="J157" i="46"/>
  <c r="I157" i="46"/>
  <c r="D157" i="46"/>
  <c r="J156" i="46"/>
  <c r="I156" i="46"/>
  <c r="D156" i="46"/>
  <c r="J155" i="46"/>
  <c r="I155" i="46"/>
  <c r="D155" i="46"/>
  <c r="J154" i="46"/>
  <c r="I154" i="46"/>
  <c r="D154" i="46"/>
  <c r="J153" i="46"/>
  <c r="I153" i="46"/>
  <c r="D153" i="46"/>
  <c r="J152" i="46"/>
  <c r="I152" i="46"/>
  <c r="D152" i="46"/>
  <c r="J151" i="46"/>
  <c r="I151" i="46"/>
  <c r="D151" i="46"/>
  <c r="J150" i="46"/>
  <c r="I150" i="46"/>
  <c r="D150" i="46"/>
  <c r="J149" i="46"/>
  <c r="I149" i="46"/>
  <c r="D149" i="46"/>
  <c r="J148" i="46"/>
  <c r="I148" i="46"/>
  <c r="D148" i="46"/>
  <c r="J147" i="46"/>
  <c r="I147" i="46"/>
  <c r="D147" i="46"/>
  <c r="J146" i="46"/>
  <c r="I146" i="46"/>
  <c r="D146" i="46"/>
  <c r="J145" i="46"/>
  <c r="I145" i="46"/>
  <c r="D145" i="46"/>
  <c r="J144" i="46"/>
  <c r="I144" i="46"/>
  <c r="D144" i="46"/>
  <c r="J143" i="46"/>
  <c r="I143" i="46"/>
  <c r="D143" i="46"/>
  <c r="J142" i="46"/>
  <c r="I142" i="46"/>
  <c r="D142" i="46"/>
  <c r="J141" i="46"/>
  <c r="I141" i="46"/>
  <c r="D141" i="46"/>
  <c r="J140" i="46"/>
  <c r="I140" i="46"/>
  <c r="D140" i="46"/>
  <c r="J139" i="46"/>
  <c r="I139" i="46"/>
  <c r="D139" i="46"/>
  <c r="J138" i="46"/>
  <c r="I138" i="46"/>
  <c r="D138" i="46"/>
  <c r="J137" i="46"/>
  <c r="I137" i="46"/>
  <c r="D137" i="46"/>
  <c r="J136" i="46"/>
  <c r="I136" i="46"/>
  <c r="D136" i="46"/>
  <c r="J135" i="46"/>
  <c r="I135" i="46"/>
  <c r="D135" i="46"/>
  <c r="J134" i="46"/>
  <c r="I134" i="46"/>
  <c r="D134" i="46"/>
  <c r="J133" i="46"/>
  <c r="I133" i="46"/>
  <c r="D133" i="46"/>
  <c r="J132" i="46"/>
  <c r="I132" i="46"/>
  <c r="D132" i="46"/>
  <c r="J131" i="46"/>
  <c r="I131" i="46"/>
  <c r="D131" i="46"/>
  <c r="J130" i="46"/>
  <c r="I130" i="46"/>
  <c r="D130" i="46"/>
  <c r="J129" i="46"/>
  <c r="I129" i="46"/>
  <c r="D129" i="46"/>
  <c r="J128" i="46"/>
  <c r="I128" i="46"/>
  <c r="D128" i="46"/>
  <c r="J127" i="46"/>
  <c r="I127" i="46"/>
  <c r="D127" i="46"/>
  <c r="J126" i="46"/>
  <c r="I126" i="46"/>
  <c r="D126" i="46"/>
  <c r="J125" i="46"/>
  <c r="I125" i="46"/>
  <c r="D125" i="46"/>
  <c r="J124" i="46"/>
  <c r="I124" i="46"/>
  <c r="D124" i="46"/>
  <c r="J123" i="46"/>
  <c r="I123" i="46"/>
  <c r="D123" i="46"/>
  <c r="J122" i="46"/>
  <c r="I122" i="46"/>
  <c r="D122" i="46"/>
  <c r="J121" i="46"/>
  <c r="I121" i="46"/>
  <c r="D121" i="46"/>
  <c r="J120" i="46"/>
  <c r="I120" i="46"/>
  <c r="D120" i="46"/>
  <c r="J119" i="46"/>
  <c r="I119" i="46"/>
  <c r="D119" i="46"/>
  <c r="J118" i="46"/>
  <c r="I118" i="46"/>
  <c r="D118" i="46"/>
  <c r="J117" i="46"/>
  <c r="I117" i="46"/>
  <c r="D117" i="46"/>
  <c r="J116" i="46"/>
  <c r="I116" i="46"/>
  <c r="D116" i="46"/>
  <c r="J115" i="46"/>
  <c r="I115" i="46"/>
  <c r="D115" i="46"/>
  <c r="J114" i="46"/>
  <c r="I114" i="46"/>
  <c r="D114" i="46"/>
  <c r="J113" i="46"/>
  <c r="I113" i="46"/>
  <c r="D113" i="46"/>
  <c r="J112" i="46"/>
  <c r="I112" i="46"/>
  <c r="D112" i="46"/>
  <c r="J111" i="46"/>
  <c r="I111" i="46"/>
  <c r="D111" i="46"/>
  <c r="J110" i="46"/>
  <c r="I110" i="46"/>
  <c r="D110" i="46"/>
  <c r="J109" i="46"/>
  <c r="I109" i="46"/>
  <c r="D109" i="46"/>
  <c r="J108" i="46"/>
  <c r="I108" i="46"/>
  <c r="D108" i="46"/>
  <c r="J107" i="46"/>
  <c r="I107" i="46"/>
  <c r="D107" i="46"/>
  <c r="J106" i="46"/>
  <c r="I106" i="46"/>
  <c r="D106" i="46"/>
  <c r="J105" i="46"/>
  <c r="I105" i="46"/>
  <c r="D105" i="46"/>
  <c r="J104" i="46"/>
  <c r="I104" i="46"/>
  <c r="D104" i="46"/>
  <c r="J103" i="46"/>
  <c r="I103" i="46"/>
  <c r="D103" i="46"/>
  <c r="J102" i="46"/>
  <c r="I102" i="46"/>
  <c r="D102" i="46"/>
  <c r="J101" i="46"/>
  <c r="I101" i="46"/>
  <c r="D101" i="46"/>
  <c r="J100" i="46"/>
  <c r="I100" i="46"/>
  <c r="D100" i="46"/>
  <c r="J99" i="46"/>
  <c r="I99" i="46"/>
  <c r="D99" i="46"/>
  <c r="J98" i="46"/>
  <c r="I98" i="46"/>
  <c r="D98" i="46"/>
  <c r="J97" i="46"/>
  <c r="I97" i="46"/>
  <c r="D97" i="46"/>
  <c r="J96" i="46"/>
  <c r="I96" i="46"/>
  <c r="D96" i="46"/>
  <c r="J95" i="46"/>
  <c r="I95" i="46"/>
  <c r="D95" i="46"/>
  <c r="J94" i="46"/>
  <c r="I94" i="46"/>
  <c r="D94" i="46"/>
  <c r="J93" i="46"/>
  <c r="I93" i="46"/>
  <c r="D93" i="46"/>
  <c r="J92" i="46"/>
  <c r="I92" i="46"/>
  <c r="D92" i="46"/>
  <c r="J91" i="46"/>
  <c r="I91" i="46"/>
  <c r="D91" i="46"/>
  <c r="J90" i="46"/>
  <c r="I90" i="46"/>
  <c r="D90" i="46"/>
  <c r="J89" i="46"/>
  <c r="I89" i="46"/>
  <c r="D89" i="46"/>
  <c r="J88" i="46"/>
  <c r="I88" i="46"/>
  <c r="D88" i="46"/>
  <c r="J87" i="46"/>
  <c r="I87" i="46"/>
  <c r="D87" i="46"/>
  <c r="J86" i="46"/>
  <c r="I86" i="46"/>
  <c r="D86" i="46"/>
  <c r="J85" i="46"/>
  <c r="I85" i="46"/>
  <c r="D85" i="46"/>
  <c r="J84" i="46"/>
  <c r="I84" i="46"/>
  <c r="D84" i="46"/>
  <c r="J83" i="46"/>
  <c r="I83" i="46"/>
  <c r="D83" i="46"/>
  <c r="J82" i="46"/>
  <c r="I82" i="46"/>
  <c r="D82" i="46"/>
  <c r="J81" i="46"/>
  <c r="I81" i="46"/>
  <c r="D81" i="46"/>
  <c r="J80" i="46"/>
  <c r="I80" i="46"/>
  <c r="D80" i="46"/>
  <c r="J79" i="46"/>
  <c r="I79" i="46"/>
  <c r="D79" i="46"/>
  <c r="J78" i="46"/>
  <c r="I78" i="46"/>
  <c r="D78" i="46"/>
  <c r="J77" i="46"/>
  <c r="I77" i="46"/>
  <c r="D77" i="46"/>
  <c r="J76" i="46"/>
  <c r="I76" i="46"/>
  <c r="D76" i="46"/>
  <c r="J75" i="46"/>
  <c r="I75" i="46"/>
  <c r="D75" i="46"/>
  <c r="J74" i="46"/>
  <c r="I74" i="46"/>
  <c r="D74" i="46"/>
  <c r="J73" i="46"/>
  <c r="I73" i="46"/>
  <c r="D73" i="46"/>
  <c r="J72" i="46"/>
  <c r="I72" i="46"/>
  <c r="D72" i="46"/>
  <c r="J71" i="46"/>
  <c r="I71" i="46"/>
  <c r="D71" i="46"/>
  <c r="J70" i="46"/>
  <c r="I70" i="46"/>
  <c r="D70" i="46"/>
  <c r="J69" i="46"/>
  <c r="I69" i="46"/>
  <c r="D69" i="46"/>
  <c r="J68" i="46"/>
  <c r="I68" i="46"/>
  <c r="D68" i="46"/>
  <c r="J67" i="46"/>
  <c r="I67" i="46"/>
  <c r="D67" i="46"/>
  <c r="J66" i="46"/>
  <c r="I66" i="46"/>
  <c r="D66" i="46"/>
  <c r="J65" i="46"/>
  <c r="I65" i="46"/>
  <c r="D65" i="46"/>
  <c r="J64" i="46"/>
  <c r="I64" i="46"/>
  <c r="D64" i="46"/>
  <c r="J63" i="46"/>
  <c r="I63" i="46"/>
  <c r="D63" i="46"/>
  <c r="J62" i="46"/>
  <c r="I62" i="46"/>
  <c r="D62" i="46"/>
  <c r="J61" i="46"/>
  <c r="I61" i="46"/>
  <c r="D61" i="46"/>
  <c r="J60" i="46"/>
  <c r="I60" i="46"/>
  <c r="D60" i="46"/>
  <c r="J59" i="46"/>
  <c r="I59" i="46"/>
  <c r="D59" i="46"/>
  <c r="J58" i="46"/>
  <c r="I58" i="46"/>
  <c r="D58" i="46"/>
  <c r="J57" i="46"/>
  <c r="I57" i="46"/>
  <c r="D57" i="46"/>
  <c r="J56" i="46"/>
  <c r="I56" i="46"/>
  <c r="D56" i="46"/>
  <c r="J55" i="46"/>
  <c r="I55" i="46"/>
  <c r="D55" i="46"/>
  <c r="J54" i="46"/>
  <c r="I54" i="46"/>
  <c r="D54" i="46"/>
  <c r="J53" i="46"/>
  <c r="I53" i="46"/>
  <c r="D53" i="46"/>
  <c r="J52" i="46"/>
  <c r="I52" i="46"/>
  <c r="D52" i="46"/>
  <c r="J51" i="46"/>
  <c r="I51" i="46"/>
  <c r="D51" i="46"/>
  <c r="J50" i="46"/>
  <c r="I50" i="46"/>
  <c r="D50" i="46"/>
  <c r="J49" i="46"/>
  <c r="I49" i="46"/>
  <c r="D49" i="46"/>
  <c r="J48" i="46"/>
  <c r="I48" i="46"/>
  <c r="D48" i="46"/>
  <c r="J47" i="46"/>
  <c r="I47" i="46"/>
  <c r="D47" i="46"/>
  <c r="J46" i="46"/>
  <c r="I46" i="46"/>
  <c r="D46" i="46"/>
  <c r="J45" i="46"/>
  <c r="I45" i="46"/>
  <c r="D45" i="46"/>
  <c r="J44" i="46"/>
  <c r="I44" i="46"/>
  <c r="D44" i="46"/>
  <c r="J43" i="46"/>
  <c r="I43" i="46"/>
  <c r="D43" i="46"/>
  <c r="J42" i="46"/>
  <c r="I42" i="46"/>
  <c r="D42" i="46"/>
  <c r="J41" i="46"/>
  <c r="I41" i="46"/>
  <c r="D41" i="46"/>
  <c r="J40" i="46"/>
  <c r="I40" i="46"/>
  <c r="D40" i="46"/>
  <c r="J39" i="46"/>
  <c r="I39" i="46"/>
  <c r="D39" i="46"/>
  <c r="J38" i="46"/>
  <c r="I38" i="46"/>
  <c r="D38" i="46"/>
  <c r="J37" i="46"/>
  <c r="I37" i="46"/>
  <c r="D37" i="46"/>
  <c r="J36" i="46"/>
  <c r="I36" i="46"/>
  <c r="D36" i="46"/>
  <c r="J35" i="46"/>
  <c r="I35" i="46"/>
  <c r="D35" i="46"/>
  <c r="J34" i="46"/>
  <c r="I34" i="46"/>
  <c r="D34" i="46"/>
  <c r="P33" i="46"/>
  <c r="J33" i="46"/>
  <c r="I33" i="46"/>
  <c r="D33" i="46"/>
  <c r="P32" i="46"/>
  <c r="J32" i="46"/>
  <c r="I32" i="46"/>
  <c r="D32" i="46"/>
  <c r="P31" i="46"/>
  <c r="J31" i="46"/>
  <c r="I31" i="46"/>
  <c r="D31" i="46"/>
  <c r="P30" i="46"/>
  <c r="J30" i="46"/>
  <c r="I30" i="46"/>
  <c r="D30" i="46"/>
  <c r="P29" i="46"/>
  <c r="J29" i="46"/>
  <c r="I29" i="46"/>
  <c r="D29" i="46"/>
  <c r="P28" i="46"/>
  <c r="J28" i="46"/>
  <c r="I28" i="46"/>
  <c r="D28" i="46"/>
  <c r="J27" i="46"/>
  <c r="I27" i="46"/>
  <c r="D27" i="46"/>
  <c r="P26" i="46"/>
  <c r="J26" i="46"/>
  <c r="I26" i="46"/>
  <c r="D26" i="46"/>
  <c r="P25" i="46"/>
  <c r="J25" i="46"/>
  <c r="I25" i="46"/>
  <c r="D25" i="46"/>
  <c r="P24" i="46"/>
  <c r="J24" i="46"/>
  <c r="I24" i="46"/>
  <c r="D24" i="46"/>
  <c r="P23" i="46"/>
  <c r="J23" i="46"/>
  <c r="I23" i="46"/>
  <c r="D23" i="46"/>
  <c r="P22" i="46"/>
  <c r="J22" i="46"/>
  <c r="I22" i="46"/>
  <c r="D22" i="46"/>
  <c r="P21" i="46"/>
  <c r="J21" i="46"/>
  <c r="I21" i="46"/>
  <c r="D21" i="46"/>
  <c r="J20" i="46"/>
  <c r="I20" i="46"/>
  <c r="D20" i="46"/>
  <c r="M19" i="46"/>
  <c r="J19" i="46"/>
  <c r="I19" i="46"/>
  <c r="D19" i="46"/>
  <c r="J18" i="46"/>
  <c r="I18" i="46"/>
  <c r="D18" i="46"/>
  <c r="J17" i="46"/>
  <c r="I17" i="46"/>
  <c r="D17" i="46"/>
  <c r="J16" i="46"/>
  <c r="I16" i="46"/>
  <c r="D16" i="46"/>
  <c r="J15" i="46"/>
  <c r="I15" i="46"/>
  <c r="D15" i="46"/>
  <c r="J14" i="46"/>
  <c r="I14" i="46"/>
  <c r="D14" i="46"/>
  <c r="J13" i="46"/>
  <c r="I13" i="46"/>
  <c r="D13" i="46"/>
  <c r="J12" i="46"/>
  <c r="I12" i="46"/>
  <c r="D12" i="46"/>
  <c r="J11" i="46"/>
  <c r="I11" i="46"/>
  <c r="D11" i="46"/>
  <c r="J10" i="46"/>
  <c r="I10" i="46"/>
  <c r="D10" i="46"/>
  <c r="J9" i="46"/>
  <c r="I9" i="46"/>
  <c r="D9" i="46"/>
  <c r="J8" i="46"/>
  <c r="I8" i="46"/>
  <c r="D8" i="46"/>
  <c r="J7" i="46"/>
  <c r="I7" i="46"/>
  <c r="D7" i="46"/>
  <c r="J6" i="46"/>
  <c r="I6" i="46"/>
  <c r="D6" i="46"/>
  <c r="B2" i="46" a="1"/>
  <c r="B2" i="46" s="1"/>
  <c r="J488" i="45"/>
  <c r="I488" i="45"/>
  <c r="D488" i="45"/>
  <c r="J487" i="45"/>
  <c r="I487" i="45"/>
  <c r="D487" i="45"/>
  <c r="J486" i="45"/>
  <c r="I486" i="45"/>
  <c r="D486" i="45"/>
  <c r="J485" i="45"/>
  <c r="I485" i="45"/>
  <c r="D485" i="45"/>
  <c r="J484" i="45"/>
  <c r="I484" i="45"/>
  <c r="D484" i="45"/>
  <c r="J483" i="45"/>
  <c r="I483" i="45"/>
  <c r="D483" i="45"/>
  <c r="J482" i="45"/>
  <c r="I482" i="45"/>
  <c r="D482" i="45"/>
  <c r="J481" i="45"/>
  <c r="I481" i="45"/>
  <c r="D481" i="45"/>
  <c r="J480" i="45"/>
  <c r="I480" i="45"/>
  <c r="D480" i="45"/>
  <c r="J479" i="45"/>
  <c r="I479" i="45"/>
  <c r="D479" i="45"/>
  <c r="J478" i="45"/>
  <c r="I478" i="45"/>
  <c r="D478" i="45"/>
  <c r="J477" i="45"/>
  <c r="I477" i="45"/>
  <c r="D477" i="45"/>
  <c r="J476" i="45"/>
  <c r="I476" i="45"/>
  <c r="D476" i="45"/>
  <c r="J475" i="45"/>
  <c r="I475" i="45"/>
  <c r="D475" i="45"/>
  <c r="J474" i="45"/>
  <c r="I474" i="45"/>
  <c r="D474" i="45"/>
  <c r="J473" i="45"/>
  <c r="I473" i="45"/>
  <c r="D473" i="45"/>
  <c r="J472" i="45"/>
  <c r="I472" i="45"/>
  <c r="D472" i="45"/>
  <c r="J471" i="45"/>
  <c r="I471" i="45"/>
  <c r="D471" i="45"/>
  <c r="J470" i="45"/>
  <c r="I470" i="45"/>
  <c r="D470" i="45"/>
  <c r="J469" i="45"/>
  <c r="I469" i="45"/>
  <c r="D469" i="45"/>
  <c r="J468" i="45"/>
  <c r="I468" i="45"/>
  <c r="D468" i="45"/>
  <c r="J467" i="45"/>
  <c r="I467" i="45"/>
  <c r="D467" i="45"/>
  <c r="J466" i="45"/>
  <c r="I466" i="45"/>
  <c r="D466" i="45"/>
  <c r="J465" i="45"/>
  <c r="I465" i="45"/>
  <c r="D465" i="45"/>
  <c r="J464" i="45"/>
  <c r="I464" i="45"/>
  <c r="D464" i="45"/>
  <c r="J463" i="45"/>
  <c r="I463" i="45"/>
  <c r="D463" i="45"/>
  <c r="J462" i="45"/>
  <c r="I462" i="45"/>
  <c r="D462" i="45"/>
  <c r="J461" i="45"/>
  <c r="I461" i="45"/>
  <c r="D461" i="45"/>
  <c r="J460" i="45"/>
  <c r="I460" i="45"/>
  <c r="D460" i="45"/>
  <c r="J459" i="45"/>
  <c r="I459" i="45"/>
  <c r="D459" i="45"/>
  <c r="J458" i="45"/>
  <c r="I458" i="45"/>
  <c r="D458" i="45"/>
  <c r="J457" i="45"/>
  <c r="I457" i="45"/>
  <c r="D457" i="45"/>
  <c r="J456" i="45"/>
  <c r="I456" i="45"/>
  <c r="D456" i="45"/>
  <c r="J455" i="45"/>
  <c r="I455" i="45"/>
  <c r="D455" i="45"/>
  <c r="J454" i="45"/>
  <c r="I454" i="45"/>
  <c r="D454" i="45"/>
  <c r="J453" i="45"/>
  <c r="I453" i="45"/>
  <c r="D453" i="45"/>
  <c r="J452" i="45"/>
  <c r="I452" i="45"/>
  <c r="D452" i="45"/>
  <c r="J451" i="45"/>
  <c r="I451" i="45"/>
  <c r="D451" i="45"/>
  <c r="J450" i="45"/>
  <c r="I450" i="45"/>
  <c r="D450" i="45"/>
  <c r="J449" i="45"/>
  <c r="I449" i="45"/>
  <c r="D449" i="45"/>
  <c r="J448" i="45"/>
  <c r="I448" i="45"/>
  <c r="D448" i="45"/>
  <c r="J447" i="45"/>
  <c r="I447" i="45"/>
  <c r="D447" i="45"/>
  <c r="J446" i="45"/>
  <c r="I446" i="45"/>
  <c r="D446" i="45"/>
  <c r="J445" i="45"/>
  <c r="I445" i="45"/>
  <c r="D445" i="45"/>
  <c r="J444" i="45"/>
  <c r="I444" i="45"/>
  <c r="D444" i="45"/>
  <c r="J443" i="45"/>
  <c r="I443" i="45"/>
  <c r="D443" i="45"/>
  <c r="J442" i="45"/>
  <c r="I442" i="45"/>
  <c r="D442" i="45"/>
  <c r="J441" i="45"/>
  <c r="I441" i="45"/>
  <c r="D441" i="45"/>
  <c r="J440" i="45"/>
  <c r="I440" i="45"/>
  <c r="D440" i="45"/>
  <c r="J439" i="45"/>
  <c r="I439" i="45"/>
  <c r="D439" i="45"/>
  <c r="J438" i="45"/>
  <c r="I438" i="45"/>
  <c r="D438" i="45"/>
  <c r="J437" i="45"/>
  <c r="I437" i="45"/>
  <c r="D437" i="45"/>
  <c r="J436" i="45"/>
  <c r="I436" i="45"/>
  <c r="D436" i="45"/>
  <c r="J435" i="45"/>
  <c r="I435" i="45"/>
  <c r="D435" i="45"/>
  <c r="J434" i="45"/>
  <c r="I434" i="45"/>
  <c r="D434" i="45"/>
  <c r="J433" i="45"/>
  <c r="I433" i="45"/>
  <c r="D433" i="45"/>
  <c r="J432" i="45"/>
  <c r="I432" i="45"/>
  <c r="D432" i="45"/>
  <c r="J431" i="45"/>
  <c r="I431" i="45"/>
  <c r="D431" i="45"/>
  <c r="J430" i="45"/>
  <c r="I430" i="45"/>
  <c r="D430" i="45"/>
  <c r="J429" i="45"/>
  <c r="I429" i="45"/>
  <c r="D429" i="45"/>
  <c r="J428" i="45"/>
  <c r="I428" i="45"/>
  <c r="D428" i="45"/>
  <c r="J427" i="45"/>
  <c r="I427" i="45"/>
  <c r="D427" i="45"/>
  <c r="J426" i="45"/>
  <c r="I426" i="45"/>
  <c r="D426" i="45"/>
  <c r="J425" i="45"/>
  <c r="I425" i="45"/>
  <c r="D425" i="45"/>
  <c r="J424" i="45"/>
  <c r="I424" i="45"/>
  <c r="D424" i="45"/>
  <c r="J423" i="45"/>
  <c r="I423" i="45"/>
  <c r="D423" i="45"/>
  <c r="J422" i="45"/>
  <c r="I422" i="45"/>
  <c r="D422" i="45"/>
  <c r="J421" i="45"/>
  <c r="I421" i="45"/>
  <c r="D421" i="45"/>
  <c r="J420" i="45"/>
  <c r="I420" i="45"/>
  <c r="D420" i="45"/>
  <c r="J419" i="45"/>
  <c r="I419" i="45"/>
  <c r="D419" i="45"/>
  <c r="J418" i="45"/>
  <c r="I418" i="45"/>
  <c r="D418" i="45"/>
  <c r="J417" i="45"/>
  <c r="I417" i="45"/>
  <c r="D417" i="45"/>
  <c r="J416" i="45"/>
  <c r="I416" i="45"/>
  <c r="D416" i="45"/>
  <c r="J415" i="45"/>
  <c r="I415" i="45"/>
  <c r="D415" i="45"/>
  <c r="J414" i="45"/>
  <c r="I414" i="45"/>
  <c r="D414" i="45"/>
  <c r="J413" i="45"/>
  <c r="I413" i="45"/>
  <c r="D413" i="45"/>
  <c r="J412" i="45"/>
  <c r="I412" i="45"/>
  <c r="D412" i="45"/>
  <c r="J411" i="45"/>
  <c r="I411" i="45"/>
  <c r="D411" i="45"/>
  <c r="J410" i="45"/>
  <c r="I410" i="45"/>
  <c r="D410" i="45"/>
  <c r="J409" i="45"/>
  <c r="I409" i="45"/>
  <c r="D409" i="45"/>
  <c r="J408" i="45"/>
  <c r="I408" i="45"/>
  <c r="D408" i="45"/>
  <c r="J407" i="45"/>
  <c r="I407" i="45"/>
  <c r="D407" i="45"/>
  <c r="J406" i="45"/>
  <c r="I406" i="45"/>
  <c r="D406" i="45"/>
  <c r="J405" i="45"/>
  <c r="I405" i="45"/>
  <c r="D405" i="45"/>
  <c r="J404" i="45"/>
  <c r="I404" i="45"/>
  <c r="D404" i="45"/>
  <c r="J403" i="45"/>
  <c r="I403" i="45"/>
  <c r="D403" i="45"/>
  <c r="J402" i="45"/>
  <c r="I402" i="45"/>
  <c r="D402" i="45"/>
  <c r="J401" i="45"/>
  <c r="I401" i="45"/>
  <c r="D401" i="45"/>
  <c r="J400" i="45"/>
  <c r="I400" i="45"/>
  <c r="D400" i="45"/>
  <c r="J399" i="45"/>
  <c r="I399" i="45"/>
  <c r="D399" i="45"/>
  <c r="J398" i="45"/>
  <c r="I398" i="45"/>
  <c r="D398" i="45"/>
  <c r="J397" i="45"/>
  <c r="I397" i="45"/>
  <c r="D397" i="45"/>
  <c r="J396" i="45"/>
  <c r="I396" i="45"/>
  <c r="D396" i="45"/>
  <c r="J395" i="45"/>
  <c r="I395" i="45"/>
  <c r="D395" i="45"/>
  <c r="J394" i="45"/>
  <c r="I394" i="45"/>
  <c r="D394" i="45"/>
  <c r="J393" i="45"/>
  <c r="I393" i="45"/>
  <c r="D393" i="45"/>
  <c r="J392" i="45"/>
  <c r="I392" i="45"/>
  <c r="D392" i="45"/>
  <c r="J391" i="45"/>
  <c r="I391" i="45"/>
  <c r="D391" i="45"/>
  <c r="J390" i="45"/>
  <c r="I390" i="45"/>
  <c r="D390" i="45"/>
  <c r="J389" i="45"/>
  <c r="I389" i="45"/>
  <c r="D389" i="45"/>
  <c r="J388" i="45"/>
  <c r="I388" i="45"/>
  <c r="D388" i="45"/>
  <c r="J387" i="45"/>
  <c r="I387" i="45"/>
  <c r="D387" i="45"/>
  <c r="J386" i="45"/>
  <c r="I386" i="45"/>
  <c r="D386" i="45"/>
  <c r="J385" i="45"/>
  <c r="I385" i="45"/>
  <c r="D385" i="45"/>
  <c r="J384" i="45"/>
  <c r="I384" i="45"/>
  <c r="D384" i="45"/>
  <c r="J383" i="45"/>
  <c r="I383" i="45"/>
  <c r="D383" i="45"/>
  <c r="J382" i="45"/>
  <c r="I382" i="45"/>
  <c r="D382" i="45"/>
  <c r="J381" i="45"/>
  <c r="I381" i="45"/>
  <c r="D381" i="45"/>
  <c r="J380" i="45"/>
  <c r="I380" i="45"/>
  <c r="D380" i="45"/>
  <c r="J379" i="45"/>
  <c r="I379" i="45"/>
  <c r="D379" i="45"/>
  <c r="J378" i="45"/>
  <c r="I378" i="45"/>
  <c r="D378" i="45"/>
  <c r="J377" i="45"/>
  <c r="I377" i="45"/>
  <c r="D377" i="45"/>
  <c r="J376" i="45"/>
  <c r="I376" i="45"/>
  <c r="D376" i="45"/>
  <c r="J375" i="45"/>
  <c r="I375" i="45"/>
  <c r="D375" i="45"/>
  <c r="J374" i="45"/>
  <c r="I374" i="45"/>
  <c r="D374" i="45"/>
  <c r="J373" i="45"/>
  <c r="I373" i="45"/>
  <c r="D373" i="45"/>
  <c r="J372" i="45"/>
  <c r="I372" i="45"/>
  <c r="D372" i="45"/>
  <c r="J371" i="45"/>
  <c r="I371" i="45"/>
  <c r="D371" i="45"/>
  <c r="J370" i="45"/>
  <c r="I370" i="45"/>
  <c r="D370" i="45"/>
  <c r="J369" i="45"/>
  <c r="I369" i="45"/>
  <c r="D369" i="45"/>
  <c r="J368" i="45"/>
  <c r="I368" i="45"/>
  <c r="D368" i="45"/>
  <c r="J367" i="45"/>
  <c r="I367" i="45"/>
  <c r="D367" i="45"/>
  <c r="J366" i="45"/>
  <c r="I366" i="45"/>
  <c r="D366" i="45"/>
  <c r="J365" i="45"/>
  <c r="I365" i="45"/>
  <c r="D365" i="45"/>
  <c r="J364" i="45"/>
  <c r="I364" i="45"/>
  <c r="D364" i="45"/>
  <c r="J363" i="45"/>
  <c r="I363" i="45"/>
  <c r="D363" i="45"/>
  <c r="J362" i="45"/>
  <c r="I362" i="45"/>
  <c r="D362" i="45"/>
  <c r="J361" i="45"/>
  <c r="I361" i="45"/>
  <c r="D361" i="45"/>
  <c r="J360" i="45"/>
  <c r="I360" i="45"/>
  <c r="D360" i="45"/>
  <c r="J359" i="45"/>
  <c r="I359" i="45"/>
  <c r="D359" i="45"/>
  <c r="J358" i="45"/>
  <c r="I358" i="45"/>
  <c r="D358" i="45"/>
  <c r="J357" i="45"/>
  <c r="I357" i="45"/>
  <c r="D357" i="45"/>
  <c r="J356" i="45"/>
  <c r="I356" i="45"/>
  <c r="D356" i="45"/>
  <c r="J355" i="45"/>
  <c r="I355" i="45"/>
  <c r="D355" i="45"/>
  <c r="J354" i="45"/>
  <c r="I354" i="45"/>
  <c r="D354" i="45"/>
  <c r="J353" i="45"/>
  <c r="I353" i="45"/>
  <c r="D353" i="45"/>
  <c r="J352" i="45"/>
  <c r="I352" i="45"/>
  <c r="D352" i="45"/>
  <c r="J351" i="45"/>
  <c r="I351" i="45"/>
  <c r="D351" i="45"/>
  <c r="J350" i="45"/>
  <c r="I350" i="45"/>
  <c r="D350" i="45"/>
  <c r="J349" i="45"/>
  <c r="I349" i="45"/>
  <c r="D349" i="45"/>
  <c r="J348" i="45"/>
  <c r="I348" i="45"/>
  <c r="D348" i="45"/>
  <c r="J347" i="45"/>
  <c r="I347" i="45"/>
  <c r="D347" i="45"/>
  <c r="J346" i="45"/>
  <c r="I346" i="45"/>
  <c r="D346" i="45"/>
  <c r="J345" i="45"/>
  <c r="I345" i="45"/>
  <c r="D345" i="45"/>
  <c r="J344" i="45"/>
  <c r="I344" i="45"/>
  <c r="D344" i="45"/>
  <c r="J343" i="45"/>
  <c r="I343" i="45"/>
  <c r="D343" i="45"/>
  <c r="J342" i="45"/>
  <c r="I342" i="45"/>
  <c r="D342" i="45"/>
  <c r="J341" i="45"/>
  <c r="I341" i="45"/>
  <c r="D341" i="45"/>
  <c r="J340" i="45"/>
  <c r="I340" i="45"/>
  <c r="D340" i="45"/>
  <c r="J339" i="45"/>
  <c r="I339" i="45"/>
  <c r="D339" i="45"/>
  <c r="J338" i="45"/>
  <c r="I338" i="45"/>
  <c r="D338" i="45"/>
  <c r="J337" i="45"/>
  <c r="I337" i="45"/>
  <c r="D337" i="45"/>
  <c r="J336" i="45"/>
  <c r="I336" i="45"/>
  <c r="D336" i="45"/>
  <c r="J335" i="45"/>
  <c r="I335" i="45"/>
  <c r="D335" i="45"/>
  <c r="J334" i="45"/>
  <c r="I334" i="45"/>
  <c r="D334" i="45"/>
  <c r="J333" i="45"/>
  <c r="I333" i="45"/>
  <c r="D333" i="45"/>
  <c r="J332" i="45"/>
  <c r="I332" i="45"/>
  <c r="D332" i="45"/>
  <c r="J331" i="45"/>
  <c r="I331" i="45"/>
  <c r="D331" i="45"/>
  <c r="J330" i="45"/>
  <c r="I330" i="45"/>
  <c r="D330" i="45"/>
  <c r="J329" i="45"/>
  <c r="I329" i="45"/>
  <c r="D329" i="45"/>
  <c r="J328" i="45"/>
  <c r="I328" i="45"/>
  <c r="D328" i="45"/>
  <c r="J327" i="45"/>
  <c r="I327" i="45"/>
  <c r="D327" i="45"/>
  <c r="J326" i="45"/>
  <c r="I326" i="45"/>
  <c r="D326" i="45"/>
  <c r="J325" i="45"/>
  <c r="I325" i="45"/>
  <c r="D325" i="45"/>
  <c r="J324" i="45"/>
  <c r="I324" i="45"/>
  <c r="D324" i="45"/>
  <c r="J323" i="45"/>
  <c r="I323" i="45"/>
  <c r="D323" i="45"/>
  <c r="J322" i="45"/>
  <c r="I322" i="45"/>
  <c r="D322" i="45"/>
  <c r="J321" i="45"/>
  <c r="I321" i="45"/>
  <c r="D321" i="45"/>
  <c r="J320" i="45"/>
  <c r="I320" i="45"/>
  <c r="D320" i="45"/>
  <c r="J319" i="45"/>
  <c r="I319" i="45"/>
  <c r="D319" i="45"/>
  <c r="J318" i="45"/>
  <c r="I318" i="45"/>
  <c r="D318" i="45"/>
  <c r="J317" i="45"/>
  <c r="I317" i="45"/>
  <c r="D317" i="45"/>
  <c r="J316" i="45"/>
  <c r="I316" i="45"/>
  <c r="D316" i="45"/>
  <c r="J315" i="45"/>
  <c r="I315" i="45"/>
  <c r="D315" i="45"/>
  <c r="J314" i="45"/>
  <c r="I314" i="45"/>
  <c r="D314" i="45"/>
  <c r="J313" i="45"/>
  <c r="I313" i="45"/>
  <c r="D313" i="45"/>
  <c r="J312" i="45"/>
  <c r="I312" i="45"/>
  <c r="D312" i="45"/>
  <c r="J311" i="45"/>
  <c r="I311" i="45"/>
  <c r="D311" i="45"/>
  <c r="J310" i="45"/>
  <c r="I310" i="45"/>
  <c r="D310" i="45"/>
  <c r="J309" i="45"/>
  <c r="I309" i="45"/>
  <c r="D309" i="45"/>
  <c r="J308" i="45"/>
  <c r="I308" i="45"/>
  <c r="D308" i="45"/>
  <c r="J307" i="45"/>
  <c r="I307" i="45"/>
  <c r="D307" i="45"/>
  <c r="J306" i="45"/>
  <c r="I306" i="45"/>
  <c r="D306" i="45"/>
  <c r="J305" i="45"/>
  <c r="I305" i="45"/>
  <c r="D305" i="45"/>
  <c r="J304" i="45"/>
  <c r="I304" i="45"/>
  <c r="D304" i="45"/>
  <c r="J303" i="45"/>
  <c r="I303" i="45"/>
  <c r="D303" i="45"/>
  <c r="J302" i="45"/>
  <c r="I302" i="45"/>
  <c r="D302" i="45"/>
  <c r="J301" i="45"/>
  <c r="I301" i="45"/>
  <c r="D301" i="45"/>
  <c r="J300" i="45"/>
  <c r="I300" i="45"/>
  <c r="D300" i="45"/>
  <c r="J299" i="45"/>
  <c r="I299" i="45"/>
  <c r="D299" i="45"/>
  <c r="J298" i="45"/>
  <c r="I298" i="45"/>
  <c r="D298" i="45"/>
  <c r="J297" i="45"/>
  <c r="I297" i="45"/>
  <c r="D297" i="45"/>
  <c r="J296" i="45"/>
  <c r="I296" i="45"/>
  <c r="D296" i="45"/>
  <c r="J295" i="45"/>
  <c r="I295" i="45"/>
  <c r="D295" i="45"/>
  <c r="J294" i="45"/>
  <c r="I294" i="45"/>
  <c r="D294" i="45"/>
  <c r="J293" i="45"/>
  <c r="I293" i="45"/>
  <c r="D293" i="45"/>
  <c r="J292" i="45"/>
  <c r="I292" i="45"/>
  <c r="D292" i="45"/>
  <c r="J291" i="45"/>
  <c r="I291" i="45"/>
  <c r="D291" i="45"/>
  <c r="J290" i="45"/>
  <c r="I290" i="45"/>
  <c r="D290" i="45"/>
  <c r="J289" i="45"/>
  <c r="I289" i="45"/>
  <c r="D289" i="45"/>
  <c r="J288" i="45"/>
  <c r="I288" i="45"/>
  <c r="D288" i="45"/>
  <c r="J287" i="45"/>
  <c r="I287" i="45"/>
  <c r="D287" i="45"/>
  <c r="J286" i="45"/>
  <c r="I286" i="45"/>
  <c r="D286" i="45"/>
  <c r="J285" i="45"/>
  <c r="I285" i="45"/>
  <c r="D285" i="45"/>
  <c r="J284" i="45"/>
  <c r="I284" i="45"/>
  <c r="D284" i="45"/>
  <c r="J283" i="45"/>
  <c r="I283" i="45"/>
  <c r="D283" i="45"/>
  <c r="J282" i="45"/>
  <c r="I282" i="45"/>
  <c r="D282" i="45"/>
  <c r="J281" i="45"/>
  <c r="I281" i="45"/>
  <c r="D281" i="45"/>
  <c r="J280" i="45"/>
  <c r="I280" i="45"/>
  <c r="D280" i="45"/>
  <c r="J279" i="45"/>
  <c r="I279" i="45"/>
  <c r="D279" i="45"/>
  <c r="J278" i="45"/>
  <c r="I278" i="45"/>
  <c r="D278" i="45"/>
  <c r="J277" i="45"/>
  <c r="I277" i="45"/>
  <c r="D277" i="45"/>
  <c r="J276" i="45"/>
  <c r="I276" i="45"/>
  <c r="D276" i="45"/>
  <c r="J275" i="45"/>
  <c r="I275" i="45"/>
  <c r="D275" i="45"/>
  <c r="J274" i="45"/>
  <c r="I274" i="45"/>
  <c r="D274" i="45"/>
  <c r="J273" i="45"/>
  <c r="I273" i="45"/>
  <c r="D273" i="45"/>
  <c r="J272" i="45"/>
  <c r="I272" i="45"/>
  <c r="D272" i="45"/>
  <c r="J271" i="45"/>
  <c r="I271" i="45"/>
  <c r="D271" i="45"/>
  <c r="J270" i="45"/>
  <c r="I270" i="45"/>
  <c r="D270" i="45"/>
  <c r="J269" i="45"/>
  <c r="I269" i="45"/>
  <c r="D269" i="45"/>
  <c r="J268" i="45"/>
  <c r="I268" i="45"/>
  <c r="D268" i="45"/>
  <c r="J267" i="45"/>
  <c r="I267" i="45"/>
  <c r="D267" i="45"/>
  <c r="J266" i="45"/>
  <c r="I266" i="45"/>
  <c r="D266" i="45"/>
  <c r="J265" i="45"/>
  <c r="I265" i="45"/>
  <c r="D265" i="45"/>
  <c r="J264" i="45"/>
  <c r="I264" i="45"/>
  <c r="D264" i="45"/>
  <c r="J263" i="45"/>
  <c r="I263" i="45"/>
  <c r="D263" i="45"/>
  <c r="J262" i="45"/>
  <c r="I262" i="45"/>
  <c r="D262" i="45"/>
  <c r="J261" i="45"/>
  <c r="I261" i="45"/>
  <c r="D261" i="45"/>
  <c r="J260" i="45"/>
  <c r="I260" i="45"/>
  <c r="D260" i="45"/>
  <c r="J259" i="45"/>
  <c r="I259" i="45"/>
  <c r="D259" i="45"/>
  <c r="J258" i="45"/>
  <c r="I258" i="45"/>
  <c r="D258" i="45"/>
  <c r="J257" i="45"/>
  <c r="I257" i="45"/>
  <c r="D257" i="45"/>
  <c r="J256" i="45"/>
  <c r="I256" i="45"/>
  <c r="D256" i="45"/>
  <c r="J255" i="45"/>
  <c r="I255" i="45"/>
  <c r="D255" i="45"/>
  <c r="J254" i="45"/>
  <c r="I254" i="45"/>
  <c r="D254" i="45"/>
  <c r="J253" i="45"/>
  <c r="I253" i="45"/>
  <c r="D253" i="45"/>
  <c r="J252" i="45"/>
  <c r="I252" i="45"/>
  <c r="D252" i="45"/>
  <c r="J251" i="45"/>
  <c r="I251" i="45"/>
  <c r="D251" i="45"/>
  <c r="J250" i="45"/>
  <c r="I250" i="45"/>
  <c r="D250" i="45"/>
  <c r="J249" i="45"/>
  <c r="I249" i="45"/>
  <c r="D249" i="45"/>
  <c r="J248" i="45"/>
  <c r="I248" i="45"/>
  <c r="D248" i="45"/>
  <c r="J247" i="45"/>
  <c r="I247" i="45"/>
  <c r="D247" i="45"/>
  <c r="J246" i="45"/>
  <c r="I246" i="45"/>
  <c r="D246" i="45"/>
  <c r="J245" i="45"/>
  <c r="I245" i="45"/>
  <c r="D245" i="45"/>
  <c r="J244" i="45"/>
  <c r="I244" i="45"/>
  <c r="D244" i="45"/>
  <c r="J243" i="45"/>
  <c r="I243" i="45"/>
  <c r="D243" i="45"/>
  <c r="J242" i="45"/>
  <c r="I242" i="45"/>
  <c r="D242" i="45"/>
  <c r="J241" i="45"/>
  <c r="I241" i="45"/>
  <c r="D241" i="45"/>
  <c r="J240" i="45"/>
  <c r="I240" i="45"/>
  <c r="D240" i="45"/>
  <c r="J239" i="45"/>
  <c r="I239" i="45"/>
  <c r="D239" i="45"/>
  <c r="J238" i="45"/>
  <c r="I238" i="45"/>
  <c r="D238" i="45"/>
  <c r="J237" i="45"/>
  <c r="I237" i="45"/>
  <c r="D237" i="45"/>
  <c r="J236" i="45"/>
  <c r="I236" i="45"/>
  <c r="D236" i="45"/>
  <c r="J235" i="45"/>
  <c r="I235" i="45"/>
  <c r="D235" i="45"/>
  <c r="J234" i="45"/>
  <c r="I234" i="45"/>
  <c r="D234" i="45"/>
  <c r="J233" i="45"/>
  <c r="I233" i="45"/>
  <c r="D233" i="45"/>
  <c r="J232" i="45"/>
  <c r="I232" i="45"/>
  <c r="D232" i="45"/>
  <c r="J231" i="45"/>
  <c r="I231" i="45"/>
  <c r="D231" i="45"/>
  <c r="J230" i="45"/>
  <c r="I230" i="45"/>
  <c r="D230" i="45"/>
  <c r="J229" i="45"/>
  <c r="I229" i="45"/>
  <c r="D229" i="45"/>
  <c r="J228" i="45"/>
  <c r="I228" i="45"/>
  <c r="D228" i="45"/>
  <c r="J227" i="45"/>
  <c r="I227" i="45"/>
  <c r="D227" i="45"/>
  <c r="J226" i="45"/>
  <c r="I226" i="45"/>
  <c r="D226" i="45"/>
  <c r="J225" i="45"/>
  <c r="I225" i="45"/>
  <c r="D225" i="45"/>
  <c r="J224" i="45"/>
  <c r="I224" i="45"/>
  <c r="D224" i="45"/>
  <c r="J223" i="45"/>
  <c r="I223" i="45"/>
  <c r="D223" i="45"/>
  <c r="J222" i="45"/>
  <c r="I222" i="45"/>
  <c r="D222" i="45"/>
  <c r="J221" i="45"/>
  <c r="I221" i="45"/>
  <c r="D221" i="45"/>
  <c r="J220" i="45"/>
  <c r="I220" i="45"/>
  <c r="D220" i="45"/>
  <c r="J219" i="45"/>
  <c r="I219" i="45"/>
  <c r="D219" i="45"/>
  <c r="J218" i="45"/>
  <c r="I218" i="45"/>
  <c r="D218" i="45"/>
  <c r="J217" i="45"/>
  <c r="I217" i="45"/>
  <c r="D217" i="45"/>
  <c r="J216" i="45"/>
  <c r="I216" i="45"/>
  <c r="D216" i="45"/>
  <c r="J215" i="45"/>
  <c r="I215" i="45"/>
  <c r="D215" i="45"/>
  <c r="J214" i="45"/>
  <c r="I214" i="45"/>
  <c r="D214" i="45"/>
  <c r="J213" i="45"/>
  <c r="I213" i="45"/>
  <c r="D213" i="45"/>
  <c r="J212" i="45"/>
  <c r="I212" i="45"/>
  <c r="D212" i="45"/>
  <c r="J211" i="45"/>
  <c r="I211" i="45"/>
  <c r="D211" i="45"/>
  <c r="J210" i="45"/>
  <c r="I210" i="45"/>
  <c r="D210" i="45"/>
  <c r="J209" i="45"/>
  <c r="I209" i="45"/>
  <c r="D209" i="45"/>
  <c r="J208" i="45"/>
  <c r="I208" i="45"/>
  <c r="D208" i="45"/>
  <c r="J207" i="45"/>
  <c r="I207" i="45"/>
  <c r="D207" i="45"/>
  <c r="J206" i="45"/>
  <c r="I206" i="45"/>
  <c r="D206" i="45"/>
  <c r="J205" i="45"/>
  <c r="I205" i="45"/>
  <c r="D205" i="45"/>
  <c r="J204" i="45"/>
  <c r="I204" i="45"/>
  <c r="D204" i="45"/>
  <c r="J203" i="45"/>
  <c r="I203" i="45"/>
  <c r="D203" i="45"/>
  <c r="J202" i="45"/>
  <c r="I202" i="45"/>
  <c r="D202" i="45"/>
  <c r="J201" i="45"/>
  <c r="I201" i="45"/>
  <c r="D201" i="45"/>
  <c r="J200" i="45"/>
  <c r="I200" i="45"/>
  <c r="D200" i="45"/>
  <c r="J199" i="45"/>
  <c r="I199" i="45"/>
  <c r="D199" i="45"/>
  <c r="J198" i="45"/>
  <c r="I198" i="45"/>
  <c r="D198" i="45"/>
  <c r="J197" i="45"/>
  <c r="I197" i="45"/>
  <c r="D197" i="45"/>
  <c r="J196" i="45"/>
  <c r="I196" i="45"/>
  <c r="D196" i="45"/>
  <c r="J195" i="45"/>
  <c r="I195" i="45"/>
  <c r="D195" i="45"/>
  <c r="J194" i="45"/>
  <c r="I194" i="45"/>
  <c r="D194" i="45"/>
  <c r="J193" i="45"/>
  <c r="I193" i="45"/>
  <c r="D193" i="45"/>
  <c r="J192" i="45"/>
  <c r="I192" i="45"/>
  <c r="D192" i="45"/>
  <c r="J191" i="45"/>
  <c r="I191" i="45"/>
  <c r="D191" i="45"/>
  <c r="J190" i="45"/>
  <c r="I190" i="45"/>
  <c r="D190" i="45"/>
  <c r="J189" i="45"/>
  <c r="I189" i="45"/>
  <c r="D189" i="45"/>
  <c r="J188" i="45"/>
  <c r="I188" i="45"/>
  <c r="D188" i="45"/>
  <c r="J187" i="45"/>
  <c r="I187" i="45"/>
  <c r="D187" i="45"/>
  <c r="J186" i="45"/>
  <c r="I186" i="45"/>
  <c r="D186" i="45"/>
  <c r="J185" i="45"/>
  <c r="I185" i="45"/>
  <c r="D185" i="45"/>
  <c r="J184" i="45"/>
  <c r="I184" i="45"/>
  <c r="D184" i="45"/>
  <c r="J183" i="45"/>
  <c r="I183" i="45"/>
  <c r="D183" i="45"/>
  <c r="J182" i="45"/>
  <c r="I182" i="45"/>
  <c r="D182" i="45"/>
  <c r="J181" i="45"/>
  <c r="I181" i="45"/>
  <c r="D181" i="45"/>
  <c r="J180" i="45"/>
  <c r="I180" i="45"/>
  <c r="D180" i="45"/>
  <c r="J179" i="45"/>
  <c r="I179" i="45"/>
  <c r="D179" i="45"/>
  <c r="J178" i="45"/>
  <c r="I178" i="45"/>
  <c r="D178" i="45"/>
  <c r="J177" i="45"/>
  <c r="I177" i="45"/>
  <c r="D177" i="45"/>
  <c r="J176" i="45"/>
  <c r="I176" i="45"/>
  <c r="D176" i="45"/>
  <c r="J175" i="45"/>
  <c r="I175" i="45"/>
  <c r="D175" i="45"/>
  <c r="J174" i="45"/>
  <c r="I174" i="45"/>
  <c r="D174" i="45"/>
  <c r="J173" i="45"/>
  <c r="I173" i="45"/>
  <c r="D173" i="45"/>
  <c r="J172" i="45"/>
  <c r="I172" i="45"/>
  <c r="D172" i="45"/>
  <c r="J171" i="45"/>
  <c r="I171" i="45"/>
  <c r="D171" i="45"/>
  <c r="J170" i="45"/>
  <c r="I170" i="45"/>
  <c r="D170" i="45"/>
  <c r="J169" i="45"/>
  <c r="I169" i="45"/>
  <c r="D169" i="45"/>
  <c r="J168" i="45"/>
  <c r="I168" i="45"/>
  <c r="D168" i="45"/>
  <c r="J167" i="45"/>
  <c r="I167" i="45"/>
  <c r="D167" i="45"/>
  <c r="J166" i="45"/>
  <c r="I166" i="45"/>
  <c r="D166" i="45"/>
  <c r="J165" i="45"/>
  <c r="I165" i="45"/>
  <c r="D165" i="45"/>
  <c r="J164" i="45"/>
  <c r="I164" i="45"/>
  <c r="D164" i="45"/>
  <c r="J163" i="45"/>
  <c r="I163" i="45"/>
  <c r="D163" i="45"/>
  <c r="J162" i="45"/>
  <c r="I162" i="45"/>
  <c r="D162" i="45"/>
  <c r="J161" i="45"/>
  <c r="I161" i="45"/>
  <c r="D161" i="45"/>
  <c r="J160" i="45"/>
  <c r="I160" i="45"/>
  <c r="D160" i="45"/>
  <c r="J159" i="45"/>
  <c r="I159" i="45"/>
  <c r="D159" i="45"/>
  <c r="J158" i="45"/>
  <c r="I158" i="45"/>
  <c r="D158" i="45"/>
  <c r="J157" i="45"/>
  <c r="I157" i="45"/>
  <c r="D157" i="45"/>
  <c r="J156" i="45"/>
  <c r="I156" i="45"/>
  <c r="D156" i="45"/>
  <c r="J155" i="45"/>
  <c r="I155" i="45"/>
  <c r="D155" i="45"/>
  <c r="J154" i="45"/>
  <c r="I154" i="45"/>
  <c r="D154" i="45"/>
  <c r="J153" i="45"/>
  <c r="I153" i="45"/>
  <c r="D153" i="45"/>
  <c r="J152" i="45"/>
  <c r="I152" i="45"/>
  <c r="D152" i="45"/>
  <c r="J151" i="45"/>
  <c r="I151" i="45"/>
  <c r="D151" i="45"/>
  <c r="J150" i="45"/>
  <c r="I150" i="45"/>
  <c r="D150" i="45"/>
  <c r="J149" i="45"/>
  <c r="I149" i="45"/>
  <c r="D149" i="45"/>
  <c r="J148" i="45"/>
  <c r="I148" i="45"/>
  <c r="D148" i="45"/>
  <c r="J147" i="45"/>
  <c r="I147" i="45"/>
  <c r="D147" i="45"/>
  <c r="J146" i="45"/>
  <c r="I146" i="45"/>
  <c r="D146" i="45"/>
  <c r="J145" i="45"/>
  <c r="I145" i="45"/>
  <c r="D145" i="45"/>
  <c r="J144" i="45"/>
  <c r="I144" i="45"/>
  <c r="D144" i="45"/>
  <c r="J143" i="45"/>
  <c r="I143" i="45"/>
  <c r="D143" i="45"/>
  <c r="J142" i="45"/>
  <c r="I142" i="45"/>
  <c r="D142" i="45"/>
  <c r="J141" i="45"/>
  <c r="I141" i="45"/>
  <c r="D141" i="45"/>
  <c r="J140" i="45"/>
  <c r="I140" i="45"/>
  <c r="D140" i="45"/>
  <c r="J139" i="45"/>
  <c r="I139" i="45"/>
  <c r="D139" i="45"/>
  <c r="J138" i="45"/>
  <c r="I138" i="45"/>
  <c r="D138" i="45"/>
  <c r="J137" i="45"/>
  <c r="I137" i="45"/>
  <c r="D137" i="45"/>
  <c r="J136" i="45"/>
  <c r="I136" i="45"/>
  <c r="D136" i="45"/>
  <c r="J135" i="45"/>
  <c r="I135" i="45"/>
  <c r="D135" i="45"/>
  <c r="J134" i="45"/>
  <c r="I134" i="45"/>
  <c r="D134" i="45"/>
  <c r="J133" i="45"/>
  <c r="I133" i="45"/>
  <c r="D133" i="45"/>
  <c r="J132" i="45"/>
  <c r="I132" i="45"/>
  <c r="D132" i="45"/>
  <c r="J131" i="45"/>
  <c r="I131" i="45"/>
  <c r="D131" i="45"/>
  <c r="J130" i="45"/>
  <c r="I130" i="45"/>
  <c r="D130" i="45"/>
  <c r="J129" i="45"/>
  <c r="I129" i="45"/>
  <c r="D129" i="45"/>
  <c r="J128" i="45"/>
  <c r="I128" i="45"/>
  <c r="D128" i="45"/>
  <c r="J127" i="45"/>
  <c r="I127" i="45"/>
  <c r="D127" i="45"/>
  <c r="J126" i="45"/>
  <c r="I126" i="45"/>
  <c r="D126" i="45"/>
  <c r="J125" i="45"/>
  <c r="I125" i="45"/>
  <c r="D125" i="45"/>
  <c r="J124" i="45"/>
  <c r="I124" i="45"/>
  <c r="D124" i="45"/>
  <c r="J123" i="45"/>
  <c r="I123" i="45"/>
  <c r="D123" i="45"/>
  <c r="J122" i="45"/>
  <c r="I122" i="45"/>
  <c r="D122" i="45"/>
  <c r="J121" i="45"/>
  <c r="I121" i="45"/>
  <c r="D121" i="45"/>
  <c r="J120" i="45"/>
  <c r="I120" i="45"/>
  <c r="D120" i="45"/>
  <c r="J119" i="45"/>
  <c r="I119" i="45"/>
  <c r="D119" i="45"/>
  <c r="J118" i="45"/>
  <c r="I118" i="45"/>
  <c r="D118" i="45"/>
  <c r="J117" i="45"/>
  <c r="I117" i="45"/>
  <c r="D117" i="45"/>
  <c r="J116" i="45"/>
  <c r="I116" i="45"/>
  <c r="D116" i="45"/>
  <c r="J115" i="45"/>
  <c r="I115" i="45"/>
  <c r="D115" i="45"/>
  <c r="J114" i="45"/>
  <c r="I114" i="45"/>
  <c r="D114" i="45"/>
  <c r="J113" i="45"/>
  <c r="I113" i="45"/>
  <c r="D113" i="45"/>
  <c r="J112" i="45"/>
  <c r="I112" i="45"/>
  <c r="D112" i="45"/>
  <c r="J111" i="45"/>
  <c r="I111" i="45"/>
  <c r="D111" i="45"/>
  <c r="J110" i="45"/>
  <c r="I110" i="45"/>
  <c r="D110" i="45"/>
  <c r="J109" i="45"/>
  <c r="I109" i="45"/>
  <c r="D109" i="45"/>
  <c r="J108" i="45"/>
  <c r="I108" i="45"/>
  <c r="D108" i="45"/>
  <c r="J107" i="45"/>
  <c r="I107" i="45"/>
  <c r="D107" i="45"/>
  <c r="J106" i="45"/>
  <c r="I106" i="45"/>
  <c r="D106" i="45"/>
  <c r="J105" i="45"/>
  <c r="I105" i="45"/>
  <c r="D105" i="45"/>
  <c r="J104" i="45"/>
  <c r="I104" i="45"/>
  <c r="D104" i="45"/>
  <c r="J103" i="45"/>
  <c r="I103" i="45"/>
  <c r="D103" i="45"/>
  <c r="J102" i="45"/>
  <c r="I102" i="45"/>
  <c r="D102" i="45"/>
  <c r="J101" i="45"/>
  <c r="I101" i="45"/>
  <c r="D101" i="45"/>
  <c r="J100" i="45"/>
  <c r="I100" i="45"/>
  <c r="D100" i="45"/>
  <c r="J99" i="45"/>
  <c r="I99" i="45"/>
  <c r="D99" i="45"/>
  <c r="J98" i="45"/>
  <c r="I98" i="45"/>
  <c r="D98" i="45"/>
  <c r="J97" i="45"/>
  <c r="I97" i="45"/>
  <c r="D97" i="45"/>
  <c r="J96" i="45"/>
  <c r="I96" i="45"/>
  <c r="D96" i="45"/>
  <c r="J95" i="45"/>
  <c r="I95" i="45"/>
  <c r="D95" i="45"/>
  <c r="J94" i="45"/>
  <c r="I94" i="45"/>
  <c r="D94" i="45"/>
  <c r="J93" i="45"/>
  <c r="I93" i="45"/>
  <c r="D93" i="45"/>
  <c r="J92" i="45"/>
  <c r="I92" i="45"/>
  <c r="D92" i="45"/>
  <c r="J91" i="45"/>
  <c r="I91" i="45"/>
  <c r="D91" i="45"/>
  <c r="J90" i="45"/>
  <c r="I90" i="45"/>
  <c r="D90" i="45"/>
  <c r="J89" i="45"/>
  <c r="I89" i="45"/>
  <c r="D89" i="45"/>
  <c r="J88" i="45"/>
  <c r="I88" i="45"/>
  <c r="D88" i="45"/>
  <c r="J87" i="45"/>
  <c r="I87" i="45"/>
  <c r="D87" i="45"/>
  <c r="J86" i="45"/>
  <c r="I86" i="45"/>
  <c r="D86" i="45"/>
  <c r="J85" i="45"/>
  <c r="I85" i="45"/>
  <c r="D85" i="45"/>
  <c r="J84" i="45"/>
  <c r="I84" i="45"/>
  <c r="D84" i="45"/>
  <c r="J83" i="45"/>
  <c r="I83" i="45"/>
  <c r="D83" i="45"/>
  <c r="J82" i="45"/>
  <c r="I82" i="45"/>
  <c r="D82" i="45"/>
  <c r="J81" i="45"/>
  <c r="I81" i="45"/>
  <c r="D81" i="45"/>
  <c r="J80" i="45"/>
  <c r="I80" i="45"/>
  <c r="D80" i="45"/>
  <c r="J79" i="45"/>
  <c r="I79" i="45"/>
  <c r="D79" i="45"/>
  <c r="J78" i="45"/>
  <c r="I78" i="45"/>
  <c r="D78" i="45"/>
  <c r="J77" i="45"/>
  <c r="I77" i="45"/>
  <c r="D77" i="45"/>
  <c r="J76" i="45"/>
  <c r="I76" i="45"/>
  <c r="D76" i="45"/>
  <c r="J75" i="45"/>
  <c r="I75" i="45"/>
  <c r="D75" i="45"/>
  <c r="J74" i="45"/>
  <c r="I74" i="45"/>
  <c r="D74" i="45"/>
  <c r="J73" i="45"/>
  <c r="I73" i="45"/>
  <c r="D73" i="45"/>
  <c r="J72" i="45"/>
  <c r="I72" i="45"/>
  <c r="D72" i="45"/>
  <c r="J71" i="45"/>
  <c r="I71" i="45"/>
  <c r="D71" i="45"/>
  <c r="J70" i="45"/>
  <c r="I70" i="45"/>
  <c r="D70" i="45"/>
  <c r="J69" i="45"/>
  <c r="I69" i="45"/>
  <c r="D69" i="45"/>
  <c r="J68" i="45"/>
  <c r="I68" i="45"/>
  <c r="D68" i="45"/>
  <c r="J67" i="45"/>
  <c r="I67" i="45"/>
  <c r="D67" i="45"/>
  <c r="J66" i="45"/>
  <c r="I66" i="45"/>
  <c r="D66" i="45"/>
  <c r="J65" i="45"/>
  <c r="I65" i="45"/>
  <c r="D65" i="45"/>
  <c r="J64" i="45"/>
  <c r="I64" i="45"/>
  <c r="D64" i="45"/>
  <c r="J63" i="45"/>
  <c r="I63" i="45"/>
  <c r="D63" i="45"/>
  <c r="J62" i="45"/>
  <c r="I62" i="45"/>
  <c r="D62" i="45"/>
  <c r="J61" i="45"/>
  <c r="I61" i="45"/>
  <c r="D61" i="45"/>
  <c r="J60" i="45"/>
  <c r="I60" i="45"/>
  <c r="D60" i="45"/>
  <c r="J59" i="45"/>
  <c r="I59" i="45"/>
  <c r="D59" i="45"/>
  <c r="J58" i="45"/>
  <c r="I58" i="45"/>
  <c r="D58" i="45"/>
  <c r="J57" i="45"/>
  <c r="I57" i="45"/>
  <c r="D57" i="45"/>
  <c r="J56" i="45"/>
  <c r="I56" i="45"/>
  <c r="D56" i="45"/>
  <c r="J55" i="45"/>
  <c r="I55" i="45"/>
  <c r="D55" i="45"/>
  <c r="J54" i="45"/>
  <c r="I54" i="45"/>
  <c r="D54" i="45"/>
  <c r="J53" i="45"/>
  <c r="I53" i="45"/>
  <c r="D53" i="45"/>
  <c r="J52" i="45"/>
  <c r="I52" i="45"/>
  <c r="D52" i="45"/>
  <c r="J51" i="45"/>
  <c r="I51" i="45"/>
  <c r="D51" i="45"/>
  <c r="J50" i="45"/>
  <c r="I50" i="45"/>
  <c r="D50" i="45"/>
  <c r="J49" i="45"/>
  <c r="I49" i="45"/>
  <c r="D49" i="45"/>
  <c r="J48" i="45"/>
  <c r="I48" i="45"/>
  <c r="D48" i="45"/>
  <c r="J47" i="45"/>
  <c r="I47" i="45"/>
  <c r="D47" i="45"/>
  <c r="J46" i="45"/>
  <c r="I46" i="45"/>
  <c r="D46" i="45"/>
  <c r="J45" i="45"/>
  <c r="I45" i="45"/>
  <c r="D45" i="45"/>
  <c r="J44" i="45"/>
  <c r="I44" i="45"/>
  <c r="D44" i="45"/>
  <c r="J43" i="45"/>
  <c r="I43" i="45"/>
  <c r="D43" i="45"/>
  <c r="J42" i="45"/>
  <c r="I42" i="45"/>
  <c r="D42" i="45"/>
  <c r="J41" i="45"/>
  <c r="I41" i="45"/>
  <c r="D41" i="45"/>
  <c r="J40" i="45"/>
  <c r="I40" i="45"/>
  <c r="D40" i="45"/>
  <c r="J39" i="45"/>
  <c r="I39" i="45"/>
  <c r="D39" i="45"/>
  <c r="J38" i="45"/>
  <c r="I38" i="45"/>
  <c r="D38" i="45"/>
  <c r="J37" i="45"/>
  <c r="I37" i="45"/>
  <c r="D37" i="45"/>
  <c r="J36" i="45"/>
  <c r="I36" i="45"/>
  <c r="D36" i="45"/>
  <c r="J35" i="45"/>
  <c r="I35" i="45"/>
  <c r="D35" i="45"/>
  <c r="J34" i="45"/>
  <c r="I34" i="45"/>
  <c r="D34" i="45"/>
  <c r="P33" i="45"/>
  <c r="J33" i="45"/>
  <c r="I33" i="45"/>
  <c r="D33" i="45"/>
  <c r="P32" i="45"/>
  <c r="J32" i="45"/>
  <c r="I32" i="45"/>
  <c r="D32" i="45"/>
  <c r="P31" i="45"/>
  <c r="J31" i="45"/>
  <c r="I31" i="45"/>
  <c r="D31" i="45"/>
  <c r="P30" i="45"/>
  <c r="J30" i="45"/>
  <c r="I30" i="45"/>
  <c r="D30" i="45"/>
  <c r="P29" i="45"/>
  <c r="J29" i="45"/>
  <c r="I29" i="45"/>
  <c r="D29" i="45"/>
  <c r="P28" i="45"/>
  <c r="J28" i="45"/>
  <c r="I28" i="45"/>
  <c r="D28" i="45"/>
  <c r="J27" i="45"/>
  <c r="I27" i="45"/>
  <c r="D27" i="45"/>
  <c r="P26" i="45"/>
  <c r="J26" i="45"/>
  <c r="I26" i="45"/>
  <c r="D26" i="45"/>
  <c r="P25" i="45"/>
  <c r="J25" i="45"/>
  <c r="I25" i="45"/>
  <c r="D25" i="45"/>
  <c r="P24" i="45"/>
  <c r="J24" i="45"/>
  <c r="I24" i="45"/>
  <c r="D24" i="45"/>
  <c r="P23" i="45"/>
  <c r="J23" i="45"/>
  <c r="I23" i="45"/>
  <c r="D23" i="45"/>
  <c r="P22" i="45"/>
  <c r="J22" i="45"/>
  <c r="I22" i="45"/>
  <c r="D22" i="45"/>
  <c r="P21" i="45"/>
  <c r="J21" i="45"/>
  <c r="I21" i="45"/>
  <c r="D21" i="45"/>
  <c r="J20" i="45"/>
  <c r="I20" i="45"/>
  <c r="D20" i="45"/>
  <c r="M19" i="45"/>
  <c r="J19" i="45"/>
  <c r="I19" i="45"/>
  <c r="D19" i="45"/>
  <c r="J18" i="45"/>
  <c r="I18" i="45"/>
  <c r="D18" i="45"/>
  <c r="J17" i="45"/>
  <c r="I17" i="45"/>
  <c r="D17" i="45"/>
  <c r="J16" i="45"/>
  <c r="I16" i="45"/>
  <c r="D16" i="45"/>
  <c r="J15" i="45"/>
  <c r="I15" i="45"/>
  <c r="D15" i="45"/>
  <c r="J14" i="45"/>
  <c r="I14" i="45"/>
  <c r="D14" i="45"/>
  <c r="J13" i="45"/>
  <c r="I13" i="45"/>
  <c r="D13" i="45"/>
  <c r="J12" i="45"/>
  <c r="I12" i="45"/>
  <c r="D12" i="45"/>
  <c r="J11" i="45"/>
  <c r="I11" i="45"/>
  <c r="D11" i="45"/>
  <c r="J10" i="45"/>
  <c r="I10" i="45"/>
  <c r="D10" i="45"/>
  <c r="J9" i="45"/>
  <c r="I9" i="45"/>
  <c r="D9" i="45"/>
  <c r="J8" i="45"/>
  <c r="I8" i="45"/>
  <c r="D8" i="45"/>
  <c r="J7" i="45"/>
  <c r="I7" i="45"/>
  <c r="D7" i="45"/>
  <c r="J6" i="45"/>
  <c r="I6" i="45"/>
  <c r="D6" i="45"/>
  <c r="B2" i="45" a="1"/>
  <c r="B2" i="45" s="1"/>
  <c r="J488" i="44"/>
  <c r="I488" i="44"/>
  <c r="D488" i="44"/>
  <c r="J487" i="44"/>
  <c r="I487" i="44"/>
  <c r="D487" i="44"/>
  <c r="J486" i="44"/>
  <c r="I486" i="44"/>
  <c r="D486" i="44"/>
  <c r="J485" i="44"/>
  <c r="I485" i="44"/>
  <c r="D485" i="44"/>
  <c r="J484" i="44"/>
  <c r="I484" i="44"/>
  <c r="D484" i="44"/>
  <c r="J483" i="44"/>
  <c r="I483" i="44"/>
  <c r="D483" i="44"/>
  <c r="J482" i="44"/>
  <c r="I482" i="44"/>
  <c r="D482" i="44"/>
  <c r="J481" i="44"/>
  <c r="I481" i="44"/>
  <c r="D481" i="44"/>
  <c r="J480" i="44"/>
  <c r="I480" i="44"/>
  <c r="D480" i="44"/>
  <c r="J479" i="44"/>
  <c r="I479" i="44"/>
  <c r="D479" i="44"/>
  <c r="J478" i="44"/>
  <c r="I478" i="44"/>
  <c r="D478" i="44"/>
  <c r="J477" i="44"/>
  <c r="I477" i="44"/>
  <c r="D477" i="44"/>
  <c r="J476" i="44"/>
  <c r="I476" i="44"/>
  <c r="D476" i="44"/>
  <c r="J475" i="44"/>
  <c r="I475" i="44"/>
  <c r="D475" i="44"/>
  <c r="J474" i="44"/>
  <c r="I474" i="44"/>
  <c r="D474" i="44"/>
  <c r="J473" i="44"/>
  <c r="I473" i="44"/>
  <c r="D473" i="44"/>
  <c r="J472" i="44"/>
  <c r="I472" i="44"/>
  <c r="D472" i="44"/>
  <c r="J471" i="44"/>
  <c r="I471" i="44"/>
  <c r="D471" i="44"/>
  <c r="J470" i="44"/>
  <c r="I470" i="44"/>
  <c r="D470" i="44"/>
  <c r="J469" i="44"/>
  <c r="I469" i="44"/>
  <c r="D469" i="44"/>
  <c r="J468" i="44"/>
  <c r="I468" i="44"/>
  <c r="D468" i="44"/>
  <c r="J467" i="44"/>
  <c r="I467" i="44"/>
  <c r="D467" i="44"/>
  <c r="J466" i="44"/>
  <c r="I466" i="44"/>
  <c r="D466" i="44"/>
  <c r="J465" i="44"/>
  <c r="I465" i="44"/>
  <c r="D465" i="44"/>
  <c r="J464" i="44"/>
  <c r="I464" i="44"/>
  <c r="D464" i="44"/>
  <c r="J463" i="44"/>
  <c r="I463" i="44"/>
  <c r="D463" i="44"/>
  <c r="J462" i="44"/>
  <c r="I462" i="44"/>
  <c r="D462" i="44"/>
  <c r="J461" i="44"/>
  <c r="I461" i="44"/>
  <c r="D461" i="44"/>
  <c r="J460" i="44"/>
  <c r="I460" i="44"/>
  <c r="D460" i="44"/>
  <c r="J459" i="44"/>
  <c r="I459" i="44"/>
  <c r="D459" i="44"/>
  <c r="J458" i="44"/>
  <c r="I458" i="44"/>
  <c r="D458" i="44"/>
  <c r="J457" i="44"/>
  <c r="I457" i="44"/>
  <c r="D457" i="44"/>
  <c r="J456" i="44"/>
  <c r="I456" i="44"/>
  <c r="D456" i="44"/>
  <c r="J455" i="44"/>
  <c r="I455" i="44"/>
  <c r="D455" i="44"/>
  <c r="J454" i="44"/>
  <c r="I454" i="44"/>
  <c r="D454" i="44"/>
  <c r="J453" i="44"/>
  <c r="I453" i="44"/>
  <c r="D453" i="44"/>
  <c r="J452" i="44"/>
  <c r="I452" i="44"/>
  <c r="D452" i="44"/>
  <c r="J451" i="44"/>
  <c r="I451" i="44"/>
  <c r="D451" i="44"/>
  <c r="J450" i="44"/>
  <c r="I450" i="44"/>
  <c r="D450" i="44"/>
  <c r="J449" i="44"/>
  <c r="I449" i="44"/>
  <c r="D449" i="44"/>
  <c r="J448" i="44"/>
  <c r="I448" i="44"/>
  <c r="D448" i="44"/>
  <c r="J447" i="44"/>
  <c r="I447" i="44"/>
  <c r="D447" i="44"/>
  <c r="J446" i="44"/>
  <c r="I446" i="44"/>
  <c r="D446" i="44"/>
  <c r="J445" i="44"/>
  <c r="I445" i="44"/>
  <c r="D445" i="44"/>
  <c r="J444" i="44"/>
  <c r="I444" i="44"/>
  <c r="D444" i="44"/>
  <c r="J443" i="44"/>
  <c r="I443" i="44"/>
  <c r="D443" i="44"/>
  <c r="J442" i="44"/>
  <c r="I442" i="44"/>
  <c r="D442" i="44"/>
  <c r="J441" i="44"/>
  <c r="I441" i="44"/>
  <c r="D441" i="44"/>
  <c r="J440" i="44"/>
  <c r="I440" i="44"/>
  <c r="D440" i="44"/>
  <c r="J439" i="44"/>
  <c r="I439" i="44"/>
  <c r="D439" i="44"/>
  <c r="J438" i="44"/>
  <c r="I438" i="44"/>
  <c r="D438" i="44"/>
  <c r="J437" i="44"/>
  <c r="I437" i="44"/>
  <c r="D437" i="44"/>
  <c r="J436" i="44"/>
  <c r="I436" i="44"/>
  <c r="D436" i="44"/>
  <c r="J435" i="44"/>
  <c r="I435" i="44"/>
  <c r="D435" i="44"/>
  <c r="J434" i="44"/>
  <c r="I434" i="44"/>
  <c r="D434" i="44"/>
  <c r="J433" i="44"/>
  <c r="I433" i="44"/>
  <c r="D433" i="44"/>
  <c r="J432" i="44"/>
  <c r="I432" i="44"/>
  <c r="D432" i="44"/>
  <c r="J431" i="44"/>
  <c r="I431" i="44"/>
  <c r="D431" i="44"/>
  <c r="J430" i="44"/>
  <c r="I430" i="44"/>
  <c r="D430" i="44"/>
  <c r="J429" i="44"/>
  <c r="I429" i="44"/>
  <c r="D429" i="44"/>
  <c r="J428" i="44"/>
  <c r="I428" i="44"/>
  <c r="D428" i="44"/>
  <c r="J427" i="44"/>
  <c r="I427" i="44"/>
  <c r="D427" i="44"/>
  <c r="J426" i="44"/>
  <c r="I426" i="44"/>
  <c r="D426" i="44"/>
  <c r="J425" i="44"/>
  <c r="I425" i="44"/>
  <c r="D425" i="44"/>
  <c r="J424" i="44"/>
  <c r="I424" i="44"/>
  <c r="D424" i="44"/>
  <c r="J423" i="44"/>
  <c r="I423" i="44"/>
  <c r="D423" i="44"/>
  <c r="J422" i="44"/>
  <c r="I422" i="44"/>
  <c r="D422" i="44"/>
  <c r="J421" i="44"/>
  <c r="I421" i="44"/>
  <c r="D421" i="44"/>
  <c r="J420" i="44"/>
  <c r="I420" i="44"/>
  <c r="D420" i="44"/>
  <c r="J419" i="44"/>
  <c r="I419" i="44"/>
  <c r="D419" i="44"/>
  <c r="J418" i="44"/>
  <c r="I418" i="44"/>
  <c r="D418" i="44"/>
  <c r="J417" i="44"/>
  <c r="I417" i="44"/>
  <c r="D417" i="44"/>
  <c r="J416" i="44"/>
  <c r="I416" i="44"/>
  <c r="D416" i="44"/>
  <c r="J415" i="44"/>
  <c r="I415" i="44"/>
  <c r="D415" i="44"/>
  <c r="J414" i="44"/>
  <c r="I414" i="44"/>
  <c r="D414" i="44"/>
  <c r="J413" i="44"/>
  <c r="I413" i="44"/>
  <c r="D413" i="44"/>
  <c r="J412" i="44"/>
  <c r="I412" i="44"/>
  <c r="D412" i="44"/>
  <c r="J411" i="44"/>
  <c r="I411" i="44"/>
  <c r="D411" i="44"/>
  <c r="J410" i="44"/>
  <c r="I410" i="44"/>
  <c r="D410" i="44"/>
  <c r="J409" i="44"/>
  <c r="I409" i="44"/>
  <c r="D409" i="44"/>
  <c r="J408" i="44"/>
  <c r="I408" i="44"/>
  <c r="D408" i="44"/>
  <c r="J407" i="44"/>
  <c r="I407" i="44"/>
  <c r="D407" i="44"/>
  <c r="J406" i="44"/>
  <c r="I406" i="44"/>
  <c r="D406" i="44"/>
  <c r="J405" i="44"/>
  <c r="I405" i="44"/>
  <c r="D405" i="44"/>
  <c r="J404" i="44"/>
  <c r="I404" i="44"/>
  <c r="D404" i="44"/>
  <c r="J403" i="44"/>
  <c r="I403" i="44"/>
  <c r="D403" i="44"/>
  <c r="J402" i="44"/>
  <c r="I402" i="44"/>
  <c r="D402" i="44"/>
  <c r="J401" i="44"/>
  <c r="I401" i="44"/>
  <c r="D401" i="44"/>
  <c r="J400" i="44"/>
  <c r="I400" i="44"/>
  <c r="D400" i="44"/>
  <c r="J399" i="44"/>
  <c r="I399" i="44"/>
  <c r="D399" i="44"/>
  <c r="J398" i="44"/>
  <c r="I398" i="44"/>
  <c r="D398" i="44"/>
  <c r="J397" i="44"/>
  <c r="I397" i="44"/>
  <c r="D397" i="44"/>
  <c r="J396" i="44"/>
  <c r="I396" i="44"/>
  <c r="D396" i="44"/>
  <c r="J395" i="44"/>
  <c r="I395" i="44"/>
  <c r="D395" i="44"/>
  <c r="J394" i="44"/>
  <c r="I394" i="44"/>
  <c r="D394" i="44"/>
  <c r="J393" i="44"/>
  <c r="I393" i="44"/>
  <c r="D393" i="44"/>
  <c r="J392" i="44"/>
  <c r="I392" i="44"/>
  <c r="D392" i="44"/>
  <c r="J391" i="44"/>
  <c r="I391" i="44"/>
  <c r="D391" i="44"/>
  <c r="J390" i="44"/>
  <c r="I390" i="44"/>
  <c r="D390" i="44"/>
  <c r="J389" i="44"/>
  <c r="I389" i="44"/>
  <c r="D389" i="44"/>
  <c r="J388" i="44"/>
  <c r="I388" i="44"/>
  <c r="D388" i="44"/>
  <c r="J387" i="44"/>
  <c r="I387" i="44"/>
  <c r="D387" i="44"/>
  <c r="J386" i="44"/>
  <c r="I386" i="44"/>
  <c r="D386" i="44"/>
  <c r="J385" i="44"/>
  <c r="I385" i="44"/>
  <c r="D385" i="44"/>
  <c r="J384" i="44"/>
  <c r="I384" i="44"/>
  <c r="D384" i="44"/>
  <c r="J383" i="44"/>
  <c r="I383" i="44"/>
  <c r="D383" i="44"/>
  <c r="J382" i="44"/>
  <c r="I382" i="44"/>
  <c r="D382" i="44"/>
  <c r="J381" i="44"/>
  <c r="I381" i="44"/>
  <c r="D381" i="44"/>
  <c r="J380" i="44"/>
  <c r="I380" i="44"/>
  <c r="D380" i="44"/>
  <c r="J379" i="44"/>
  <c r="I379" i="44"/>
  <c r="D379" i="44"/>
  <c r="J378" i="44"/>
  <c r="I378" i="44"/>
  <c r="D378" i="44"/>
  <c r="J377" i="44"/>
  <c r="I377" i="44"/>
  <c r="D377" i="44"/>
  <c r="J376" i="44"/>
  <c r="I376" i="44"/>
  <c r="D376" i="44"/>
  <c r="J375" i="44"/>
  <c r="I375" i="44"/>
  <c r="D375" i="44"/>
  <c r="J374" i="44"/>
  <c r="I374" i="44"/>
  <c r="D374" i="44"/>
  <c r="J373" i="44"/>
  <c r="I373" i="44"/>
  <c r="D373" i="44"/>
  <c r="J372" i="44"/>
  <c r="I372" i="44"/>
  <c r="D372" i="44"/>
  <c r="J371" i="44"/>
  <c r="I371" i="44"/>
  <c r="D371" i="44"/>
  <c r="J370" i="44"/>
  <c r="I370" i="44"/>
  <c r="D370" i="44"/>
  <c r="J369" i="44"/>
  <c r="I369" i="44"/>
  <c r="D369" i="44"/>
  <c r="J368" i="44"/>
  <c r="I368" i="44"/>
  <c r="D368" i="44"/>
  <c r="J367" i="44"/>
  <c r="I367" i="44"/>
  <c r="D367" i="44"/>
  <c r="J366" i="44"/>
  <c r="I366" i="44"/>
  <c r="D366" i="44"/>
  <c r="J365" i="44"/>
  <c r="I365" i="44"/>
  <c r="D365" i="44"/>
  <c r="J364" i="44"/>
  <c r="I364" i="44"/>
  <c r="D364" i="44"/>
  <c r="J363" i="44"/>
  <c r="I363" i="44"/>
  <c r="D363" i="44"/>
  <c r="J362" i="44"/>
  <c r="I362" i="44"/>
  <c r="D362" i="44"/>
  <c r="J361" i="44"/>
  <c r="I361" i="44"/>
  <c r="D361" i="44"/>
  <c r="J360" i="44"/>
  <c r="I360" i="44"/>
  <c r="D360" i="44"/>
  <c r="J359" i="44"/>
  <c r="I359" i="44"/>
  <c r="D359" i="44"/>
  <c r="J358" i="44"/>
  <c r="I358" i="44"/>
  <c r="D358" i="44"/>
  <c r="J357" i="44"/>
  <c r="I357" i="44"/>
  <c r="D357" i="44"/>
  <c r="J356" i="44"/>
  <c r="I356" i="44"/>
  <c r="D356" i="44"/>
  <c r="J355" i="44"/>
  <c r="I355" i="44"/>
  <c r="D355" i="44"/>
  <c r="J354" i="44"/>
  <c r="I354" i="44"/>
  <c r="D354" i="44"/>
  <c r="J353" i="44"/>
  <c r="I353" i="44"/>
  <c r="D353" i="44"/>
  <c r="J352" i="44"/>
  <c r="I352" i="44"/>
  <c r="D352" i="44"/>
  <c r="J351" i="44"/>
  <c r="I351" i="44"/>
  <c r="D351" i="44"/>
  <c r="J350" i="44"/>
  <c r="I350" i="44"/>
  <c r="D350" i="44"/>
  <c r="J349" i="44"/>
  <c r="I349" i="44"/>
  <c r="D349" i="44"/>
  <c r="J348" i="44"/>
  <c r="I348" i="44"/>
  <c r="D348" i="44"/>
  <c r="J347" i="44"/>
  <c r="I347" i="44"/>
  <c r="D347" i="44"/>
  <c r="J346" i="44"/>
  <c r="I346" i="44"/>
  <c r="D346" i="44"/>
  <c r="J345" i="44"/>
  <c r="I345" i="44"/>
  <c r="D345" i="44"/>
  <c r="J344" i="44"/>
  <c r="I344" i="44"/>
  <c r="D344" i="44"/>
  <c r="J343" i="44"/>
  <c r="I343" i="44"/>
  <c r="D343" i="44"/>
  <c r="J342" i="44"/>
  <c r="I342" i="44"/>
  <c r="D342" i="44"/>
  <c r="J341" i="44"/>
  <c r="I341" i="44"/>
  <c r="D341" i="44"/>
  <c r="J340" i="44"/>
  <c r="I340" i="44"/>
  <c r="D340" i="44"/>
  <c r="J339" i="44"/>
  <c r="I339" i="44"/>
  <c r="D339" i="44"/>
  <c r="J338" i="44"/>
  <c r="I338" i="44"/>
  <c r="D338" i="44"/>
  <c r="J337" i="44"/>
  <c r="I337" i="44"/>
  <c r="D337" i="44"/>
  <c r="J336" i="44"/>
  <c r="I336" i="44"/>
  <c r="D336" i="44"/>
  <c r="J335" i="44"/>
  <c r="I335" i="44"/>
  <c r="D335" i="44"/>
  <c r="J334" i="44"/>
  <c r="I334" i="44"/>
  <c r="D334" i="44"/>
  <c r="J333" i="44"/>
  <c r="I333" i="44"/>
  <c r="D333" i="44"/>
  <c r="J332" i="44"/>
  <c r="I332" i="44"/>
  <c r="D332" i="44"/>
  <c r="J331" i="44"/>
  <c r="I331" i="44"/>
  <c r="D331" i="44"/>
  <c r="J330" i="44"/>
  <c r="I330" i="44"/>
  <c r="D330" i="44"/>
  <c r="J329" i="44"/>
  <c r="I329" i="44"/>
  <c r="D329" i="44"/>
  <c r="J328" i="44"/>
  <c r="I328" i="44"/>
  <c r="D328" i="44"/>
  <c r="J327" i="44"/>
  <c r="I327" i="44"/>
  <c r="D327" i="44"/>
  <c r="J326" i="44"/>
  <c r="I326" i="44"/>
  <c r="D326" i="44"/>
  <c r="J325" i="44"/>
  <c r="I325" i="44"/>
  <c r="D325" i="44"/>
  <c r="J324" i="44"/>
  <c r="I324" i="44"/>
  <c r="D324" i="44"/>
  <c r="J323" i="44"/>
  <c r="I323" i="44"/>
  <c r="D323" i="44"/>
  <c r="J322" i="44"/>
  <c r="I322" i="44"/>
  <c r="D322" i="44"/>
  <c r="J321" i="44"/>
  <c r="I321" i="44"/>
  <c r="D321" i="44"/>
  <c r="J320" i="44"/>
  <c r="I320" i="44"/>
  <c r="D320" i="44"/>
  <c r="J319" i="44"/>
  <c r="I319" i="44"/>
  <c r="D319" i="44"/>
  <c r="J318" i="44"/>
  <c r="I318" i="44"/>
  <c r="D318" i="44"/>
  <c r="J317" i="44"/>
  <c r="I317" i="44"/>
  <c r="D317" i="44"/>
  <c r="J316" i="44"/>
  <c r="I316" i="44"/>
  <c r="D316" i="44"/>
  <c r="J315" i="44"/>
  <c r="I315" i="44"/>
  <c r="D315" i="44"/>
  <c r="J314" i="44"/>
  <c r="I314" i="44"/>
  <c r="D314" i="44"/>
  <c r="J313" i="44"/>
  <c r="I313" i="44"/>
  <c r="D313" i="44"/>
  <c r="J312" i="44"/>
  <c r="I312" i="44"/>
  <c r="D312" i="44"/>
  <c r="J311" i="44"/>
  <c r="I311" i="44"/>
  <c r="D311" i="44"/>
  <c r="J310" i="44"/>
  <c r="I310" i="44"/>
  <c r="D310" i="44"/>
  <c r="J309" i="44"/>
  <c r="I309" i="44"/>
  <c r="D309" i="44"/>
  <c r="J308" i="44"/>
  <c r="I308" i="44"/>
  <c r="D308" i="44"/>
  <c r="J307" i="44"/>
  <c r="I307" i="44"/>
  <c r="D307" i="44"/>
  <c r="J306" i="44"/>
  <c r="I306" i="44"/>
  <c r="D306" i="44"/>
  <c r="J305" i="44"/>
  <c r="I305" i="44"/>
  <c r="D305" i="44"/>
  <c r="J304" i="44"/>
  <c r="I304" i="44"/>
  <c r="D304" i="44"/>
  <c r="J303" i="44"/>
  <c r="I303" i="44"/>
  <c r="D303" i="44"/>
  <c r="J302" i="44"/>
  <c r="I302" i="44"/>
  <c r="D302" i="44"/>
  <c r="J301" i="44"/>
  <c r="I301" i="44"/>
  <c r="D301" i="44"/>
  <c r="J300" i="44"/>
  <c r="I300" i="44"/>
  <c r="D300" i="44"/>
  <c r="J299" i="44"/>
  <c r="I299" i="44"/>
  <c r="D299" i="44"/>
  <c r="J298" i="44"/>
  <c r="I298" i="44"/>
  <c r="D298" i="44"/>
  <c r="J297" i="44"/>
  <c r="I297" i="44"/>
  <c r="D297" i="44"/>
  <c r="J296" i="44"/>
  <c r="I296" i="44"/>
  <c r="D296" i="44"/>
  <c r="J295" i="44"/>
  <c r="I295" i="44"/>
  <c r="D295" i="44"/>
  <c r="J294" i="44"/>
  <c r="I294" i="44"/>
  <c r="D294" i="44"/>
  <c r="J293" i="44"/>
  <c r="I293" i="44"/>
  <c r="D293" i="44"/>
  <c r="J292" i="44"/>
  <c r="I292" i="44"/>
  <c r="D292" i="44"/>
  <c r="J291" i="44"/>
  <c r="I291" i="44"/>
  <c r="D291" i="44"/>
  <c r="J290" i="44"/>
  <c r="I290" i="44"/>
  <c r="D290" i="44"/>
  <c r="J289" i="44"/>
  <c r="I289" i="44"/>
  <c r="D289" i="44"/>
  <c r="J288" i="44"/>
  <c r="I288" i="44"/>
  <c r="D288" i="44"/>
  <c r="J287" i="44"/>
  <c r="I287" i="44"/>
  <c r="D287" i="44"/>
  <c r="J286" i="44"/>
  <c r="I286" i="44"/>
  <c r="D286" i="44"/>
  <c r="J285" i="44"/>
  <c r="I285" i="44"/>
  <c r="D285" i="44"/>
  <c r="J284" i="44"/>
  <c r="I284" i="44"/>
  <c r="D284" i="44"/>
  <c r="J283" i="44"/>
  <c r="I283" i="44"/>
  <c r="D283" i="44"/>
  <c r="J282" i="44"/>
  <c r="I282" i="44"/>
  <c r="D282" i="44"/>
  <c r="J281" i="44"/>
  <c r="I281" i="44"/>
  <c r="D281" i="44"/>
  <c r="J280" i="44"/>
  <c r="I280" i="44"/>
  <c r="D280" i="44"/>
  <c r="J279" i="44"/>
  <c r="I279" i="44"/>
  <c r="D279" i="44"/>
  <c r="J278" i="44"/>
  <c r="I278" i="44"/>
  <c r="D278" i="44"/>
  <c r="J277" i="44"/>
  <c r="I277" i="44"/>
  <c r="D277" i="44"/>
  <c r="J276" i="44"/>
  <c r="I276" i="44"/>
  <c r="D276" i="44"/>
  <c r="J275" i="44"/>
  <c r="I275" i="44"/>
  <c r="D275" i="44"/>
  <c r="J274" i="44"/>
  <c r="I274" i="44"/>
  <c r="D274" i="44"/>
  <c r="J273" i="44"/>
  <c r="I273" i="44"/>
  <c r="D273" i="44"/>
  <c r="J272" i="44"/>
  <c r="I272" i="44"/>
  <c r="D272" i="44"/>
  <c r="J271" i="44"/>
  <c r="I271" i="44"/>
  <c r="D271" i="44"/>
  <c r="J270" i="44"/>
  <c r="I270" i="44"/>
  <c r="D270" i="44"/>
  <c r="J269" i="44"/>
  <c r="I269" i="44"/>
  <c r="D269" i="44"/>
  <c r="J268" i="44"/>
  <c r="I268" i="44"/>
  <c r="D268" i="44"/>
  <c r="J267" i="44"/>
  <c r="I267" i="44"/>
  <c r="D267" i="44"/>
  <c r="J266" i="44"/>
  <c r="I266" i="44"/>
  <c r="D266" i="44"/>
  <c r="J265" i="44"/>
  <c r="I265" i="44"/>
  <c r="D265" i="44"/>
  <c r="J264" i="44"/>
  <c r="I264" i="44"/>
  <c r="D264" i="44"/>
  <c r="J263" i="44"/>
  <c r="I263" i="44"/>
  <c r="D263" i="44"/>
  <c r="J262" i="44"/>
  <c r="I262" i="44"/>
  <c r="D262" i="44"/>
  <c r="J261" i="44"/>
  <c r="I261" i="44"/>
  <c r="D261" i="44"/>
  <c r="J260" i="44"/>
  <c r="I260" i="44"/>
  <c r="D260" i="44"/>
  <c r="J259" i="44"/>
  <c r="I259" i="44"/>
  <c r="D259" i="44"/>
  <c r="J258" i="44"/>
  <c r="I258" i="44"/>
  <c r="D258" i="44"/>
  <c r="J257" i="44"/>
  <c r="I257" i="44"/>
  <c r="D257" i="44"/>
  <c r="J256" i="44"/>
  <c r="I256" i="44"/>
  <c r="D256" i="44"/>
  <c r="J255" i="44"/>
  <c r="I255" i="44"/>
  <c r="D255" i="44"/>
  <c r="J254" i="44"/>
  <c r="I254" i="44"/>
  <c r="D254" i="44"/>
  <c r="J253" i="44"/>
  <c r="I253" i="44"/>
  <c r="D253" i="44"/>
  <c r="J252" i="44"/>
  <c r="I252" i="44"/>
  <c r="D252" i="44"/>
  <c r="J251" i="44"/>
  <c r="I251" i="44"/>
  <c r="D251" i="44"/>
  <c r="J250" i="44"/>
  <c r="I250" i="44"/>
  <c r="D250" i="44"/>
  <c r="J249" i="44"/>
  <c r="I249" i="44"/>
  <c r="D249" i="44"/>
  <c r="J248" i="44"/>
  <c r="I248" i="44"/>
  <c r="D248" i="44"/>
  <c r="J247" i="44"/>
  <c r="I247" i="44"/>
  <c r="D247" i="44"/>
  <c r="J246" i="44"/>
  <c r="I246" i="44"/>
  <c r="D246" i="44"/>
  <c r="J245" i="44"/>
  <c r="I245" i="44"/>
  <c r="D245" i="44"/>
  <c r="J244" i="44"/>
  <c r="I244" i="44"/>
  <c r="D244" i="44"/>
  <c r="J243" i="44"/>
  <c r="I243" i="44"/>
  <c r="D243" i="44"/>
  <c r="J242" i="44"/>
  <c r="I242" i="44"/>
  <c r="D242" i="44"/>
  <c r="J241" i="44"/>
  <c r="I241" i="44"/>
  <c r="D241" i="44"/>
  <c r="J240" i="44"/>
  <c r="I240" i="44"/>
  <c r="D240" i="44"/>
  <c r="J239" i="44"/>
  <c r="I239" i="44"/>
  <c r="D239" i="44"/>
  <c r="J238" i="44"/>
  <c r="I238" i="44"/>
  <c r="D238" i="44"/>
  <c r="J237" i="44"/>
  <c r="I237" i="44"/>
  <c r="D237" i="44"/>
  <c r="J236" i="44"/>
  <c r="I236" i="44"/>
  <c r="D236" i="44"/>
  <c r="J235" i="44"/>
  <c r="I235" i="44"/>
  <c r="D235" i="44"/>
  <c r="J234" i="44"/>
  <c r="I234" i="44"/>
  <c r="D234" i="44"/>
  <c r="J233" i="44"/>
  <c r="I233" i="44"/>
  <c r="D233" i="44"/>
  <c r="J232" i="44"/>
  <c r="I232" i="44"/>
  <c r="D232" i="44"/>
  <c r="J231" i="44"/>
  <c r="I231" i="44"/>
  <c r="D231" i="44"/>
  <c r="J230" i="44"/>
  <c r="I230" i="44"/>
  <c r="D230" i="44"/>
  <c r="J229" i="44"/>
  <c r="I229" i="44"/>
  <c r="D229" i="44"/>
  <c r="J228" i="44"/>
  <c r="I228" i="44"/>
  <c r="D228" i="44"/>
  <c r="J227" i="44"/>
  <c r="I227" i="44"/>
  <c r="D227" i="44"/>
  <c r="J226" i="44"/>
  <c r="I226" i="44"/>
  <c r="D226" i="44"/>
  <c r="J225" i="44"/>
  <c r="I225" i="44"/>
  <c r="D225" i="44"/>
  <c r="J224" i="44"/>
  <c r="I224" i="44"/>
  <c r="D224" i="44"/>
  <c r="J223" i="44"/>
  <c r="I223" i="44"/>
  <c r="D223" i="44"/>
  <c r="J222" i="44"/>
  <c r="I222" i="44"/>
  <c r="D222" i="44"/>
  <c r="J221" i="44"/>
  <c r="I221" i="44"/>
  <c r="D221" i="44"/>
  <c r="J220" i="44"/>
  <c r="I220" i="44"/>
  <c r="D220" i="44"/>
  <c r="J219" i="44"/>
  <c r="I219" i="44"/>
  <c r="D219" i="44"/>
  <c r="J218" i="44"/>
  <c r="I218" i="44"/>
  <c r="D218" i="44"/>
  <c r="J217" i="44"/>
  <c r="I217" i="44"/>
  <c r="D217" i="44"/>
  <c r="J216" i="44"/>
  <c r="I216" i="44"/>
  <c r="D216" i="44"/>
  <c r="J215" i="44"/>
  <c r="I215" i="44"/>
  <c r="D215" i="44"/>
  <c r="J214" i="44"/>
  <c r="I214" i="44"/>
  <c r="D214" i="44"/>
  <c r="J213" i="44"/>
  <c r="I213" i="44"/>
  <c r="D213" i="44"/>
  <c r="J212" i="44"/>
  <c r="I212" i="44"/>
  <c r="D212" i="44"/>
  <c r="J211" i="44"/>
  <c r="I211" i="44"/>
  <c r="D211" i="44"/>
  <c r="J210" i="44"/>
  <c r="I210" i="44"/>
  <c r="D210" i="44"/>
  <c r="J209" i="44"/>
  <c r="I209" i="44"/>
  <c r="D209" i="44"/>
  <c r="J208" i="44"/>
  <c r="I208" i="44"/>
  <c r="D208" i="44"/>
  <c r="J207" i="44"/>
  <c r="I207" i="44"/>
  <c r="D207" i="44"/>
  <c r="J206" i="44"/>
  <c r="I206" i="44"/>
  <c r="D206" i="44"/>
  <c r="J205" i="44"/>
  <c r="I205" i="44"/>
  <c r="D205" i="44"/>
  <c r="J204" i="44"/>
  <c r="I204" i="44"/>
  <c r="D204" i="44"/>
  <c r="J203" i="44"/>
  <c r="I203" i="44"/>
  <c r="D203" i="44"/>
  <c r="J202" i="44"/>
  <c r="I202" i="44"/>
  <c r="D202" i="44"/>
  <c r="J201" i="44"/>
  <c r="I201" i="44"/>
  <c r="D201" i="44"/>
  <c r="J200" i="44"/>
  <c r="I200" i="44"/>
  <c r="D200" i="44"/>
  <c r="J199" i="44"/>
  <c r="I199" i="44"/>
  <c r="D199" i="44"/>
  <c r="J198" i="44"/>
  <c r="I198" i="44"/>
  <c r="D198" i="44"/>
  <c r="J197" i="44"/>
  <c r="I197" i="44"/>
  <c r="D197" i="44"/>
  <c r="J196" i="44"/>
  <c r="I196" i="44"/>
  <c r="D196" i="44"/>
  <c r="J195" i="44"/>
  <c r="I195" i="44"/>
  <c r="D195" i="44"/>
  <c r="J194" i="44"/>
  <c r="I194" i="44"/>
  <c r="D194" i="44"/>
  <c r="J193" i="44"/>
  <c r="I193" i="44"/>
  <c r="D193" i="44"/>
  <c r="J192" i="44"/>
  <c r="I192" i="44"/>
  <c r="D192" i="44"/>
  <c r="J191" i="44"/>
  <c r="I191" i="44"/>
  <c r="D191" i="44"/>
  <c r="J190" i="44"/>
  <c r="I190" i="44"/>
  <c r="D190" i="44"/>
  <c r="J189" i="44"/>
  <c r="I189" i="44"/>
  <c r="D189" i="44"/>
  <c r="J188" i="44"/>
  <c r="I188" i="44"/>
  <c r="D188" i="44"/>
  <c r="J187" i="44"/>
  <c r="I187" i="44"/>
  <c r="D187" i="44"/>
  <c r="J186" i="44"/>
  <c r="I186" i="44"/>
  <c r="D186" i="44"/>
  <c r="J185" i="44"/>
  <c r="I185" i="44"/>
  <c r="D185" i="44"/>
  <c r="J184" i="44"/>
  <c r="I184" i="44"/>
  <c r="D184" i="44"/>
  <c r="J183" i="44"/>
  <c r="I183" i="44"/>
  <c r="D183" i="44"/>
  <c r="J182" i="44"/>
  <c r="I182" i="44"/>
  <c r="D182" i="44"/>
  <c r="J181" i="44"/>
  <c r="I181" i="44"/>
  <c r="D181" i="44"/>
  <c r="J180" i="44"/>
  <c r="I180" i="44"/>
  <c r="D180" i="44"/>
  <c r="J179" i="44"/>
  <c r="I179" i="44"/>
  <c r="D179" i="44"/>
  <c r="J178" i="44"/>
  <c r="I178" i="44"/>
  <c r="D178" i="44"/>
  <c r="J177" i="44"/>
  <c r="I177" i="44"/>
  <c r="D177" i="44"/>
  <c r="J176" i="44"/>
  <c r="I176" i="44"/>
  <c r="D176" i="44"/>
  <c r="J175" i="44"/>
  <c r="I175" i="44"/>
  <c r="D175" i="44"/>
  <c r="J174" i="44"/>
  <c r="I174" i="44"/>
  <c r="D174" i="44"/>
  <c r="J173" i="44"/>
  <c r="I173" i="44"/>
  <c r="D173" i="44"/>
  <c r="J172" i="44"/>
  <c r="I172" i="44"/>
  <c r="D172" i="44"/>
  <c r="J171" i="44"/>
  <c r="I171" i="44"/>
  <c r="D171" i="44"/>
  <c r="J170" i="44"/>
  <c r="I170" i="44"/>
  <c r="D170" i="44"/>
  <c r="J169" i="44"/>
  <c r="I169" i="44"/>
  <c r="D169" i="44"/>
  <c r="J168" i="44"/>
  <c r="I168" i="44"/>
  <c r="D168" i="44"/>
  <c r="J167" i="44"/>
  <c r="I167" i="44"/>
  <c r="D167" i="44"/>
  <c r="J166" i="44"/>
  <c r="I166" i="44"/>
  <c r="D166" i="44"/>
  <c r="J165" i="44"/>
  <c r="I165" i="44"/>
  <c r="D165" i="44"/>
  <c r="J164" i="44"/>
  <c r="I164" i="44"/>
  <c r="D164" i="44"/>
  <c r="J163" i="44"/>
  <c r="I163" i="44"/>
  <c r="D163" i="44"/>
  <c r="J162" i="44"/>
  <c r="I162" i="44"/>
  <c r="D162" i="44"/>
  <c r="J161" i="44"/>
  <c r="I161" i="44"/>
  <c r="D161" i="44"/>
  <c r="J160" i="44"/>
  <c r="I160" i="44"/>
  <c r="D160" i="44"/>
  <c r="J159" i="44"/>
  <c r="I159" i="44"/>
  <c r="D159" i="44"/>
  <c r="J158" i="44"/>
  <c r="I158" i="44"/>
  <c r="D158" i="44"/>
  <c r="J157" i="44"/>
  <c r="I157" i="44"/>
  <c r="D157" i="44"/>
  <c r="J156" i="44"/>
  <c r="I156" i="44"/>
  <c r="D156" i="44"/>
  <c r="J155" i="44"/>
  <c r="I155" i="44"/>
  <c r="D155" i="44"/>
  <c r="J154" i="44"/>
  <c r="I154" i="44"/>
  <c r="D154" i="44"/>
  <c r="J153" i="44"/>
  <c r="I153" i="44"/>
  <c r="D153" i="44"/>
  <c r="J152" i="44"/>
  <c r="I152" i="44"/>
  <c r="D152" i="44"/>
  <c r="J151" i="44"/>
  <c r="I151" i="44"/>
  <c r="D151" i="44"/>
  <c r="J150" i="44"/>
  <c r="I150" i="44"/>
  <c r="D150" i="44"/>
  <c r="J149" i="44"/>
  <c r="I149" i="44"/>
  <c r="D149" i="44"/>
  <c r="J148" i="44"/>
  <c r="I148" i="44"/>
  <c r="D148" i="44"/>
  <c r="J147" i="44"/>
  <c r="I147" i="44"/>
  <c r="D147" i="44"/>
  <c r="J146" i="44"/>
  <c r="I146" i="44"/>
  <c r="D146" i="44"/>
  <c r="J145" i="44"/>
  <c r="I145" i="44"/>
  <c r="D145" i="44"/>
  <c r="J144" i="44"/>
  <c r="I144" i="44"/>
  <c r="D144" i="44"/>
  <c r="J143" i="44"/>
  <c r="I143" i="44"/>
  <c r="D143" i="44"/>
  <c r="J142" i="44"/>
  <c r="I142" i="44"/>
  <c r="D142" i="44"/>
  <c r="J141" i="44"/>
  <c r="I141" i="44"/>
  <c r="D141" i="44"/>
  <c r="J140" i="44"/>
  <c r="I140" i="44"/>
  <c r="D140" i="44"/>
  <c r="J139" i="44"/>
  <c r="I139" i="44"/>
  <c r="D139" i="44"/>
  <c r="J138" i="44"/>
  <c r="I138" i="44"/>
  <c r="D138" i="44"/>
  <c r="J137" i="44"/>
  <c r="I137" i="44"/>
  <c r="D137" i="44"/>
  <c r="J136" i="44"/>
  <c r="I136" i="44"/>
  <c r="D136" i="44"/>
  <c r="J135" i="44"/>
  <c r="I135" i="44"/>
  <c r="D135" i="44"/>
  <c r="J134" i="44"/>
  <c r="I134" i="44"/>
  <c r="D134" i="44"/>
  <c r="J133" i="44"/>
  <c r="I133" i="44"/>
  <c r="D133" i="44"/>
  <c r="J132" i="44"/>
  <c r="I132" i="44"/>
  <c r="D132" i="44"/>
  <c r="J131" i="44"/>
  <c r="I131" i="44"/>
  <c r="D131" i="44"/>
  <c r="J130" i="44"/>
  <c r="I130" i="44"/>
  <c r="D130" i="44"/>
  <c r="J129" i="44"/>
  <c r="I129" i="44"/>
  <c r="D129" i="44"/>
  <c r="J128" i="44"/>
  <c r="I128" i="44"/>
  <c r="D128" i="44"/>
  <c r="J127" i="44"/>
  <c r="I127" i="44"/>
  <c r="D127" i="44"/>
  <c r="J126" i="44"/>
  <c r="I126" i="44"/>
  <c r="D126" i="44"/>
  <c r="J125" i="44"/>
  <c r="I125" i="44"/>
  <c r="D125" i="44"/>
  <c r="J124" i="44"/>
  <c r="I124" i="44"/>
  <c r="D124" i="44"/>
  <c r="J123" i="44"/>
  <c r="I123" i="44"/>
  <c r="D123" i="44"/>
  <c r="J122" i="44"/>
  <c r="I122" i="44"/>
  <c r="D122" i="44"/>
  <c r="J121" i="44"/>
  <c r="I121" i="44"/>
  <c r="D121" i="44"/>
  <c r="J120" i="44"/>
  <c r="I120" i="44"/>
  <c r="D120" i="44"/>
  <c r="J119" i="44"/>
  <c r="I119" i="44"/>
  <c r="D119" i="44"/>
  <c r="J118" i="44"/>
  <c r="I118" i="44"/>
  <c r="D118" i="44"/>
  <c r="J117" i="44"/>
  <c r="I117" i="44"/>
  <c r="D117" i="44"/>
  <c r="J116" i="44"/>
  <c r="I116" i="44"/>
  <c r="D116" i="44"/>
  <c r="J115" i="44"/>
  <c r="I115" i="44"/>
  <c r="D115" i="44"/>
  <c r="J114" i="44"/>
  <c r="I114" i="44"/>
  <c r="D114" i="44"/>
  <c r="J113" i="44"/>
  <c r="I113" i="44"/>
  <c r="D113" i="44"/>
  <c r="J112" i="44"/>
  <c r="I112" i="44"/>
  <c r="D112" i="44"/>
  <c r="J111" i="44"/>
  <c r="I111" i="44"/>
  <c r="D111" i="44"/>
  <c r="J110" i="44"/>
  <c r="I110" i="44"/>
  <c r="D110" i="44"/>
  <c r="J109" i="44"/>
  <c r="I109" i="44"/>
  <c r="D109" i="44"/>
  <c r="J108" i="44"/>
  <c r="I108" i="44"/>
  <c r="D108" i="44"/>
  <c r="J107" i="44"/>
  <c r="I107" i="44"/>
  <c r="D107" i="44"/>
  <c r="J106" i="44"/>
  <c r="I106" i="44"/>
  <c r="D106" i="44"/>
  <c r="J105" i="44"/>
  <c r="I105" i="44"/>
  <c r="D105" i="44"/>
  <c r="J104" i="44"/>
  <c r="I104" i="44"/>
  <c r="D104" i="44"/>
  <c r="J103" i="44"/>
  <c r="I103" i="44"/>
  <c r="D103" i="44"/>
  <c r="J102" i="44"/>
  <c r="I102" i="44"/>
  <c r="D102" i="44"/>
  <c r="J101" i="44"/>
  <c r="I101" i="44"/>
  <c r="D101" i="44"/>
  <c r="J100" i="44"/>
  <c r="I100" i="44"/>
  <c r="D100" i="44"/>
  <c r="J99" i="44"/>
  <c r="I99" i="44"/>
  <c r="D99" i="44"/>
  <c r="J98" i="44"/>
  <c r="I98" i="44"/>
  <c r="D98" i="44"/>
  <c r="J97" i="44"/>
  <c r="I97" i="44"/>
  <c r="D97" i="44"/>
  <c r="J96" i="44"/>
  <c r="I96" i="44"/>
  <c r="D96" i="44"/>
  <c r="J95" i="44"/>
  <c r="I95" i="44"/>
  <c r="D95" i="44"/>
  <c r="J94" i="44"/>
  <c r="I94" i="44"/>
  <c r="D94" i="44"/>
  <c r="J93" i="44"/>
  <c r="I93" i="44"/>
  <c r="D93" i="44"/>
  <c r="J92" i="44"/>
  <c r="I92" i="44"/>
  <c r="D92" i="44"/>
  <c r="J91" i="44"/>
  <c r="I91" i="44"/>
  <c r="D91" i="44"/>
  <c r="J90" i="44"/>
  <c r="I90" i="44"/>
  <c r="D90" i="44"/>
  <c r="J89" i="44"/>
  <c r="I89" i="44"/>
  <c r="D89" i="44"/>
  <c r="J88" i="44"/>
  <c r="I88" i="44"/>
  <c r="D88" i="44"/>
  <c r="J87" i="44"/>
  <c r="I87" i="44"/>
  <c r="D87" i="44"/>
  <c r="J86" i="44"/>
  <c r="I86" i="44"/>
  <c r="D86" i="44"/>
  <c r="J85" i="44"/>
  <c r="I85" i="44"/>
  <c r="D85" i="44"/>
  <c r="J84" i="44"/>
  <c r="I84" i="44"/>
  <c r="D84" i="44"/>
  <c r="J83" i="44"/>
  <c r="I83" i="44"/>
  <c r="D83" i="44"/>
  <c r="J82" i="44"/>
  <c r="I82" i="44"/>
  <c r="D82" i="44"/>
  <c r="J81" i="44"/>
  <c r="I81" i="44"/>
  <c r="D81" i="44"/>
  <c r="J80" i="44"/>
  <c r="I80" i="44"/>
  <c r="D80" i="44"/>
  <c r="J79" i="44"/>
  <c r="I79" i="44"/>
  <c r="D79" i="44"/>
  <c r="J78" i="44"/>
  <c r="I78" i="44"/>
  <c r="D78" i="44"/>
  <c r="J77" i="44"/>
  <c r="I77" i="44"/>
  <c r="D77" i="44"/>
  <c r="J76" i="44"/>
  <c r="I76" i="44"/>
  <c r="D76" i="44"/>
  <c r="J75" i="44"/>
  <c r="I75" i="44"/>
  <c r="D75" i="44"/>
  <c r="J74" i="44"/>
  <c r="I74" i="44"/>
  <c r="D74" i="44"/>
  <c r="J73" i="44"/>
  <c r="I73" i="44"/>
  <c r="D73" i="44"/>
  <c r="J72" i="44"/>
  <c r="I72" i="44"/>
  <c r="D72" i="44"/>
  <c r="J71" i="44"/>
  <c r="I71" i="44"/>
  <c r="D71" i="44"/>
  <c r="J70" i="44"/>
  <c r="I70" i="44"/>
  <c r="D70" i="44"/>
  <c r="J69" i="44"/>
  <c r="I69" i="44"/>
  <c r="D69" i="44"/>
  <c r="J68" i="44"/>
  <c r="I68" i="44"/>
  <c r="D68" i="44"/>
  <c r="J67" i="44"/>
  <c r="I67" i="44"/>
  <c r="D67" i="44"/>
  <c r="J66" i="44"/>
  <c r="I66" i="44"/>
  <c r="D66" i="44"/>
  <c r="J65" i="44"/>
  <c r="I65" i="44"/>
  <c r="D65" i="44"/>
  <c r="J64" i="44"/>
  <c r="I64" i="44"/>
  <c r="D64" i="44"/>
  <c r="J63" i="44"/>
  <c r="I63" i="44"/>
  <c r="D63" i="44"/>
  <c r="J62" i="44"/>
  <c r="I62" i="44"/>
  <c r="D62" i="44"/>
  <c r="J61" i="44"/>
  <c r="I61" i="44"/>
  <c r="D61" i="44"/>
  <c r="J60" i="44"/>
  <c r="I60" i="44"/>
  <c r="D60" i="44"/>
  <c r="J59" i="44"/>
  <c r="I59" i="44"/>
  <c r="D59" i="44"/>
  <c r="J58" i="44"/>
  <c r="I58" i="44"/>
  <c r="D58" i="44"/>
  <c r="J57" i="44"/>
  <c r="I57" i="44"/>
  <c r="D57" i="44"/>
  <c r="J56" i="44"/>
  <c r="I56" i="44"/>
  <c r="D56" i="44"/>
  <c r="J55" i="44"/>
  <c r="I55" i="44"/>
  <c r="D55" i="44"/>
  <c r="J54" i="44"/>
  <c r="I54" i="44"/>
  <c r="D54" i="44"/>
  <c r="J53" i="44"/>
  <c r="I53" i="44"/>
  <c r="D53" i="44"/>
  <c r="J52" i="44"/>
  <c r="I52" i="44"/>
  <c r="D52" i="44"/>
  <c r="J51" i="44"/>
  <c r="I51" i="44"/>
  <c r="D51" i="44"/>
  <c r="J50" i="44"/>
  <c r="I50" i="44"/>
  <c r="D50" i="44"/>
  <c r="J49" i="44"/>
  <c r="I49" i="44"/>
  <c r="D49" i="44"/>
  <c r="J48" i="44"/>
  <c r="I48" i="44"/>
  <c r="D48" i="44"/>
  <c r="J47" i="44"/>
  <c r="I47" i="44"/>
  <c r="D47" i="44"/>
  <c r="J46" i="44"/>
  <c r="I46" i="44"/>
  <c r="D46" i="44"/>
  <c r="J45" i="44"/>
  <c r="I45" i="44"/>
  <c r="D45" i="44"/>
  <c r="J44" i="44"/>
  <c r="I44" i="44"/>
  <c r="D44" i="44"/>
  <c r="J43" i="44"/>
  <c r="I43" i="44"/>
  <c r="D43" i="44"/>
  <c r="J42" i="44"/>
  <c r="I42" i="44"/>
  <c r="D42" i="44"/>
  <c r="J41" i="44"/>
  <c r="I41" i="44"/>
  <c r="D41" i="44"/>
  <c r="J40" i="44"/>
  <c r="I40" i="44"/>
  <c r="D40" i="44"/>
  <c r="J39" i="44"/>
  <c r="I39" i="44"/>
  <c r="D39" i="44"/>
  <c r="J38" i="44"/>
  <c r="I38" i="44"/>
  <c r="D38" i="44"/>
  <c r="J37" i="44"/>
  <c r="I37" i="44"/>
  <c r="D37" i="44"/>
  <c r="J36" i="44"/>
  <c r="I36" i="44"/>
  <c r="D36" i="44"/>
  <c r="J35" i="44"/>
  <c r="I35" i="44"/>
  <c r="D35" i="44"/>
  <c r="J34" i="44"/>
  <c r="I34" i="44"/>
  <c r="D34" i="44"/>
  <c r="J33" i="44"/>
  <c r="I33" i="44"/>
  <c r="D33" i="44"/>
  <c r="P32" i="44"/>
  <c r="J32" i="44"/>
  <c r="I32" i="44"/>
  <c r="D32" i="44"/>
  <c r="P31" i="44"/>
  <c r="J31" i="44"/>
  <c r="I31" i="44"/>
  <c r="D31" i="44"/>
  <c r="P30" i="44"/>
  <c r="J30" i="44"/>
  <c r="I30" i="44"/>
  <c r="D30" i="44"/>
  <c r="P29" i="44"/>
  <c r="J29" i="44"/>
  <c r="I29" i="44"/>
  <c r="D29" i="44"/>
  <c r="P28" i="44"/>
  <c r="P33" i="44" s="1"/>
  <c r="J28" i="44"/>
  <c r="I28" i="44"/>
  <c r="D28" i="44"/>
  <c r="J27" i="44"/>
  <c r="I27" i="44"/>
  <c r="D27" i="44"/>
  <c r="J26" i="44"/>
  <c r="I26" i="44"/>
  <c r="D26" i="44"/>
  <c r="P25" i="44"/>
  <c r="J25" i="44"/>
  <c r="I25" i="44"/>
  <c r="D25" i="44"/>
  <c r="P24" i="44"/>
  <c r="J24" i="44"/>
  <c r="I24" i="44"/>
  <c r="D24" i="44"/>
  <c r="P23" i="44"/>
  <c r="P26" i="44" s="1"/>
  <c r="J23" i="44"/>
  <c r="I23" i="44"/>
  <c r="D23" i="44"/>
  <c r="P22" i="44"/>
  <c r="J22" i="44"/>
  <c r="I22" i="44"/>
  <c r="D22" i="44"/>
  <c r="P21" i="44"/>
  <c r="J21" i="44"/>
  <c r="I21" i="44"/>
  <c r="D21" i="44"/>
  <c r="J20" i="44"/>
  <c r="I20" i="44"/>
  <c r="D20" i="44"/>
  <c r="M19" i="44"/>
  <c r="J19" i="44"/>
  <c r="I19" i="44"/>
  <c r="D19" i="44"/>
  <c r="J18" i="44"/>
  <c r="I18" i="44"/>
  <c r="D18" i="44"/>
  <c r="J17" i="44"/>
  <c r="I17" i="44"/>
  <c r="D17" i="44"/>
  <c r="J16" i="44"/>
  <c r="I16" i="44"/>
  <c r="D16" i="44"/>
  <c r="J15" i="44"/>
  <c r="I15" i="44"/>
  <c r="D15" i="44"/>
  <c r="J14" i="44"/>
  <c r="I14" i="44"/>
  <c r="D14" i="44"/>
  <c r="J13" i="44"/>
  <c r="I13" i="44"/>
  <c r="D13" i="44"/>
  <c r="J12" i="44"/>
  <c r="I12" i="44"/>
  <c r="D12" i="44"/>
  <c r="J11" i="44"/>
  <c r="I11" i="44"/>
  <c r="D11" i="44"/>
  <c r="J10" i="44"/>
  <c r="I10" i="44"/>
  <c r="D10" i="44"/>
  <c r="J9" i="44"/>
  <c r="I9" i="44"/>
  <c r="D9" i="44"/>
  <c r="J8" i="44"/>
  <c r="I8" i="44"/>
  <c r="D8" i="44"/>
  <c r="J7" i="44"/>
  <c r="I7" i="44"/>
  <c r="D7" i="44"/>
  <c r="J6" i="44"/>
  <c r="I6" i="44"/>
  <c r="D6" i="44"/>
  <c r="B2" i="44" a="1"/>
  <c r="B2" i="44" s="1"/>
  <c r="J488" i="43"/>
  <c r="I488" i="43"/>
  <c r="D488" i="43"/>
  <c r="J487" i="43"/>
  <c r="I487" i="43"/>
  <c r="D487" i="43"/>
  <c r="J486" i="43"/>
  <c r="I486" i="43"/>
  <c r="D486" i="43"/>
  <c r="J485" i="43"/>
  <c r="I485" i="43"/>
  <c r="D485" i="43"/>
  <c r="J484" i="43"/>
  <c r="I484" i="43"/>
  <c r="D484" i="43"/>
  <c r="J483" i="43"/>
  <c r="I483" i="43"/>
  <c r="D483" i="43"/>
  <c r="J482" i="43"/>
  <c r="I482" i="43"/>
  <c r="D482" i="43"/>
  <c r="J481" i="43"/>
  <c r="I481" i="43"/>
  <c r="D481" i="43"/>
  <c r="J480" i="43"/>
  <c r="I480" i="43"/>
  <c r="D480" i="43"/>
  <c r="J479" i="43"/>
  <c r="I479" i="43"/>
  <c r="D479" i="43"/>
  <c r="J478" i="43"/>
  <c r="I478" i="43"/>
  <c r="D478" i="43"/>
  <c r="J477" i="43"/>
  <c r="I477" i="43"/>
  <c r="D477" i="43"/>
  <c r="J476" i="43"/>
  <c r="I476" i="43"/>
  <c r="D476" i="43"/>
  <c r="J475" i="43"/>
  <c r="I475" i="43"/>
  <c r="D475" i="43"/>
  <c r="J474" i="43"/>
  <c r="I474" i="43"/>
  <c r="D474" i="43"/>
  <c r="J473" i="43"/>
  <c r="I473" i="43"/>
  <c r="D473" i="43"/>
  <c r="J472" i="43"/>
  <c r="I472" i="43"/>
  <c r="D472" i="43"/>
  <c r="J471" i="43"/>
  <c r="I471" i="43"/>
  <c r="D471" i="43"/>
  <c r="J470" i="43"/>
  <c r="I470" i="43"/>
  <c r="D470" i="43"/>
  <c r="J469" i="43"/>
  <c r="I469" i="43"/>
  <c r="D469" i="43"/>
  <c r="J468" i="43"/>
  <c r="I468" i="43"/>
  <c r="D468" i="43"/>
  <c r="J467" i="43"/>
  <c r="I467" i="43"/>
  <c r="D467" i="43"/>
  <c r="J466" i="43"/>
  <c r="I466" i="43"/>
  <c r="D466" i="43"/>
  <c r="J465" i="43"/>
  <c r="I465" i="43"/>
  <c r="D465" i="43"/>
  <c r="J464" i="43"/>
  <c r="I464" i="43"/>
  <c r="D464" i="43"/>
  <c r="J463" i="43"/>
  <c r="I463" i="43"/>
  <c r="D463" i="43"/>
  <c r="J462" i="43"/>
  <c r="I462" i="43"/>
  <c r="D462" i="43"/>
  <c r="J461" i="43"/>
  <c r="I461" i="43"/>
  <c r="D461" i="43"/>
  <c r="J460" i="43"/>
  <c r="I460" i="43"/>
  <c r="D460" i="43"/>
  <c r="J459" i="43"/>
  <c r="I459" i="43"/>
  <c r="D459" i="43"/>
  <c r="J458" i="43"/>
  <c r="I458" i="43"/>
  <c r="D458" i="43"/>
  <c r="J457" i="43"/>
  <c r="I457" i="43"/>
  <c r="D457" i="43"/>
  <c r="J456" i="43"/>
  <c r="I456" i="43"/>
  <c r="D456" i="43"/>
  <c r="J455" i="43"/>
  <c r="I455" i="43"/>
  <c r="D455" i="43"/>
  <c r="J454" i="43"/>
  <c r="I454" i="43"/>
  <c r="D454" i="43"/>
  <c r="J453" i="43"/>
  <c r="I453" i="43"/>
  <c r="D453" i="43"/>
  <c r="J452" i="43"/>
  <c r="I452" i="43"/>
  <c r="D452" i="43"/>
  <c r="J451" i="43"/>
  <c r="I451" i="43"/>
  <c r="D451" i="43"/>
  <c r="J450" i="43"/>
  <c r="I450" i="43"/>
  <c r="D450" i="43"/>
  <c r="J449" i="43"/>
  <c r="I449" i="43"/>
  <c r="D449" i="43"/>
  <c r="J448" i="43"/>
  <c r="I448" i="43"/>
  <c r="D448" i="43"/>
  <c r="J447" i="43"/>
  <c r="I447" i="43"/>
  <c r="D447" i="43"/>
  <c r="J446" i="43"/>
  <c r="I446" i="43"/>
  <c r="D446" i="43"/>
  <c r="J445" i="43"/>
  <c r="I445" i="43"/>
  <c r="D445" i="43"/>
  <c r="J444" i="43"/>
  <c r="I444" i="43"/>
  <c r="D444" i="43"/>
  <c r="J443" i="43"/>
  <c r="I443" i="43"/>
  <c r="D443" i="43"/>
  <c r="J442" i="43"/>
  <c r="I442" i="43"/>
  <c r="D442" i="43"/>
  <c r="J441" i="43"/>
  <c r="I441" i="43"/>
  <c r="D441" i="43"/>
  <c r="J440" i="43"/>
  <c r="I440" i="43"/>
  <c r="D440" i="43"/>
  <c r="J439" i="43"/>
  <c r="I439" i="43"/>
  <c r="D439" i="43"/>
  <c r="J438" i="43"/>
  <c r="I438" i="43"/>
  <c r="D438" i="43"/>
  <c r="J437" i="43"/>
  <c r="I437" i="43"/>
  <c r="D437" i="43"/>
  <c r="J436" i="43"/>
  <c r="I436" i="43"/>
  <c r="D436" i="43"/>
  <c r="J435" i="43"/>
  <c r="I435" i="43"/>
  <c r="D435" i="43"/>
  <c r="J434" i="43"/>
  <c r="I434" i="43"/>
  <c r="D434" i="43"/>
  <c r="J433" i="43"/>
  <c r="I433" i="43"/>
  <c r="D433" i="43"/>
  <c r="J432" i="43"/>
  <c r="I432" i="43"/>
  <c r="D432" i="43"/>
  <c r="J431" i="43"/>
  <c r="I431" i="43"/>
  <c r="D431" i="43"/>
  <c r="J430" i="43"/>
  <c r="I430" i="43"/>
  <c r="D430" i="43"/>
  <c r="J429" i="43"/>
  <c r="I429" i="43"/>
  <c r="D429" i="43"/>
  <c r="J428" i="43"/>
  <c r="I428" i="43"/>
  <c r="D428" i="43"/>
  <c r="J427" i="43"/>
  <c r="I427" i="43"/>
  <c r="D427" i="43"/>
  <c r="J426" i="43"/>
  <c r="I426" i="43"/>
  <c r="D426" i="43"/>
  <c r="J425" i="43"/>
  <c r="I425" i="43"/>
  <c r="D425" i="43"/>
  <c r="J424" i="43"/>
  <c r="I424" i="43"/>
  <c r="D424" i="43"/>
  <c r="J423" i="43"/>
  <c r="I423" i="43"/>
  <c r="D423" i="43"/>
  <c r="J422" i="43"/>
  <c r="I422" i="43"/>
  <c r="D422" i="43"/>
  <c r="J421" i="43"/>
  <c r="I421" i="43"/>
  <c r="D421" i="43"/>
  <c r="J420" i="43"/>
  <c r="I420" i="43"/>
  <c r="D420" i="43"/>
  <c r="J419" i="43"/>
  <c r="I419" i="43"/>
  <c r="D419" i="43"/>
  <c r="J418" i="43"/>
  <c r="I418" i="43"/>
  <c r="D418" i="43"/>
  <c r="J417" i="43"/>
  <c r="I417" i="43"/>
  <c r="D417" i="43"/>
  <c r="J416" i="43"/>
  <c r="I416" i="43"/>
  <c r="D416" i="43"/>
  <c r="J415" i="43"/>
  <c r="I415" i="43"/>
  <c r="D415" i="43"/>
  <c r="J414" i="43"/>
  <c r="I414" i="43"/>
  <c r="D414" i="43"/>
  <c r="J413" i="43"/>
  <c r="I413" i="43"/>
  <c r="D413" i="43"/>
  <c r="J412" i="43"/>
  <c r="I412" i="43"/>
  <c r="D412" i="43"/>
  <c r="J411" i="43"/>
  <c r="I411" i="43"/>
  <c r="D411" i="43"/>
  <c r="J410" i="43"/>
  <c r="I410" i="43"/>
  <c r="D410" i="43"/>
  <c r="J409" i="43"/>
  <c r="I409" i="43"/>
  <c r="D409" i="43"/>
  <c r="J408" i="43"/>
  <c r="I408" i="43"/>
  <c r="D408" i="43"/>
  <c r="J407" i="43"/>
  <c r="I407" i="43"/>
  <c r="D407" i="43"/>
  <c r="J406" i="43"/>
  <c r="I406" i="43"/>
  <c r="D406" i="43"/>
  <c r="J405" i="43"/>
  <c r="I405" i="43"/>
  <c r="D405" i="43"/>
  <c r="J404" i="43"/>
  <c r="I404" i="43"/>
  <c r="D404" i="43"/>
  <c r="J403" i="43"/>
  <c r="I403" i="43"/>
  <c r="D403" i="43"/>
  <c r="J402" i="43"/>
  <c r="I402" i="43"/>
  <c r="D402" i="43"/>
  <c r="J401" i="43"/>
  <c r="I401" i="43"/>
  <c r="D401" i="43"/>
  <c r="J400" i="43"/>
  <c r="I400" i="43"/>
  <c r="D400" i="43"/>
  <c r="J399" i="43"/>
  <c r="I399" i="43"/>
  <c r="D399" i="43"/>
  <c r="J398" i="43"/>
  <c r="I398" i="43"/>
  <c r="D398" i="43"/>
  <c r="J397" i="43"/>
  <c r="I397" i="43"/>
  <c r="D397" i="43"/>
  <c r="J396" i="43"/>
  <c r="I396" i="43"/>
  <c r="D396" i="43"/>
  <c r="J395" i="43"/>
  <c r="I395" i="43"/>
  <c r="D395" i="43"/>
  <c r="J394" i="43"/>
  <c r="I394" i="43"/>
  <c r="D394" i="43"/>
  <c r="J393" i="43"/>
  <c r="I393" i="43"/>
  <c r="D393" i="43"/>
  <c r="J392" i="43"/>
  <c r="I392" i="43"/>
  <c r="D392" i="43"/>
  <c r="J391" i="43"/>
  <c r="I391" i="43"/>
  <c r="D391" i="43"/>
  <c r="J390" i="43"/>
  <c r="I390" i="43"/>
  <c r="D390" i="43"/>
  <c r="J389" i="43"/>
  <c r="I389" i="43"/>
  <c r="D389" i="43"/>
  <c r="J388" i="43"/>
  <c r="I388" i="43"/>
  <c r="D388" i="43"/>
  <c r="J387" i="43"/>
  <c r="I387" i="43"/>
  <c r="D387" i="43"/>
  <c r="J386" i="43"/>
  <c r="I386" i="43"/>
  <c r="D386" i="43"/>
  <c r="J385" i="43"/>
  <c r="I385" i="43"/>
  <c r="D385" i="43"/>
  <c r="J384" i="43"/>
  <c r="I384" i="43"/>
  <c r="D384" i="43"/>
  <c r="J383" i="43"/>
  <c r="I383" i="43"/>
  <c r="D383" i="43"/>
  <c r="J382" i="43"/>
  <c r="I382" i="43"/>
  <c r="D382" i="43"/>
  <c r="J381" i="43"/>
  <c r="I381" i="43"/>
  <c r="D381" i="43"/>
  <c r="J380" i="43"/>
  <c r="I380" i="43"/>
  <c r="D380" i="43"/>
  <c r="J379" i="43"/>
  <c r="I379" i="43"/>
  <c r="D379" i="43"/>
  <c r="J378" i="43"/>
  <c r="I378" i="43"/>
  <c r="D378" i="43"/>
  <c r="J377" i="43"/>
  <c r="I377" i="43"/>
  <c r="D377" i="43"/>
  <c r="J376" i="43"/>
  <c r="I376" i="43"/>
  <c r="D376" i="43"/>
  <c r="J375" i="43"/>
  <c r="I375" i="43"/>
  <c r="D375" i="43"/>
  <c r="J374" i="43"/>
  <c r="I374" i="43"/>
  <c r="D374" i="43"/>
  <c r="J373" i="43"/>
  <c r="I373" i="43"/>
  <c r="D373" i="43"/>
  <c r="J372" i="43"/>
  <c r="I372" i="43"/>
  <c r="D372" i="43"/>
  <c r="J371" i="43"/>
  <c r="I371" i="43"/>
  <c r="D371" i="43"/>
  <c r="J370" i="43"/>
  <c r="I370" i="43"/>
  <c r="D370" i="43"/>
  <c r="J369" i="43"/>
  <c r="I369" i="43"/>
  <c r="D369" i="43"/>
  <c r="J368" i="43"/>
  <c r="I368" i="43"/>
  <c r="D368" i="43"/>
  <c r="J367" i="43"/>
  <c r="I367" i="43"/>
  <c r="D367" i="43"/>
  <c r="J366" i="43"/>
  <c r="I366" i="43"/>
  <c r="D366" i="43"/>
  <c r="J365" i="43"/>
  <c r="I365" i="43"/>
  <c r="D365" i="43"/>
  <c r="J364" i="43"/>
  <c r="I364" i="43"/>
  <c r="D364" i="43"/>
  <c r="J363" i="43"/>
  <c r="I363" i="43"/>
  <c r="D363" i="43"/>
  <c r="J362" i="43"/>
  <c r="I362" i="43"/>
  <c r="D362" i="43"/>
  <c r="J361" i="43"/>
  <c r="I361" i="43"/>
  <c r="D361" i="43"/>
  <c r="J360" i="43"/>
  <c r="I360" i="43"/>
  <c r="D360" i="43"/>
  <c r="J359" i="43"/>
  <c r="I359" i="43"/>
  <c r="D359" i="43"/>
  <c r="J358" i="43"/>
  <c r="I358" i="43"/>
  <c r="D358" i="43"/>
  <c r="J357" i="43"/>
  <c r="I357" i="43"/>
  <c r="D357" i="43"/>
  <c r="J356" i="43"/>
  <c r="I356" i="43"/>
  <c r="D356" i="43"/>
  <c r="J355" i="43"/>
  <c r="I355" i="43"/>
  <c r="D355" i="43"/>
  <c r="J354" i="43"/>
  <c r="I354" i="43"/>
  <c r="D354" i="43"/>
  <c r="J353" i="43"/>
  <c r="I353" i="43"/>
  <c r="D353" i="43"/>
  <c r="J352" i="43"/>
  <c r="I352" i="43"/>
  <c r="D352" i="43"/>
  <c r="J351" i="43"/>
  <c r="I351" i="43"/>
  <c r="D351" i="43"/>
  <c r="J350" i="43"/>
  <c r="I350" i="43"/>
  <c r="D350" i="43"/>
  <c r="J349" i="43"/>
  <c r="I349" i="43"/>
  <c r="D349" i="43"/>
  <c r="J348" i="43"/>
  <c r="I348" i="43"/>
  <c r="D348" i="43"/>
  <c r="J347" i="43"/>
  <c r="I347" i="43"/>
  <c r="D347" i="43"/>
  <c r="J346" i="43"/>
  <c r="I346" i="43"/>
  <c r="D346" i="43"/>
  <c r="J345" i="43"/>
  <c r="I345" i="43"/>
  <c r="D345" i="43"/>
  <c r="J344" i="43"/>
  <c r="I344" i="43"/>
  <c r="D344" i="43"/>
  <c r="J343" i="43"/>
  <c r="I343" i="43"/>
  <c r="D343" i="43"/>
  <c r="J342" i="43"/>
  <c r="I342" i="43"/>
  <c r="D342" i="43"/>
  <c r="J341" i="43"/>
  <c r="I341" i="43"/>
  <c r="D341" i="43"/>
  <c r="J340" i="43"/>
  <c r="I340" i="43"/>
  <c r="D340" i="43"/>
  <c r="J339" i="43"/>
  <c r="I339" i="43"/>
  <c r="D339" i="43"/>
  <c r="J338" i="43"/>
  <c r="I338" i="43"/>
  <c r="D338" i="43"/>
  <c r="J337" i="43"/>
  <c r="I337" i="43"/>
  <c r="D337" i="43"/>
  <c r="J336" i="43"/>
  <c r="I336" i="43"/>
  <c r="D336" i="43"/>
  <c r="J335" i="43"/>
  <c r="I335" i="43"/>
  <c r="D335" i="43"/>
  <c r="J334" i="43"/>
  <c r="I334" i="43"/>
  <c r="D334" i="43"/>
  <c r="J333" i="43"/>
  <c r="I333" i="43"/>
  <c r="D333" i="43"/>
  <c r="J332" i="43"/>
  <c r="I332" i="43"/>
  <c r="D332" i="43"/>
  <c r="J331" i="43"/>
  <c r="I331" i="43"/>
  <c r="D331" i="43"/>
  <c r="J330" i="43"/>
  <c r="I330" i="43"/>
  <c r="D330" i="43"/>
  <c r="J329" i="43"/>
  <c r="I329" i="43"/>
  <c r="D329" i="43"/>
  <c r="J328" i="43"/>
  <c r="I328" i="43"/>
  <c r="D328" i="43"/>
  <c r="J327" i="43"/>
  <c r="I327" i="43"/>
  <c r="D327" i="43"/>
  <c r="J326" i="43"/>
  <c r="I326" i="43"/>
  <c r="D326" i="43"/>
  <c r="J325" i="43"/>
  <c r="I325" i="43"/>
  <c r="D325" i="43"/>
  <c r="J324" i="43"/>
  <c r="I324" i="43"/>
  <c r="D324" i="43"/>
  <c r="J323" i="43"/>
  <c r="I323" i="43"/>
  <c r="D323" i="43"/>
  <c r="J322" i="43"/>
  <c r="I322" i="43"/>
  <c r="D322" i="43"/>
  <c r="J321" i="43"/>
  <c r="I321" i="43"/>
  <c r="D321" i="43"/>
  <c r="J320" i="43"/>
  <c r="I320" i="43"/>
  <c r="D320" i="43"/>
  <c r="J319" i="43"/>
  <c r="I319" i="43"/>
  <c r="D319" i="43"/>
  <c r="J318" i="43"/>
  <c r="I318" i="43"/>
  <c r="D318" i="43"/>
  <c r="J317" i="43"/>
  <c r="I317" i="43"/>
  <c r="D317" i="43"/>
  <c r="J316" i="43"/>
  <c r="I316" i="43"/>
  <c r="D316" i="43"/>
  <c r="J315" i="43"/>
  <c r="I315" i="43"/>
  <c r="D315" i="43"/>
  <c r="J314" i="43"/>
  <c r="I314" i="43"/>
  <c r="D314" i="43"/>
  <c r="J313" i="43"/>
  <c r="I313" i="43"/>
  <c r="D313" i="43"/>
  <c r="J312" i="43"/>
  <c r="I312" i="43"/>
  <c r="D312" i="43"/>
  <c r="J311" i="43"/>
  <c r="I311" i="43"/>
  <c r="D311" i="43"/>
  <c r="J310" i="43"/>
  <c r="I310" i="43"/>
  <c r="D310" i="43"/>
  <c r="J309" i="43"/>
  <c r="I309" i="43"/>
  <c r="D309" i="43"/>
  <c r="J308" i="43"/>
  <c r="I308" i="43"/>
  <c r="D308" i="43"/>
  <c r="J307" i="43"/>
  <c r="I307" i="43"/>
  <c r="D307" i="43"/>
  <c r="J306" i="43"/>
  <c r="I306" i="43"/>
  <c r="D306" i="43"/>
  <c r="J305" i="43"/>
  <c r="I305" i="43"/>
  <c r="D305" i="43"/>
  <c r="J304" i="43"/>
  <c r="I304" i="43"/>
  <c r="D304" i="43"/>
  <c r="J303" i="43"/>
  <c r="I303" i="43"/>
  <c r="D303" i="43"/>
  <c r="J302" i="43"/>
  <c r="I302" i="43"/>
  <c r="D302" i="43"/>
  <c r="J301" i="43"/>
  <c r="I301" i="43"/>
  <c r="D301" i="43"/>
  <c r="J300" i="43"/>
  <c r="I300" i="43"/>
  <c r="D300" i="43"/>
  <c r="J299" i="43"/>
  <c r="I299" i="43"/>
  <c r="D299" i="43"/>
  <c r="J298" i="43"/>
  <c r="I298" i="43"/>
  <c r="D298" i="43"/>
  <c r="J297" i="43"/>
  <c r="I297" i="43"/>
  <c r="D297" i="43"/>
  <c r="J296" i="43"/>
  <c r="I296" i="43"/>
  <c r="D296" i="43"/>
  <c r="J295" i="43"/>
  <c r="I295" i="43"/>
  <c r="D295" i="43"/>
  <c r="J294" i="43"/>
  <c r="I294" i="43"/>
  <c r="D294" i="43"/>
  <c r="J293" i="43"/>
  <c r="I293" i="43"/>
  <c r="D293" i="43"/>
  <c r="J292" i="43"/>
  <c r="I292" i="43"/>
  <c r="D292" i="43"/>
  <c r="J291" i="43"/>
  <c r="I291" i="43"/>
  <c r="D291" i="43"/>
  <c r="J290" i="43"/>
  <c r="I290" i="43"/>
  <c r="D290" i="43"/>
  <c r="J289" i="43"/>
  <c r="I289" i="43"/>
  <c r="D289" i="43"/>
  <c r="J288" i="43"/>
  <c r="I288" i="43"/>
  <c r="D288" i="43"/>
  <c r="J287" i="43"/>
  <c r="I287" i="43"/>
  <c r="D287" i="43"/>
  <c r="J286" i="43"/>
  <c r="I286" i="43"/>
  <c r="D286" i="43"/>
  <c r="J285" i="43"/>
  <c r="I285" i="43"/>
  <c r="D285" i="43"/>
  <c r="J284" i="43"/>
  <c r="I284" i="43"/>
  <c r="D284" i="43"/>
  <c r="J283" i="43"/>
  <c r="I283" i="43"/>
  <c r="D283" i="43"/>
  <c r="J282" i="43"/>
  <c r="I282" i="43"/>
  <c r="D282" i="43"/>
  <c r="J281" i="43"/>
  <c r="I281" i="43"/>
  <c r="D281" i="43"/>
  <c r="J280" i="43"/>
  <c r="I280" i="43"/>
  <c r="D280" i="43"/>
  <c r="J279" i="43"/>
  <c r="I279" i="43"/>
  <c r="D279" i="43"/>
  <c r="J278" i="43"/>
  <c r="I278" i="43"/>
  <c r="D278" i="43"/>
  <c r="J277" i="43"/>
  <c r="I277" i="43"/>
  <c r="D277" i="43"/>
  <c r="J276" i="43"/>
  <c r="I276" i="43"/>
  <c r="D276" i="43"/>
  <c r="J275" i="43"/>
  <c r="I275" i="43"/>
  <c r="D275" i="43"/>
  <c r="J274" i="43"/>
  <c r="I274" i="43"/>
  <c r="D274" i="43"/>
  <c r="J273" i="43"/>
  <c r="I273" i="43"/>
  <c r="D273" i="43"/>
  <c r="J272" i="43"/>
  <c r="I272" i="43"/>
  <c r="D272" i="43"/>
  <c r="J271" i="43"/>
  <c r="I271" i="43"/>
  <c r="D271" i="43"/>
  <c r="J270" i="43"/>
  <c r="I270" i="43"/>
  <c r="D270" i="43"/>
  <c r="J269" i="43"/>
  <c r="I269" i="43"/>
  <c r="D269" i="43"/>
  <c r="J268" i="43"/>
  <c r="I268" i="43"/>
  <c r="D268" i="43"/>
  <c r="J267" i="43"/>
  <c r="I267" i="43"/>
  <c r="D267" i="43"/>
  <c r="J266" i="43"/>
  <c r="I266" i="43"/>
  <c r="D266" i="43"/>
  <c r="J265" i="43"/>
  <c r="I265" i="43"/>
  <c r="D265" i="43"/>
  <c r="J264" i="43"/>
  <c r="I264" i="43"/>
  <c r="D264" i="43"/>
  <c r="J263" i="43"/>
  <c r="I263" i="43"/>
  <c r="D263" i="43"/>
  <c r="J262" i="43"/>
  <c r="I262" i="43"/>
  <c r="D262" i="43"/>
  <c r="J261" i="43"/>
  <c r="I261" i="43"/>
  <c r="D261" i="43"/>
  <c r="J260" i="43"/>
  <c r="I260" i="43"/>
  <c r="D260" i="43"/>
  <c r="J259" i="43"/>
  <c r="I259" i="43"/>
  <c r="D259" i="43"/>
  <c r="J258" i="43"/>
  <c r="I258" i="43"/>
  <c r="D258" i="43"/>
  <c r="J257" i="43"/>
  <c r="I257" i="43"/>
  <c r="D257" i="43"/>
  <c r="J256" i="43"/>
  <c r="I256" i="43"/>
  <c r="D256" i="43"/>
  <c r="J255" i="43"/>
  <c r="I255" i="43"/>
  <c r="D255" i="43"/>
  <c r="J254" i="43"/>
  <c r="I254" i="43"/>
  <c r="D254" i="43"/>
  <c r="J253" i="43"/>
  <c r="I253" i="43"/>
  <c r="D253" i="43"/>
  <c r="J252" i="43"/>
  <c r="I252" i="43"/>
  <c r="D252" i="43"/>
  <c r="J251" i="43"/>
  <c r="I251" i="43"/>
  <c r="D251" i="43"/>
  <c r="J250" i="43"/>
  <c r="I250" i="43"/>
  <c r="D250" i="43"/>
  <c r="J249" i="43"/>
  <c r="I249" i="43"/>
  <c r="D249" i="43"/>
  <c r="J248" i="43"/>
  <c r="I248" i="43"/>
  <c r="D248" i="43"/>
  <c r="J247" i="43"/>
  <c r="I247" i="43"/>
  <c r="D247" i="43"/>
  <c r="J246" i="43"/>
  <c r="I246" i="43"/>
  <c r="D246" i="43"/>
  <c r="J245" i="43"/>
  <c r="I245" i="43"/>
  <c r="D245" i="43"/>
  <c r="J244" i="43"/>
  <c r="I244" i="43"/>
  <c r="D244" i="43"/>
  <c r="J243" i="43"/>
  <c r="I243" i="43"/>
  <c r="D243" i="43"/>
  <c r="J242" i="43"/>
  <c r="I242" i="43"/>
  <c r="D242" i="43"/>
  <c r="J241" i="43"/>
  <c r="I241" i="43"/>
  <c r="D241" i="43"/>
  <c r="J240" i="43"/>
  <c r="I240" i="43"/>
  <c r="D240" i="43"/>
  <c r="J239" i="43"/>
  <c r="I239" i="43"/>
  <c r="D239" i="43"/>
  <c r="J238" i="43"/>
  <c r="I238" i="43"/>
  <c r="D238" i="43"/>
  <c r="J237" i="43"/>
  <c r="I237" i="43"/>
  <c r="D237" i="43"/>
  <c r="J236" i="43"/>
  <c r="I236" i="43"/>
  <c r="D236" i="43"/>
  <c r="J235" i="43"/>
  <c r="I235" i="43"/>
  <c r="D235" i="43"/>
  <c r="J234" i="43"/>
  <c r="I234" i="43"/>
  <c r="D234" i="43"/>
  <c r="J233" i="43"/>
  <c r="I233" i="43"/>
  <c r="D233" i="43"/>
  <c r="J232" i="43"/>
  <c r="I232" i="43"/>
  <c r="D232" i="43"/>
  <c r="J231" i="43"/>
  <c r="I231" i="43"/>
  <c r="D231" i="43"/>
  <c r="J230" i="43"/>
  <c r="I230" i="43"/>
  <c r="D230" i="43"/>
  <c r="J229" i="43"/>
  <c r="I229" i="43"/>
  <c r="D229" i="43"/>
  <c r="J228" i="43"/>
  <c r="I228" i="43"/>
  <c r="D228" i="43"/>
  <c r="J227" i="43"/>
  <c r="I227" i="43"/>
  <c r="D227" i="43"/>
  <c r="J226" i="43"/>
  <c r="I226" i="43"/>
  <c r="D226" i="43"/>
  <c r="J225" i="43"/>
  <c r="I225" i="43"/>
  <c r="D225" i="43"/>
  <c r="J224" i="43"/>
  <c r="I224" i="43"/>
  <c r="D224" i="43"/>
  <c r="J223" i="43"/>
  <c r="I223" i="43"/>
  <c r="D223" i="43"/>
  <c r="J222" i="43"/>
  <c r="I222" i="43"/>
  <c r="D222" i="43"/>
  <c r="J221" i="43"/>
  <c r="I221" i="43"/>
  <c r="D221" i="43"/>
  <c r="J220" i="43"/>
  <c r="I220" i="43"/>
  <c r="D220" i="43"/>
  <c r="J219" i="43"/>
  <c r="I219" i="43"/>
  <c r="D219" i="43"/>
  <c r="J218" i="43"/>
  <c r="I218" i="43"/>
  <c r="D218" i="43"/>
  <c r="J217" i="43"/>
  <c r="I217" i="43"/>
  <c r="D217" i="43"/>
  <c r="J216" i="43"/>
  <c r="I216" i="43"/>
  <c r="D216" i="43"/>
  <c r="J215" i="43"/>
  <c r="I215" i="43"/>
  <c r="D215" i="43"/>
  <c r="J214" i="43"/>
  <c r="I214" i="43"/>
  <c r="D214" i="43"/>
  <c r="J213" i="43"/>
  <c r="I213" i="43"/>
  <c r="D213" i="43"/>
  <c r="J212" i="43"/>
  <c r="I212" i="43"/>
  <c r="D212" i="43"/>
  <c r="J211" i="43"/>
  <c r="I211" i="43"/>
  <c r="D211" i="43"/>
  <c r="J210" i="43"/>
  <c r="I210" i="43"/>
  <c r="D210" i="43"/>
  <c r="J209" i="43"/>
  <c r="I209" i="43"/>
  <c r="D209" i="43"/>
  <c r="J208" i="43"/>
  <c r="I208" i="43"/>
  <c r="D208" i="43"/>
  <c r="J207" i="43"/>
  <c r="I207" i="43"/>
  <c r="D207" i="43"/>
  <c r="J206" i="43"/>
  <c r="I206" i="43"/>
  <c r="D206" i="43"/>
  <c r="J205" i="43"/>
  <c r="I205" i="43"/>
  <c r="D205" i="43"/>
  <c r="J204" i="43"/>
  <c r="I204" i="43"/>
  <c r="D204" i="43"/>
  <c r="J203" i="43"/>
  <c r="I203" i="43"/>
  <c r="D203" i="43"/>
  <c r="J202" i="43"/>
  <c r="I202" i="43"/>
  <c r="D202" i="43"/>
  <c r="J201" i="43"/>
  <c r="I201" i="43"/>
  <c r="D201" i="43"/>
  <c r="J200" i="43"/>
  <c r="I200" i="43"/>
  <c r="D200" i="43"/>
  <c r="J199" i="43"/>
  <c r="I199" i="43"/>
  <c r="D199" i="43"/>
  <c r="J198" i="43"/>
  <c r="I198" i="43"/>
  <c r="D198" i="43"/>
  <c r="J197" i="43"/>
  <c r="I197" i="43"/>
  <c r="D197" i="43"/>
  <c r="J196" i="43"/>
  <c r="I196" i="43"/>
  <c r="D196" i="43"/>
  <c r="J195" i="43"/>
  <c r="I195" i="43"/>
  <c r="D195" i="43"/>
  <c r="J194" i="43"/>
  <c r="I194" i="43"/>
  <c r="D194" i="43"/>
  <c r="J193" i="43"/>
  <c r="I193" i="43"/>
  <c r="D193" i="43"/>
  <c r="J192" i="43"/>
  <c r="I192" i="43"/>
  <c r="D192" i="43"/>
  <c r="J191" i="43"/>
  <c r="I191" i="43"/>
  <c r="D191" i="43"/>
  <c r="J190" i="43"/>
  <c r="I190" i="43"/>
  <c r="D190" i="43"/>
  <c r="J189" i="43"/>
  <c r="I189" i="43"/>
  <c r="D189" i="43"/>
  <c r="J188" i="43"/>
  <c r="I188" i="43"/>
  <c r="D188" i="43"/>
  <c r="J187" i="43"/>
  <c r="I187" i="43"/>
  <c r="D187" i="43"/>
  <c r="J186" i="43"/>
  <c r="I186" i="43"/>
  <c r="D186" i="43"/>
  <c r="J185" i="43"/>
  <c r="I185" i="43"/>
  <c r="D185" i="43"/>
  <c r="J184" i="43"/>
  <c r="I184" i="43"/>
  <c r="D184" i="43"/>
  <c r="J183" i="43"/>
  <c r="I183" i="43"/>
  <c r="D183" i="43"/>
  <c r="J182" i="43"/>
  <c r="I182" i="43"/>
  <c r="D182" i="43"/>
  <c r="J181" i="43"/>
  <c r="I181" i="43"/>
  <c r="D181" i="43"/>
  <c r="J180" i="43"/>
  <c r="I180" i="43"/>
  <c r="D180" i="43"/>
  <c r="J179" i="43"/>
  <c r="I179" i="43"/>
  <c r="D179" i="43"/>
  <c r="J178" i="43"/>
  <c r="I178" i="43"/>
  <c r="D178" i="43"/>
  <c r="J177" i="43"/>
  <c r="I177" i="43"/>
  <c r="D177" i="43"/>
  <c r="J176" i="43"/>
  <c r="I176" i="43"/>
  <c r="D176" i="43"/>
  <c r="J175" i="43"/>
  <c r="I175" i="43"/>
  <c r="D175" i="43"/>
  <c r="J174" i="43"/>
  <c r="I174" i="43"/>
  <c r="D174" i="43"/>
  <c r="J173" i="43"/>
  <c r="I173" i="43"/>
  <c r="D173" i="43"/>
  <c r="J172" i="43"/>
  <c r="I172" i="43"/>
  <c r="D172" i="43"/>
  <c r="J171" i="43"/>
  <c r="I171" i="43"/>
  <c r="D171" i="43"/>
  <c r="J170" i="43"/>
  <c r="I170" i="43"/>
  <c r="D170" i="43"/>
  <c r="J169" i="43"/>
  <c r="I169" i="43"/>
  <c r="D169" i="43"/>
  <c r="J168" i="43"/>
  <c r="I168" i="43"/>
  <c r="D168" i="43"/>
  <c r="J167" i="43"/>
  <c r="I167" i="43"/>
  <c r="D167" i="43"/>
  <c r="J166" i="43"/>
  <c r="I166" i="43"/>
  <c r="D166" i="43"/>
  <c r="J165" i="43"/>
  <c r="I165" i="43"/>
  <c r="D165" i="43"/>
  <c r="J164" i="43"/>
  <c r="I164" i="43"/>
  <c r="D164" i="43"/>
  <c r="J163" i="43"/>
  <c r="I163" i="43"/>
  <c r="D163" i="43"/>
  <c r="J162" i="43"/>
  <c r="I162" i="43"/>
  <c r="D162" i="43"/>
  <c r="J161" i="43"/>
  <c r="I161" i="43"/>
  <c r="D161" i="43"/>
  <c r="J160" i="43"/>
  <c r="I160" i="43"/>
  <c r="D160" i="43"/>
  <c r="J159" i="43"/>
  <c r="I159" i="43"/>
  <c r="D159" i="43"/>
  <c r="J158" i="43"/>
  <c r="I158" i="43"/>
  <c r="D158" i="43"/>
  <c r="J157" i="43"/>
  <c r="I157" i="43"/>
  <c r="D157" i="43"/>
  <c r="J156" i="43"/>
  <c r="I156" i="43"/>
  <c r="D156" i="43"/>
  <c r="J155" i="43"/>
  <c r="I155" i="43"/>
  <c r="D155" i="43"/>
  <c r="J154" i="43"/>
  <c r="I154" i="43"/>
  <c r="D154" i="43"/>
  <c r="J153" i="43"/>
  <c r="I153" i="43"/>
  <c r="D153" i="43"/>
  <c r="J152" i="43"/>
  <c r="I152" i="43"/>
  <c r="D152" i="43"/>
  <c r="J151" i="43"/>
  <c r="I151" i="43"/>
  <c r="D151" i="43"/>
  <c r="J150" i="43"/>
  <c r="I150" i="43"/>
  <c r="D150" i="43"/>
  <c r="J149" i="43"/>
  <c r="I149" i="43"/>
  <c r="D149" i="43"/>
  <c r="J148" i="43"/>
  <c r="I148" i="43"/>
  <c r="D148" i="43"/>
  <c r="J147" i="43"/>
  <c r="I147" i="43"/>
  <c r="D147" i="43"/>
  <c r="J146" i="43"/>
  <c r="I146" i="43"/>
  <c r="D146" i="43"/>
  <c r="J145" i="43"/>
  <c r="I145" i="43"/>
  <c r="D145" i="43"/>
  <c r="J144" i="43"/>
  <c r="I144" i="43"/>
  <c r="D144" i="43"/>
  <c r="J143" i="43"/>
  <c r="I143" i="43"/>
  <c r="D143" i="43"/>
  <c r="J142" i="43"/>
  <c r="I142" i="43"/>
  <c r="D142" i="43"/>
  <c r="J141" i="43"/>
  <c r="I141" i="43"/>
  <c r="D141" i="43"/>
  <c r="J140" i="43"/>
  <c r="I140" i="43"/>
  <c r="D140" i="43"/>
  <c r="J139" i="43"/>
  <c r="I139" i="43"/>
  <c r="D139" i="43"/>
  <c r="J138" i="43"/>
  <c r="I138" i="43"/>
  <c r="D138" i="43"/>
  <c r="J137" i="43"/>
  <c r="I137" i="43"/>
  <c r="D137" i="43"/>
  <c r="J136" i="43"/>
  <c r="I136" i="43"/>
  <c r="D136" i="43"/>
  <c r="J135" i="43"/>
  <c r="I135" i="43"/>
  <c r="D135" i="43"/>
  <c r="J134" i="43"/>
  <c r="I134" i="43"/>
  <c r="D134" i="43"/>
  <c r="J133" i="43"/>
  <c r="I133" i="43"/>
  <c r="D133" i="43"/>
  <c r="J132" i="43"/>
  <c r="I132" i="43"/>
  <c r="D132" i="43"/>
  <c r="J131" i="43"/>
  <c r="I131" i="43"/>
  <c r="D131" i="43"/>
  <c r="J130" i="43"/>
  <c r="I130" i="43"/>
  <c r="D130" i="43"/>
  <c r="J129" i="43"/>
  <c r="I129" i="43"/>
  <c r="D129" i="43"/>
  <c r="J128" i="43"/>
  <c r="I128" i="43"/>
  <c r="D128" i="43"/>
  <c r="J127" i="43"/>
  <c r="I127" i="43"/>
  <c r="D127" i="43"/>
  <c r="J126" i="43"/>
  <c r="I126" i="43"/>
  <c r="D126" i="43"/>
  <c r="J125" i="43"/>
  <c r="I125" i="43"/>
  <c r="D125" i="43"/>
  <c r="J124" i="43"/>
  <c r="I124" i="43"/>
  <c r="D124" i="43"/>
  <c r="J123" i="43"/>
  <c r="I123" i="43"/>
  <c r="D123" i="43"/>
  <c r="J122" i="43"/>
  <c r="I122" i="43"/>
  <c r="D122" i="43"/>
  <c r="J121" i="43"/>
  <c r="I121" i="43"/>
  <c r="D121" i="43"/>
  <c r="J120" i="43"/>
  <c r="I120" i="43"/>
  <c r="D120" i="43"/>
  <c r="J119" i="43"/>
  <c r="I119" i="43"/>
  <c r="D119" i="43"/>
  <c r="J118" i="43"/>
  <c r="I118" i="43"/>
  <c r="D118" i="43"/>
  <c r="J117" i="43"/>
  <c r="I117" i="43"/>
  <c r="D117" i="43"/>
  <c r="J116" i="43"/>
  <c r="I116" i="43"/>
  <c r="D116" i="43"/>
  <c r="J115" i="43"/>
  <c r="I115" i="43"/>
  <c r="D115" i="43"/>
  <c r="J114" i="43"/>
  <c r="I114" i="43"/>
  <c r="D114" i="43"/>
  <c r="J113" i="43"/>
  <c r="I113" i="43"/>
  <c r="D113" i="43"/>
  <c r="J112" i="43"/>
  <c r="I112" i="43"/>
  <c r="D112" i="43"/>
  <c r="J111" i="43"/>
  <c r="I111" i="43"/>
  <c r="D111" i="43"/>
  <c r="J110" i="43"/>
  <c r="I110" i="43"/>
  <c r="D110" i="43"/>
  <c r="J109" i="43"/>
  <c r="I109" i="43"/>
  <c r="D109" i="43"/>
  <c r="J108" i="43"/>
  <c r="I108" i="43"/>
  <c r="D108" i="43"/>
  <c r="J107" i="43"/>
  <c r="I107" i="43"/>
  <c r="D107" i="43"/>
  <c r="J106" i="43"/>
  <c r="I106" i="43"/>
  <c r="D106" i="43"/>
  <c r="J105" i="43"/>
  <c r="I105" i="43"/>
  <c r="D105" i="43"/>
  <c r="J104" i="43"/>
  <c r="I104" i="43"/>
  <c r="D104" i="43"/>
  <c r="J103" i="43"/>
  <c r="I103" i="43"/>
  <c r="D103" i="43"/>
  <c r="J102" i="43"/>
  <c r="I102" i="43"/>
  <c r="D102" i="43"/>
  <c r="J101" i="43"/>
  <c r="I101" i="43"/>
  <c r="D101" i="43"/>
  <c r="J100" i="43"/>
  <c r="I100" i="43"/>
  <c r="D100" i="43"/>
  <c r="J99" i="43"/>
  <c r="I99" i="43"/>
  <c r="D99" i="43"/>
  <c r="J98" i="43"/>
  <c r="I98" i="43"/>
  <c r="D98" i="43"/>
  <c r="J97" i="43"/>
  <c r="I97" i="43"/>
  <c r="D97" i="43"/>
  <c r="J96" i="43"/>
  <c r="I96" i="43"/>
  <c r="D96" i="43"/>
  <c r="J95" i="43"/>
  <c r="I95" i="43"/>
  <c r="D95" i="43"/>
  <c r="J94" i="43"/>
  <c r="I94" i="43"/>
  <c r="D94" i="43"/>
  <c r="J93" i="43"/>
  <c r="I93" i="43"/>
  <c r="D93" i="43"/>
  <c r="J92" i="43"/>
  <c r="I92" i="43"/>
  <c r="D92" i="43"/>
  <c r="J91" i="43"/>
  <c r="I91" i="43"/>
  <c r="D91" i="43"/>
  <c r="J90" i="43"/>
  <c r="I90" i="43"/>
  <c r="D90" i="43"/>
  <c r="J89" i="43"/>
  <c r="I89" i="43"/>
  <c r="D89" i="43"/>
  <c r="J88" i="43"/>
  <c r="I88" i="43"/>
  <c r="D88" i="43"/>
  <c r="J87" i="43"/>
  <c r="I87" i="43"/>
  <c r="D87" i="43"/>
  <c r="J86" i="43"/>
  <c r="I86" i="43"/>
  <c r="D86" i="43"/>
  <c r="J85" i="43"/>
  <c r="I85" i="43"/>
  <c r="D85" i="43"/>
  <c r="J84" i="43"/>
  <c r="I84" i="43"/>
  <c r="D84" i="43"/>
  <c r="J83" i="43"/>
  <c r="I83" i="43"/>
  <c r="D83" i="43"/>
  <c r="J82" i="43"/>
  <c r="I82" i="43"/>
  <c r="D82" i="43"/>
  <c r="J81" i="43"/>
  <c r="I81" i="43"/>
  <c r="D81" i="43"/>
  <c r="J80" i="43"/>
  <c r="I80" i="43"/>
  <c r="D80" i="43"/>
  <c r="J79" i="43"/>
  <c r="I79" i="43"/>
  <c r="D79" i="43"/>
  <c r="J78" i="43"/>
  <c r="I78" i="43"/>
  <c r="D78" i="43"/>
  <c r="J77" i="43"/>
  <c r="I77" i="43"/>
  <c r="D77" i="43"/>
  <c r="J76" i="43"/>
  <c r="I76" i="43"/>
  <c r="D76" i="43"/>
  <c r="J75" i="43"/>
  <c r="I75" i="43"/>
  <c r="D75" i="43"/>
  <c r="J74" i="43"/>
  <c r="I74" i="43"/>
  <c r="D74" i="43"/>
  <c r="J73" i="43"/>
  <c r="I73" i="43"/>
  <c r="D73" i="43"/>
  <c r="J72" i="43"/>
  <c r="I72" i="43"/>
  <c r="D72" i="43"/>
  <c r="J71" i="43"/>
  <c r="I71" i="43"/>
  <c r="D71" i="43"/>
  <c r="J70" i="43"/>
  <c r="I70" i="43"/>
  <c r="D70" i="43"/>
  <c r="J69" i="43"/>
  <c r="I69" i="43"/>
  <c r="D69" i="43"/>
  <c r="J68" i="43"/>
  <c r="I68" i="43"/>
  <c r="D68" i="43"/>
  <c r="J67" i="43"/>
  <c r="I67" i="43"/>
  <c r="D67" i="43"/>
  <c r="J66" i="43"/>
  <c r="I66" i="43"/>
  <c r="D66" i="43"/>
  <c r="J65" i="43"/>
  <c r="I65" i="43"/>
  <c r="D65" i="43"/>
  <c r="J64" i="43"/>
  <c r="I64" i="43"/>
  <c r="D64" i="43"/>
  <c r="J63" i="43"/>
  <c r="I63" i="43"/>
  <c r="D63" i="43"/>
  <c r="J62" i="43"/>
  <c r="I62" i="43"/>
  <c r="D62" i="43"/>
  <c r="J61" i="43"/>
  <c r="I61" i="43"/>
  <c r="D61" i="43"/>
  <c r="J60" i="43"/>
  <c r="I60" i="43"/>
  <c r="D60" i="43"/>
  <c r="J59" i="43"/>
  <c r="I59" i="43"/>
  <c r="D59" i="43"/>
  <c r="J58" i="43"/>
  <c r="I58" i="43"/>
  <c r="D58" i="43"/>
  <c r="J57" i="43"/>
  <c r="I57" i="43"/>
  <c r="D57" i="43"/>
  <c r="J56" i="43"/>
  <c r="I56" i="43"/>
  <c r="D56" i="43"/>
  <c r="J55" i="43"/>
  <c r="I55" i="43"/>
  <c r="D55" i="43"/>
  <c r="J54" i="43"/>
  <c r="I54" i="43"/>
  <c r="D54" i="43"/>
  <c r="J53" i="43"/>
  <c r="I53" i="43"/>
  <c r="D53" i="43"/>
  <c r="J52" i="43"/>
  <c r="I52" i="43"/>
  <c r="D52" i="43"/>
  <c r="J51" i="43"/>
  <c r="I51" i="43"/>
  <c r="D51" i="43"/>
  <c r="J50" i="43"/>
  <c r="I50" i="43"/>
  <c r="D50" i="43"/>
  <c r="J49" i="43"/>
  <c r="I49" i="43"/>
  <c r="D49" i="43"/>
  <c r="J48" i="43"/>
  <c r="I48" i="43"/>
  <c r="D48" i="43"/>
  <c r="J47" i="43"/>
  <c r="I47" i="43"/>
  <c r="D47" i="43"/>
  <c r="J46" i="43"/>
  <c r="I46" i="43"/>
  <c r="D46" i="43"/>
  <c r="J45" i="43"/>
  <c r="I45" i="43"/>
  <c r="D45" i="43"/>
  <c r="J44" i="43"/>
  <c r="I44" i="43"/>
  <c r="D44" i="43"/>
  <c r="J43" i="43"/>
  <c r="I43" i="43"/>
  <c r="D43" i="43"/>
  <c r="J42" i="43"/>
  <c r="I42" i="43"/>
  <c r="D42" i="43"/>
  <c r="J41" i="43"/>
  <c r="I41" i="43"/>
  <c r="D41" i="43"/>
  <c r="J40" i="43"/>
  <c r="I40" i="43"/>
  <c r="D40" i="43"/>
  <c r="J39" i="43"/>
  <c r="I39" i="43"/>
  <c r="D39" i="43"/>
  <c r="J38" i="43"/>
  <c r="I38" i="43"/>
  <c r="D38" i="43"/>
  <c r="J37" i="43"/>
  <c r="I37" i="43"/>
  <c r="D37" i="43"/>
  <c r="J36" i="43"/>
  <c r="I36" i="43"/>
  <c r="D36" i="43"/>
  <c r="J35" i="43"/>
  <c r="I35" i="43"/>
  <c r="D35" i="43"/>
  <c r="J34" i="43"/>
  <c r="I34" i="43"/>
  <c r="D34" i="43"/>
  <c r="J33" i="43"/>
  <c r="I33" i="43"/>
  <c r="D33" i="43"/>
  <c r="P32" i="43"/>
  <c r="J32" i="43"/>
  <c r="I32" i="43"/>
  <c r="D32" i="43"/>
  <c r="P31" i="43"/>
  <c r="J31" i="43"/>
  <c r="I31" i="43"/>
  <c r="D31" i="43"/>
  <c r="P30" i="43"/>
  <c r="J30" i="43"/>
  <c r="I30" i="43"/>
  <c r="D30" i="43"/>
  <c r="P29" i="43"/>
  <c r="J29" i="43"/>
  <c r="I29" i="43"/>
  <c r="D29" i="43"/>
  <c r="P28" i="43"/>
  <c r="P33" i="43" s="1"/>
  <c r="J28" i="43"/>
  <c r="I28" i="43"/>
  <c r="D28" i="43"/>
  <c r="J27" i="43"/>
  <c r="I27" i="43"/>
  <c r="D27" i="43"/>
  <c r="J26" i="43"/>
  <c r="I26" i="43"/>
  <c r="D26" i="43"/>
  <c r="P25" i="43"/>
  <c r="J25" i="43"/>
  <c r="I25" i="43"/>
  <c r="D25" i="43"/>
  <c r="P24" i="43"/>
  <c r="J24" i="43"/>
  <c r="I24" i="43"/>
  <c r="D24" i="43"/>
  <c r="P23" i="43"/>
  <c r="J23" i="43"/>
  <c r="I23" i="43"/>
  <c r="D23" i="43"/>
  <c r="P22" i="43"/>
  <c r="J22" i="43"/>
  <c r="I22" i="43"/>
  <c r="D22" i="43"/>
  <c r="P21" i="43"/>
  <c r="P26" i="43" s="1"/>
  <c r="J21" i="43"/>
  <c r="I21" i="43"/>
  <c r="D21" i="43"/>
  <c r="J20" i="43"/>
  <c r="I20" i="43"/>
  <c r="D20" i="43"/>
  <c r="M19" i="43"/>
  <c r="J19" i="43"/>
  <c r="I19" i="43"/>
  <c r="D19" i="43"/>
  <c r="J18" i="43"/>
  <c r="I18" i="43"/>
  <c r="D18" i="43"/>
  <c r="J17" i="43"/>
  <c r="I17" i="43"/>
  <c r="D17" i="43"/>
  <c r="J16" i="43"/>
  <c r="I16" i="43"/>
  <c r="D16" i="43"/>
  <c r="J15" i="43"/>
  <c r="I15" i="43"/>
  <c r="D15" i="43"/>
  <c r="J14" i="43"/>
  <c r="I14" i="43"/>
  <c r="D14" i="43"/>
  <c r="J13" i="43"/>
  <c r="I13" i="43"/>
  <c r="D13" i="43"/>
  <c r="J12" i="43"/>
  <c r="I12" i="43"/>
  <c r="D12" i="43"/>
  <c r="J11" i="43"/>
  <c r="I11" i="43"/>
  <c r="D11" i="43"/>
  <c r="J10" i="43"/>
  <c r="I10" i="43"/>
  <c r="D10" i="43"/>
  <c r="J9" i="43"/>
  <c r="I9" i="43"/>
  <c r="D9" i="43"/>
  <c r="J8" i="43"/>
  <c r="I8" i="43"/>
  <c r="D8" i="43"/>
  <c r="J7" i="43"/>
  <c r="I7" i="43"/>
  <c r="D7" i="43"/>
  <c r="J6" i="43"/>
  <c r="I6" i="43"/>
  <c r="D6" i="43"/>
  <c r="B2" i="43" a="1"/>
  <c r="B2" i="43" s="1"/>
  <c r="J488" i="42"/>
  <c r="I488" i="42"/>
  <c r="D488" i="42"/>
  <c r="J487" i="42"/>
  <c r="I487" i="42"/>
  <c r="D487" i="42"/>
  <c r="J486" i="42"/>
  <c r="I486" i="42"/>
  <c r="D486" i="42"/>
  <c r="J485" i="42"/>
  <c r="I485" i="42"/>
  <c r="D485" i="42"/>
  <c r="J484" i="42"/>
  <c r="I484" i="42"/>
  <c r="D484" i="42"/>
  <c r="J483" i="42"/>
  <c r="I483" i="42"/>
  <c r="D483" i="42"/>
  <c r="J482" i="42"/>
  <c r="I482" i="42"/>
  <c r="D482" i="42"/>
  <c r="J481" i="42"/>
  <c r="I481" i="42"/>
  <c r="D481" i="42"/>
  <c r="J480" i="42"/>
  <c r="I480" i="42"/>
  <c r="D480" i="42"/>
  <c r="J479" i="42"/>
  <c r="I479" i="42"/>
  <c r="D479" i="42"/>
  <c r="J478" i="42"/>
  <c r="I478" i="42"/>
  <c r="D478" i="42"/>
  <c r="J477" i="42"/>
  <c r="I477" i="42"/>
  <c r="D477" i="42"/>
  <c r="J476" i="42"/>
  <c r="I476" i="42"/>
  <c r="D476" i="42"/>
  <c r="J475" i="42"/>
  <c r="I475" i="42"/>
  <c r="D475" i="42"/>
  <c r="J474" i="42"/>
  <c r="I474" i="42"/>
  <c r="D474" i="42"/>
  <c r="J473" i="42"/>
  <c r="I473" i="42"/>
  <c r="D473" i="42"/>
  <c r="J472" i="42"/>
  <c r="I472" i="42"/>
  <c r="D472" i="42"/>
  <c r="J471" i="42"/>
  <c r="I471" i="42"/>
  <c r="D471" i="42"/>
  <c r="J470" i="42"/>
  <c r="I470" i="42"/>
  <c r="D470" i="42"/>
  <c r="J469" i="42"/>
  <c r="I469" i="42"/>
  <c r="D469" i="42"/>
  <c r="J468" i="42"/>
  <c r="I468" i="42"/>
  <c r="D468" i="42"/>
  <c r="J467" i="42"/>
  <c r="I467" i="42"/>
  <c r="D467" i="42"/>
  <c r="J466" i="42"/>
  <c r="I466" i="42"/>
  <c r="D466" i="42"/>
  <c r="J465" i="42"/>
  <c r="I465" i="42"/>
  <c r="D465" i="42"/>
  <c r="J464" i="42"/>
  <c r="I464" i="42"/>
  <c r="D464" i="42"/>
  <c r="J463" i="42"/>
  <c r="I463" i="42"/>
  <c r="D463" i="42"/>
  <c r="J462" i="42"/>
  <c r="I462" i="42"/>
  <c r="D462" i="42"/>
  <c r="J461" i="42"/>
  <c r="I461" i="42"/>
  <c r="D461" i="42"/>
  <c r="J460" i="42"/>
  <c r="I460" i="42"/>
  <c r="D460" i="42"/>
  <c r="J459" i="42"/>
  <c r="I459" i="42"/>
  <c r="D459" i="42"/>
  <c r="J458" i="42"/>
  <c r="I458" i="42"/>
  <c r="D458" i="42"/>
  <c r="J457" i="42"/>
  <c r="I457" i="42"/>
  <c r="D457" i="42"/>
  <c r="J456" i="42"/>
  <c r="I456" i="42"/>
  <c r="D456" i="42"/>
  <c r="J455" i="42"/>
  <c r="I455" i="42"/>
  <c r="D455" i="42"/>
  <c r="J454" i="42"/>
  <c r="I454" i="42"/>
  <c r="D454" i="42"/>
  <c r="J453" i="42"/>
  <c r="I453" i="42"/>
  <c r="D453" i="42"/>
  <c r="J452" i="42"/>
  <c r="I452" i="42"/>
  <c r="D452" i="42"/>
  <c r="J451" i="42"/>
  <c r="I451" i="42"/>
  <c r="D451" i="42"/>
  <c r="J450" i="42"/>
  <c r="I450" i="42"/>
  <c r="D450" i="42"/>
  <c r="J449" i="42"/>
  <c r="I449" i="42"/>
  <c r="D449" i="42"/>
  <c r="J448" i="42"/>
  <c r="I448" i="42"/>
  <c r="D448" i="42"/>
  <c r="J447" i="42"/>
  <c r="I447" i="42"/>
  <c r="D447" i="42"/>
  <c r="J446" i="42"/>
  <c r="I446" i="42"/>
  <c r="D446" i="42"/>
  <c r="J445" i="42"/>
  <c r="I445" i="42"/>
  <c r="D445" i="42"/>
  <c r="J444" i="42"/>
  <c r="I444" i="42"/>
  <c r="D444" i="42"/>
  <c r="J443" i="42"/>
  <c r="I443" i="42"/>
  <c r="D443" i="42"/>
  <c r="J442" i="42"/>
  <c r="I442" i="42"/>
  <c r="D442" i="42"/>
  <c r="J441" i="42"/>
  <c r="I441" i="42"/>
  <c r="D441" i="42"/>
  <c r="J440" i="42"/>
  <c r="I440" i="42"/>
  <c r="D440" i="42"/>
  <c r="J439" i="42"/>
  <c r="I439" i="42"/>
  <c r="D439" i="42"/>
  <c r="J438" i="42"/>
  <c r="I438" i="42"/>
  <c r="D438" i="42"/>
  <c r="J437" i="42"/>
  <c r="I437" i="42"/>
  <c r="D437" i="42"/>
  <c r="J436" i="42"/>
  <c r="I436" i="42"/>
  <c r="D436" i="42"/>
  <c r="J435" i="42"/>
  <c r="I435" i="42"/>
  <c r="D435" i="42"/>
  <c r="J434" i="42"/>
  <c r="I434" i="42"/>
  <c r="D434" i="42"/>
  <c r="J433" i="42"/>
  <c r="I433" i="42"/>
  <c r="D433" i="42"/>
  <c r="J432" i="42"/>
  <c r="I432" i="42"/>
  <c r="D432" i="42"/>
  <c r="J431" i="42"/>
  <c r="I431" i="42"/>
  <c r="D431" i="42"/>
  <c r="J430" i="42"/>
  <c r="I430" i="42"/>
  <c r="D430" i="42"/>
  <c r="J429" i="42"/>
  <c r="I429" i="42"/>
  <c r="D429" i="42"/>
  <c r="J428" i="42"/>
  <c r="I428" i="42"/>
  <c r="D428" i="42"/>
  <c r="J427" i="42"/>
  <c r="I427" i="42"/>
  <c r="D427" i="42"/>
  <c r="J426" i="42"/>
  <c r="I426" i="42"/>
  <c r="D426" i="42"/>
  <c r="J425" i="42"/>
  <c r="I425" i="42"/>
  <c r="D425" i="42"/>
  <c r="J424" i="42"/>
  <c r="I424" i="42"/>
  <c r="D424" i="42"/>
  <c r="J423" i="42"/>
  <c r="I423" i="42"/>
  <c r="D423" i="42"/>
  <c r="J422" i="42"/>
  <c r="I422" i="42"/>
  <c r="D422" i="42"/>
  <c r="J421" i="42"/>
  <c r="I421" i="42"/>
  <c r="D421" i="42"/>
  <c r="J420" i="42"/>
  <c r="I420" i="42"/>
  <c r="D420" i="42"/>
  <c r="J419" i="42"/>
  <c r="I419" i="42"/>
  <c r="D419" i="42"/>
  <c r="J418" i="42"/>
  <c r="I418" i="42"/>
  <c r="D418" i="42"/>
  <c r="J417" i="42"/>
  <c r="I417" i="42"/>
  <c r="D417" i="42"/>
  <c r="J416" i="42"/>
  <c r="I416" i="42"/>
  <c r="D416" i="42"/>
  <c r="J415" i="42"/>
  <c r="I415" i="42"/>
  <c r="D415" i="42"/>
  <c r="J414" i="42"/>
  <c r="I414" i="42"/>
  <c r="D414" i="42"/>
  <c r="J413" i="42"/>
  <c r="I413" i="42"/>
  <c r="D413" i="42"/>
  <c r="J412" i="42"/>
  <c r="I412" i="42"/>
  <c r="D412" i="42"/>
  <c r="J411" i="42"/>
  <c r="I411" i="42"/>
  <c r="D411" i="42"/>
  <c r="J410" i="42"/>
  <c r="I410" i="42"/>
  <c r="D410" i="42"/>
  <c r="J409" i="42"/>
  <c r="I409" i="42"/>
  <c r="D409" i="42"/>
  <c r="J408" i="42"/>
  <c r="I408" i="42"/>
  <c r="D408" i="42"/>
  <c r="J407" i="42"/>
  <c r="I407" i="42"/>
  <c r="D407" i="42"/>
  <c r="J406" i="42"/>
  <c r="I406" i="42"/>
  <c r="D406" i="42"/>
  <c r="J405" i="42"/>
  <c r="I405" i="42"/>
  <c r="D405" i="42"/>
  <c r="J404" i="42"/>
  <c r="I404" i="42"/>
  <c r="D404" i="42"/>
  <c r="J403" i="42"/>
  <c r="I403" i="42"/>
  <c r="D403" i="42"/>
  <c r="J402" i="42"/>
  <c r="I402" i="42"/>
  <c r="D402" i="42"/>
  <c r="J401" i="42"/>
  <c r="I401" i="42"/>
  <c r="D401" i="42"/>
  <c r="J400" i="42"/>
  <c r="I400" i="42"/>
  <c r="D400" i="42"/>
  <c r="J399" i="42"/>
  <c r="I399" i="42"/>
  <c r="D399" i="42"/>
  <c r="J398" i="42"/>
  <c r="I398" i="42"/>
  <c r="D398" i="42"/>
  <c r="J397" i="42"/>
  <c r="I397" i="42"/>
  <c r="D397" i="42"/>
  <c r="J396" i="42"/>
  <c r="I396" i="42"/>
  <c r="D396" i="42"/>
  <c r="J395" i="42"/>
  <c r="I395" i="42"/>
  <c r="D395" i="42"/>
  <c r="J394" i="42"/>
  <c r="I394" i="42"/>
  <c r="D394" i="42"/>
  <c r="J393" i="42"/>
  <c r="I393" i="42"/>
  <c r="D393" i="42"/>
  <c r="J392" i="42"/>
  <c r="I392" i="42"/>
  <c r="D392" i="42"/>
  <c r="J391" i="42"/>
  <c r="I391" i="42"/>
  <c r="D391" i="42"/>
  <c r="J390" i="42"/>
  <c r="I390" i="42"/>
  <c r="D390" i="42"/>
  <c r="J389" i="42"/>
  <c r="I389" i="42"/>
  <c r="D389" i="42"/>
  <c r="J388" i="42"/>
  <c r="I388" i="42"/>
  <c r="D388" i="42"/>
  <c r="J387" i="42"/>
  <c r="I387" i="42"/>
  <c r="D387" i="42"/>
  <c r="J386" i="42"/>
  <c r="I386" i="42"/>
  <c r="D386" i="42"/>
  <c r="J385" i="42"/>
  <c r="I385" i="42"/>
  <c r="D385" i="42"/>
  <c r="J384" i="42"/>
  <c r="I384" i="42"/>
  <c r="D384" i="42"/>
  <c r="J383" i="42"/>
  <c r="I383" i="42"/>
  <c r="D383" i="42"/>
  <c r="J382" i="42"/>
  <c r="I382" i="42"/>
  <c r="D382" i="42"/>
  <c r="J381" i="42"/>
  <c r="I381" i="42"/>
  <c r="D381" i="42"/>
  <c r="J380" i="42"/>
  <c r="I380" i="42"/>
  <c r="D380" i="42"/>
  <c r="J379" i="42"/>
  <c r="I379" i="42"/>
  <c r="D379" i="42"/>
  <c r="J378" i="42"/>
  <c r="I378" i="42"/>
  <c r="D378" i="42"/>
  <c r="J377" i="42"/>
  <c r="I377" i="42"/>
  <c r="D377" i="42"/>
  <c r="J376" i="42"/>
  <c r="I376" i="42"/>
  <c r="D376" i="42"/>
  <c r="J375" i="42"/>
  <c r="I375" i="42"/>
  <c r="D375" i="42"/>
  <c r="J374" i="42"/>
  <c r="I374" i="42"/>
  <c r="D374" i="42"/>
  <c r="J373" i="42"/>
  <c r="I373" i="42"/>
  <c r="D373" i="42"/>
  <c r="J372" i="42"/>
  <c r="I372" i="42"/>
  <c r="D372" i="42"/>
  <c r="J371" i="42"/>
  <c r="I371" i="42"/>
  <c r="D371" i="42"/>
  <c r="J370" i="42"/>
  <c r="I370" i="42"/>
  <c r="D370" i="42"/>
  <c r="J369" i="42"/>
  <c r="I369" i="42"/>
  <c r="D369" i="42"/>
  <c r="J368" i="42"/>
  <c r="I368" i="42"/>
  <c r="D368" i="42"/>
  <c r="J367" i="42"/>
  <c r="I367" i="42"/>
  <c r="D367" i="42"/>
  <c r="J366" i="42"/>
  <c r="I366" i="42"/>
  <c r="D366" i="42"/>
  <c r="J365" i="42"/>
  <c r="I365" i="42"/>
  <c r="D365" i="42"/>
  <c r="J364" i="42"/>
  <c r="I364" i="42"/>
  <c r="D364" i="42"/>
  <c r="J363" i="42"/>
  <c r="I363" i="42"/>
  <c r="D363" i="42"/>
  <c r="J362" i="42"/>
  <c r="I362" i="42"/>
  <c r="D362" i="42"/>
  <c r="J361" i="42"/>
  <c r="I361" i="42"/>
  <c r="D361" i="42"/>
  <c r="J360" i="42"/>
  <c r="I360" i="42"/>
  <c r="D360" i="42"/>
  <c r="J359" i="42"/>
  <c r="I359" i="42"/>
  <c r="D359" i="42"/>
  <c r="J358" i="42"/>
  <c r="I358" i="42"/>
  <c r="D358" i="42"/>
  <c r="J357" i="42"/>
  <c r="I357" i="42"/>
  <c r="D357" i="42"/>
  <c r="J356" i="42"/>
  <c r="I356" i="42"/>
  <c r="D356" i="42"/>
  <c r="J355" i="42"/>
  <c r="I355" i="42"/>
  <c r="D355" i="42"/>
  <c r="J354" i="42"/>
  <c r="I354" i="42"/>
  <c r="D354" i="42"/>
  <c r="J353" i="42"/>
  <c r="I353" i="42"/>
  <c r="D353" i="42"/>
  <c r="J352" i="42"/>
  <c r="I352" i="42"/>
  <c r="D352" i="42"/>
  <c r="J351" i="42"/>
  <c r="I351" i="42"/>
  <c r="D351" i="42"/>
  <c r="J350" i="42"/>
  <c r="I350" i="42"/>
  <c r="D350" i="42"/>
  <c r="J349" i="42"/>
  <c r="I349" i="42"/>
  <c r="D349" i="42"/>
  <c r="J348" i="42"/>
  <c r="I348" i="42"/>
  <c r="D348" i="42"/>
  <c r="J347" i="42"/>
  <c r="I347" i="42"/>
  <c r="D347" i="42"/>
  <c r="J346" i="42"/>
  <c r="I346" i="42"/>
  <c r="D346" i="42"/>
  <c r="J345" i="42"/>
  <c r="I345" i="42"/>
  <c r="D345" i="42"/>
  <c r="J344" i="42"/>
  <c r="I344" i="42"/>
  <c r="D344" i="42"/>
  <c r="J343" i="42"/>
  <c r="I343" i="42"/>
  <c r="D343" i="42"/>
  <c r="J342" i="42"/>
  <c r="I342" i="42"/>
  <c r="D342" i="42"/>
  <c r="J341" i="42"/>
  <c r="I341" i="42"/>
  <c r="D341" i="42"/>
  <c r="J340" i="42"/>
  <c r="I340" i="42"/>
  <c r="D340" i="42"/>
  <c r="J339" i="42"/>
  <c r="I339" i="42"/>
  <c r="D339" i="42"/>
  <c r="J338" i="42"/>
  <c r="I338" i="42"/>
  <c r="D338" i="42"/>
  <c r="J337" i="42"/>
  <c r="I337" i="42"/>
  <c r="D337" i="42"/>
  <c r="J336" i="42"/>
  <c r="I336" i="42"/>
  <c r="D336" i="42"/>
  <c r="J335" i="42"/>
  <c r="I335" i="42"/>
  <c r="D335" i="42"/>
  <c r="J334" i="42"/>
  <c r="I334" i="42"/>
  <c r="D334" i="42"/>
  <c r="J333" i="42"/>
  <c r="I333" i="42"/>
  <c r="D333" i="42"/>
  <c r="J332" i="42"/>
  <c r="I332" i="42"/>
  <c r="D332" i="42"/>
  <c r="J331" i="42"/>
  <c r="I331" i="42"/>
  <c r="D331" i="42"/>
  <c r="J330" i="42"/>
  <c r="I330" i="42"/>
  <c r="D330" i="42"/>
  <c r="J329" i="42"/>
  <c r="I329" i="42"/>
  <c r="D329" i="42"/>
  <c r="J328" i="42"/>
  <c r="I328" i="42"/>
  <c r="D328" i="42"/>
  <c r="J327" i="42"/>
  <c r="I327" i="42"/>
  <c r="D327" i="42"/>
  <c r="J326" i="42"/>
  <c r="I326" i="42"/>
  <c r="D326" i="42"/>
  <c r="J325" i="42"/>
  <c r="I325" i="42"/>
  <c r="D325" i="42"/>
  <c r="J324" i="42"/>
  <c r="I324" i="42"/>
  <c r="D324" i="42"/>
  <c r="J323" i="42"/>
  <c r="I323" i="42"/>
  <c r="D323" i="42"/>
  <c r="J322" i="42"/>
  <c r="I322" i="42"/>
  <c r="D322" i="42"/>
  <c r="J321" i="42"/>
  <c r="I321" i="42"/>
  <c r="D321" i="42"/>
  <c r="J320" i="42"/>
  <c r="I320" i="42"/>
  <c r="D320" i="42"/>
  <c r="J319" i="42"/>
  <c r="I319" i="42"/>
  <c r="D319" i="42"/>
  <c r="J318" i="42"/>
  <c r="I318" i="42"/>
  <c r="D318" i="42"/>
  <c r="J317" i="42"/>
  <c r="I317" i="42"/>
  <c r="D317" i="42"/>
  <c r="J316" i="42"/>
  <c r="I316" i="42"/>
  <c r="D316" i="42"/>
  <c r="J315" i="42"/>
  <c r="I315" i="42"/>
  <c r="D315" i="42"/>
  <c r="J314" i="42"/>
  <c r="I314" i="42"/>
  <c r="D314" i="42"/>
  <c r="J313" i="42"/>
  <c r="I313" i="42"/>
  <c r="D313" i="42"/>
  <c r="J312" i="42"/>
  <c r="I312" i="42"/>
  <c r="D312" i="42"/>
  <c r="J311" i="42"/>
  <c r="I311" i="42"/>
  <c r="D311" i="42"/>
  <c r="J310" i="42"/>
  <c r="I310" i="42"/>
  <c r="D310" i="42"/>
  <c r="J309" i="42"/>
  <c r="I309" i="42"/>
  <c r="D309" i="42"/>
  <c r="J308" i="42"/>
  <c r="I308" i="42"/>
  <c r="D308" i="42"/>
  <c r="J307" i="42"/>
  <c r="I307" i="42"/>
  <c r="D307" i="42"/>
  <c r="J306" i="42"/>
  <c r="I306" i="42"/>
  <c r="D306" i="42"/>
  <c r="J305" i="42"/>
  <c r="I305" i="42"/>
  <c r="D305" i="42"/>
  <c r="J304" i="42"/>
  <c r="I304" i="42"/>
  <c r="D304" i="42"/>
  <c r="J303" i="42"/>
  <c r="I303" i="42"/>
  <c r="D303" i="42"/>
  <c r="J302" i="42"/>
  <c r="I302" i="42"/>
  <c r="D302" i="42"/>
  <c r="J301" i="42"/>
  <c r="I301" i="42"/>
  <c r="D301" i="42"/>
  <c r="J300" i="42"/>
  <c r="I300" i="42"/>
  <c r="D300" i="42"/>
  <c r="J299" i="42"/>
  <c r="I299" i="42"/>
  <c r="D299" i="42"/>
  <c r="J298" i="42"/>
  <c r="I298" i="42"/>
  <c r="D298" i="42"/>
  <c r="J297" i="42"/>
  <c r="I297" i="42"/>
  <c r="D297" i="42"/>
  <c r="J296" i="42"/>
  <c r="I296" i="42"/>
  <c r="D296" i="42"/>
  <c r="J295" i="42"/>
  <c r="I295" i="42"/>
  <c r="D295" i="42"/>
  <c r="J294" i="42"/>
  <c r="I294" i="42"/>
  <c r="D294" i="42"/>
  <c r="J293" i="42"/>
  <c r="I293" i="42"/>
  <c r="D293" i="42"/>
  <c r="J292" i="42"/>
  <c r="I292" i="42"/>
  <c r="D292" i="42"/>
  <c r="J291" i="42"/>
  <c r="I291" i="42"/>
  <c r="D291" i="42"/>
  <c r="J290" i="42"/>
  <c r="I290" i="42"/>
  <c r="D290" i="42"/>
  <c r="J289" i="42"/>
  <c r="I289" i="42"/>
  <c r="D289" i="42"/>
  <c r="J288" i="42"/>
  <c r="I288" i="42"/>
  <c r="D288" i="42"/>
  <c r="J287" i="42"/>
  <c r="I287" i="42"/>
  <c r="D287" i="42"/>
  <c r="J286" i="42"/>
  <c r="I286" i="42"/>
  <c r="D286" i="42"/>
  <c r="J285" i="42"/>
  <c r="I285" i="42"/>
  <c r="D285" i="42"/>
  <c r="J284" i="42"/>
  <c r="I284" i="42"/>
  <c r="D284" i="42"/>
  <c r="J283" i="42"/>
  <c r="I283" i="42"/>
  <c r="D283" i="42"/>
  <c r="J282" i="42"/>
  <c r="I282" i="42"/>
  <c r="D282" i="42"/>
  <c r="J281" i="42"/>
  <c r="I281" i="42"/>
  <c r="D281" i="42"/>
  <c r="J280" i="42"/>
  <c r="I280" i="42"/>
  <c r="D280" i="42"/>
  <c r="J279" i="42"/>
  <c r="I279" i="42"/>
  <c r="D279" i="42"/>
  <c r="J278" i="42"/>
  <c r="I278" i="42"/>
  <c r="D278" i="42"/>
  <c r="J277" i="42"/>
  <c r="I277" i="42"/>
  <c r="D277" i="42"/>
  <c r="J276" i="42"/>
  <c r="I276" i="42"/>
  <c r="D276" i="42"/>
  <c r="J275" i="42"/>
  <c r="I275" i="42"/>
  <c r="D275" i="42"/>
  <c r="J274" i="42"/>
  <c r="I274" i="42"/>
  <c r="D274" i="42"/>
  <c r="J273" i="42"/>
  <c r="I273" i="42"/>
  <c r="D273" i="42"/>
  <c r="J272" i="42"/>
  <c r="I272" i="42"/>
  <c r="D272" i="42"/>
  <c r="J271" i="42"/>
  <c r="I271" i="42"/>
  <c r="D271" i="42"/>
  <c r="J270" i="42"/>
  <c r="I270" i="42"/>
  <c r="D270" i="42"/>
  <c r="J269" i="42"/>
  <c r="I269" i="42"/>
  <c r="D269" i="42"/>
  <c r="J268" i="42"/>
  <c r="I268" i="42"/>
  <c r="D268" i="42"/>
  <c r="J267" i="42"/>
  <c r="I267" i="42"/>
  <c r="D267" i="42"/>
  <c r="J266" i="42"/>
  <c r="I266" i="42"/>
  <c r="D266" i="42"/>
  <c r="J265" i="42"/>
  <c r="I265" i="42"/>
  <c r="D265" i="42"/>
  <c r="J264" i="42"/>
  <c r="I264" i="42"/>
  <c r="D264" i="42"/>
  <c r="J263" i="42"/>
  <c r="I263" i="42"/>
  <c r="D263" i="42"/>
  <c r="J262" i="42"/>
  <c r="I262" i="42"/>
  <c r="D262" i="42"/>
  <c r="J261" i="42"/>
  <c r="I261" i="42"/>
  <c r="D261" i="42"/>
  <c r="J260" i="42"/>
  <c r="I260" i="42"/>
  <c r="D260" i="42"/>
  <c r="J259" i="42"/>
  <c r="I259" i="42"/>
  <c r="D259" i="42"/>
  <c r="J258" i="42"/>
  <c r="I258" i="42"/>
  <c r="D258" i="42"/>
  <c r="J257" i="42"/>
  <c r="I257" i="42"/>
  <c r="D257" i="42"/>
  <c r="J256" i="42"/>
  <c r="I256" i="42"/>
  <c r="D256" i="42"/>
  <c r="J255" i="42"/>
  <c r="I255" i="42"/>
  <c r="D255" i="42"/>
  <c r="J254" i="42"/>
  <c r="I254" i="42"/>
  <c r="D254" i="42"/>
  <c r="J253" i="42"/>
  <c r="I253" i="42"/>
  <c r="D253" i="42"/>
  <c r="J252" i="42"/>
  <c r="I252" i="42"/>
  <c r="D252" i="42"/>
  <c r="J251" i="42"/>
  <c r="I251" i="42"/>
  <c r="D251" i="42"/>
  <c r="J250" i="42"/>
  <c r="I250" i="42"/>
  <c r="D250" i="42"/>
  <c r="J249" i="42"/>
  <c r="I249" i="42"/>
  <c r="D249" i="42"/>
  <c r="J248" i="42"/>
  <c r="I248" i="42"/>
  <c r="D248" i="42"/>
  <c r="J247" i="42"/>
  <c r="I247" i="42"/>
  <c r="D247" i="42"/>
  <c r="J246" i="42"/>
  <c r="I246" i="42"/>
  <c r="D246" i="42"/>
  <c r="J245" i="42"/>
  <c r="I245" i="42"/>
  <c r="D245" i="42"/>
  <c r="J244" i="42"/>
  <c r="I244" i="42"/>
  <c r="D244" i="42"/>
  <c r="J243" i="42"/>
  <c r="I243" i="42"/>
  <c r="D243" i="42"/>
  <c r="J242" i="42"/>
  <c r="I242" i="42"/>
  <c r="D242" i="42"/>
  <c r="J241" i="42"/>
  <c r="I241" i="42"/>
  <c r="D241" i="42"/>
  <c r="J240" i="42"/>
  <c r="I240" i="42"/>
  <c r="D240" i="42"/>
  <c r="J239" i="42"/>
  <c r="I239" i="42"/>
  <c r="D239" i="42"/>
  <c r="J238" i="42"/>
  <c r="I238" i="42"/>
  <c r="D238" i="42"/>
  <c r="J237" i="42"/>
  <c r="I237" i="42"/>
  <c r="D237" i="42"/>
  <c r="J236" i="42"/>
  <c r="I236" i="42"/>
  <c r="D236" i="42"/>
  <c r="J235" i="42"/>
  <c r="I235" i="42"/>
  <c r="D235" i="42"/>
  <c r="J234" i="42"/>
  <c r="I234" i="42"/>
  <c r="D234" i="42"/>
  <c r="J233" i="42"/>
  <c r="I233" i="42"/>
  <c r="D233" i="42"/>
  <c r="J232" i="42"/>
  <c r="I232" i="42"/>
  <c r="D232" i="42"/>
  <c r="J231" i="42"/>
  <c r="I231" i="42"/>
  <c r="D231" i="42"/>
  <c r="J230" i="42"/>
  <c r="I230" i="42"/>
  <c r="D230" i="42"/>
  <c r="J229" i="42"/>
  <c r="I229" i="42"/>
  <c r="D229" i="42"/>
  <c r="J228" i="42"/>
  <c r="I228" i="42"/>
  <c r="D228" i="42"/>
  <c r="J227" i="42"/>
  <c r="I227" i="42"/>
  <c r="D227" i="42"/>
  <c r="J226" i="42"/>
  <c r="I226" i="42"/>
  <c r="D226" i="42"/>
  <c r="J225" i="42"/>
  <c r="I225" i="42"/>
  <c r="D225" i="42"/>
  <c r="J224" i="42"/>
  <c r="I224" i="42"/>
  <c r="D224" i="42"/>
  <c r="J223" i="42"/>
  <c r="I223" i="42"/>
  <c r="D223" i="42"/>
  <c r="J222" i="42"/>
  <c r="I222" i="42"/>
  <c r="D222" i="42"/>
  <c r="J221" i="42"/>
  <c r="I221" i="42"/>
  <c r="D221" i="42"/>
  <c r="J220" i="42"/>
  <c r="I220" i="42"/>
  <c r="D220" i="42"/>
  <c r="J219" i="42"/>
  <c r="I219" i="42"/>
  <c r="D219" i="42"/>
  <c r="J218" i="42"/>
  <c r="I218" i="42"/>
  <c r="D218" i="42"/>
  <c r="J217" i="42"/>
  <c r="I217" i="42"/>
  <c r="D217" i="42"/>
  <c r="J216" i="42"/>
  <c r="I216" i="42"/>
  <c r="D216" i="42"/>
  <c r="J215" i="42"/>
  <c r="I215" i="42"/>
  <c r="D215" i="42"/>
  <c r="J214" i="42"/>
  <c r="I214" i="42"/>
  <c r="D214" i="42"/>
  <c r="J213" i="42"/>
  <c r="I213" i="42"/>
  <c r="D213" i="42"/>
  <c r="J212" i="42"/>
  <c r="I212" i="42"/>
  <c r="D212" i="42"/>
  <c r="J211" i="42"/>
  <c r="I211" i="42"/>
  <c r="D211" i="42"/>
  <c r="J210" i="42"/>
  <c r="I210" i="42"/>
  <c r="D210" i="42"/>
  <c r="J209" i="42"/>
  <c r="I209" i="42"/>
  <c r="D209" i="42"/>
  <c r="J208" i="42"/>
  <c r="I208" i="42"/>
  <c r="D208" i="42"/>
  <c r="J207" i="42"/>
  <c r="I207" i="42"/>
  <c r="D207" i="42"/>
  <c r="J206" i="42"/>
  <c r="I206" i="42"/>
  <c r="D206" i="42"/>
  <c r="J205" i="42"/>
  <c r="I205" i="42"/>
  <c r="D205" i="42"/>
  <c r="J204" i="42"/>
  <c r="I204" i="42"/>
  <c r="D204" i="42"/>
  <c r="J203" i="42"/>
  <c r="I203" i="42"/>
  <c r="D203" i="42"/>
  <c r="J202" i="42"/>
  <c r="I202" i="42"/>
  <c r="D202" i="42"/>
  <c r="J201" i="42"/>
  <c r="I201" i="42"/>
  <c r="D201" i="42"/>
  <c r="J200" i="42"/>
  <c r="I200" i="42"/>
  <c r="D200" i="42"/>
  <c r="J199" i="42"/>
  <c r="I199" i="42"/>
  <c r="D199" i="42"/>
  <c r="J198" i="42"/>
  <c r="I198" i="42"/>
  <c r="D198" i="42"/>
  <c r="J197" i="42"/>
  <c r="I197" i="42"/>
  <c r="D197" i="42"/>
  <c r="J196" i="42"/>
  <c r="I196" i="42"/>
  <c r="D196" i="42"/>
  <c r="J195" i="42"/>
  <c r="I195" i="42"/>
  <c r="D195" i="42"/>
  <c r="J194" i="42"/>
  <c r="I194" i="42"/>
  <c r="D194" i="42"/>
  <c r="J193" i="42"/>
  <c r="I193" i="42"/>
  <c r="D193" i="42"/>
  <c r="J192" i="42"/>
  <c r="I192" i="42"/>
  <c r="D192" i="42"/>
  <c r="J191" i="42"/>
  <c r="I191" i="42"/>
  <c r="D191" i="42"/>
  <c r="J190" i="42"/>
  <c r="I190" i="42"/>
  <c r="D190" i="42"/>
  <c r="J189" i="42"/>
  <c r="I189" i="42"/>
  <c r="D189" i="42"/>
  <c r="J188" i="42"/>
  <c r="I188" i="42"/>
  <c r="D188" i="42"/>
  <c r="J187" i="42"/>
  <c r="I187" i="42"/>
  <c r="D187" i="42"/>
  <c r="J186" i="42"/>
  <c r="I186" i="42"/>
  <c r="D186" i="42"/>
  <c r="J185" i="42"/>
  <c r="I185" i="42"/>
  <c r="D185" i="42"/>
  <c r="J184" i="42"/>
  <c r="I184" i="42"/>
  <c r="D184" i="42"/>
  <c r="J183" i="42"/>
  <c r="I183" i="42"/>
  <c r="D183" i="42"/>
  <c r="J182" i="42"/>
  <c r="I182" i="42"/>
  <c r="D182" i="42"/>
  <c r="J181" i="42"/>
  <c r="I181" i="42"/>
  <c r="D181" i="42"/>
  <c r="J180" i="42"/>
  <c r="I180" i="42"/>
  <c r="D180" i="42"/>
  <c r="J179" i="42"/>
  <c r="I179" i="42"/>
  <c r="D179" i="42"/>
  <c r="J178" i="42"/>
  <c r="I178" i="42"/>
  <c r="D178" i="42"/>
  <c r="J177" i="42"/>
  <c r="I177" i="42"/>
  <c r="D177" i="42"/>
  <c r="J176" i="42"/>
  <c r="I176" i="42"/>
  <c r="D176" i="42"/>
  <c r="J175" i="42"/>
  <c r="I175" i="42"/>
  <c r="D175" i="42"/>
  <c r="J174" i="42"/>
  <c r="I174" i="42"/>
  <c r="D174" i="42"/>
  <c r="J173" i="42"/>
  <c r="I173" i="42"/>
  <c r="D173" i="42"/>
  <c r="J172" i="42"/>
  <c r="I172" i="42"/>
  <c r="D172" i="42"/>
  <c r="J171" i="42"/>
  <c r="I171" i="42"/>
  <c r="D171" i="42"/>
  <c r="J170" i="42"/>
  <c r="I170" i="42"/>
  <c r="D170" i="42"/>
  <c r="J169" i="42"/>
  <c r="I169" i="42"/>
  <c r="D169" i="42"/>
  <c r="J168" i="42"/>
  <c r="I168" i="42"/>
  <c r="D168" i="42"/>
  <c r="J167" i="42"/>
  <c r="I167" i="42"/>
  <c r="D167" i="42"/>
  <c r="J166" i="42"/>
  <c r="I166" i="42"/>
  <c r="D166" i="42"/>
  <c r="J165" i="42"/>
  <c r="I165" i="42"/>
  <c r="D165" i="42"/>
  <c r="J164" i="42"/>
  <c r="I164" i="42"/>
  <c r="D164" i="42"/>
  <c r="J163" i="42"/>
  <c r="I163" i="42"/>
  <c r="D163" i="42"/>
  <c r="J162" i="42"/>
  <c r="I162" i="42"/>
  <c r="D162" i="42"/>
  <c r="J161" i="42"/>
  <c r="I161" i="42"/>
  <c r="D161" i="42"/>
  <c r="J160" i="42"/>
  <c r="I160" i="42"/>
  <c r="D160" i="42"/>
  <c r="J159" i="42"/>
  <c r="I159" i="42"/>
  <c r="D159" i="42"/>
  <c r="J158" i="42"/>
  <c r="I158" i="42"/>
  <c r="D158" i="42"/>
  <c r="J157" i="42"/>
  <c r="I157" i="42"/>
  <c r="D157" i="42"/>
  <c r="J156" i="42"/>
  <c r="I156" i="42"/>
  <c r="D156" i="42"/>
  <c r="J155" i="42"/>
  <c r="I155" i="42"/>
  <c r="D155" i="42"/>
  <c r="J154" i="42"/>
  <c r="I154" i="42"/>
  <c r="D154" i="42"/>
  <c r="J153" i="42"/>
  <c r="I153" i="42"/>
  <c r="D153" i="42"/>
  <c r="J152" i="42"/>
  <c r="I152" i="42"/>
  <c r="D152" i="42"/>
  <c r="J151" i="42"/>
  <c r="I151" i="42"/>
  <c r="D151" i="42"/>
  <c r="J150" i="42"/>
  <c r="I150" i="42"/>
  <c r="D150" i="42"/>
  <c r="J149" i="42"/>
  <c r="I149" i="42"/>
  <c r="D149" i="42"/>
  <c r="J148" i="42"/>
  <c r="I148" i="42"/>
  <c r="D148" i="42"/>
  <c r="J147" i="42"/>
  <c r="I147" i="42"/>
  <c r="D147" i="42"/>
  <c r="J146" i="42"/>
  <c r="I146" i="42"/>
  <c r="D146" i="42"/>
  <c r="J145" i="42"/>
  <c r="I145" i="42"/>
  <c r="D145" i="42"/>
  <c r="J144" i="42"/>
  <c r="I144" i="42"/>
  <c r="D144" i="42"/>
  <c r="J143" i="42"/>
  <c r="I143" i="42"/>
  <c r="D143" i="42"/>
  <c r="J142" i="42"/>
  <c r="I142" i="42"/>
  <c r="D142" i="42"/>
  <c r="J141" i="42"/>
  <c r="I141" i="42"/>
  <c r="D141" i="42"/>
  <c r="J140" i="42"/>
  <c r="I140" i="42"/>
  <c r="D140" i="42"/>
  <c r="J139" i="42"/>
  <c r="I139" i="42"/>
  <c r="D139" i="42"/>
  <c r="J138" i="42"/>
  <c r="I138" i="42"/>
  <c r="D138" i="42"/>
  <c r="J137" i="42"/>
  <c r="I137" i="42"/>
  <c r="D137" i="42"/>
  <c r="J136" i="42"/>
  <c r="I136" i="42"/>
  <c r="D136" i="42"/>
  <c r="J135" i="42"/>
  <c r="I135" i="42"/>
  <c r="D135" i="42"/>
  <c r="J134" i="42"/>
  <c r="I134" i="42"/>
  <c r="D134" i="42"/>
  <c r="J133" i="42"/>
  <c r="I133" i="42"/>
  <c r="D133" i="42"/>
  <c r="J132" i="42"/>
  <c r="I132" i="42"/>
  <c r="D132" i="42"/>
  <c r="J131" i="42"/>
  <c r="I131" i="42"/>
  <c r="D131" i="42"/>
  <c r="J130" i="42"/>
  <c r="I130" i="42"/>
  <c r="D130" i="42"/>
  <c r="J129" i="42"/>
  <c r="I129" i="42"/>
  <c r="D129" i="42"/>
  <c r="J128" i="42"/>
  <c r="I128" i="42"/>
  <c r="D128" i="42"/>
  <c r="J127" i="42"/>
  <c r="I127" i="42"/>
  <c r="D127" i="42"/>
  <c r="J126" i="42"/>
  <c r="I126" i="42"/>
  <c r="D126" i="42"/>
  <c r="J125" i="42"/>
  <c r="I125" i="42"/>
  <c r="D125" i="42"/>
  <c r="J124" i="42"/>
  <c r="I124" i="42"/>
  <c r="D124" i="42"/>
  <c r="J123" i="42"/>
  <c r="I123" i="42"/>
  <c r="D123" i="42"/>
  <c r="J122" i="42"/>
  <c r="I122" i="42"/>
  <c r="D122" i="42"/>
  <c r="J121" i="42"/>
  <c r="I121" i="42"/>
  <c r="D121" i="42"/>
  <c r="J120" i="42"/>
  <c r="I120" i="42"/>
  <c r="D120" i="42"/>
  <c r="J119" i="42"/>
  <c r="I119" i="42"/>
  <c r="D119" i="42"/>
  <c r="J118" i="42"/>
  <c r="I118" i="42"/>
  <c r="D118" i="42"/>
  <c r="J117" i="42"/>
  <c r="I117" i="42"/>
  <c r="D117" i="42"/>
  <c r="J116" i="42"/>
  <c r="I116" i="42"/>
  <c r="D116" i="42"/>
  <c r="J115" i="42"/>
  <c r="I115" i="42"/>
  <c r="D115" i="42"/>
  <c r="J114" i="42"/>
  <c r="I114" i="42"/>
  <c r="D114" i="42"/>
  <c r="J113" i="42"/>
  <c r="I113" i="42"/>
  <c r="D113" i="42"/>
  <c r="J112" i="42"/>
  <c r="I112" i="42"/>
  <c r="D112" i="42"/>
  <c r="J111" i="42"/>
  <c r="I111" i="42"/>
  <c r="D111" i="42"/>
  <c r="J110" i="42"/>
  <c r="I110" i="42"/>
  <c r="D110" i="42"/>
  <c r="J109" i="42"/>
  <c r="I109" i="42"/>
  <c r="D109" i="42"/>
  <c r="J108" i="42"/>
  <c r="I108" i="42"/>
  <c r="D108" i="42"/>
  <c r="J107" i="42"/>
  <c r="I107" i="42"/>
  <c r="D107" i="42"/>
  <c r="J106" i="42"/>
  <c r="I106" i="42"/>
  <c r="D106" i="42"/>
  <c r="J105" i="42"/>
  <c r="I105" i="42"/>
  <c r="D105" i="42"/>
  <c r="J104" i="42"/>
  <c r="I104" i="42"/>
  <c r="D104" i="42"/>
  <c r="J103" i="42"/>
  <c r="I103" i="42"/>
  <c r="D103" i="42"/>
  <c r="J102" i="42"/>
  <c r="I102" i="42"/>
  <c r="D102" i="42"/>
  <c r="J101" i="42"/>
  <c r="I101" i="42"/>
  <c r="D101" i="42"/>
  <c r="J100" i="42"/>
  <c r="I100" i="42"/>
  <c r="D100" i="42"/>
  <c r="J99" i="42"/>
  <c r="I99" i="42"/>
  <c r="D99" i="42"/>
  <c r="J98" i="42"/>
  <c r="I98" i="42"/>
  <c r="D98" i="42"/>
  <c r="J97" i="42"/>
  <c r="I97" i="42"/>
  <c r="D97" i="42"/>
  <c r="J96" i="42"/>
  <c r="I96" i="42"/>
  <c r="D96" i="42"/>
  <c r="J95" i="42"/>
  <c r="I95" i="42"/>
  <c r="D95" i="42"/>
  <c r="J94" i="42"/>
  <c r="I94" i="42"/>
  <c r="D94" i="42"/>
  <c r="J93" i="42"/>
  <c r="I93" i="42"/>
  <c r="D93" i="42"/>
  <c r="J92" i="42"/>
  <c r="I92" i="42"/>
  <c r="D92" i="42"/>
  <c r="J91" i="42"/>
  <c r="I91" i="42"/>
  <c r="D91" i="42"/>
  <c r="J90" i="42"/>
  <c r="I90" i="42"/>
  <c r="D90" i="42"/>
  <c r="J89" i="42"/>
  <c r="I89" i="42"/>
  <c r="D89" i="42"/>
  <c r="J88" i="42"/>
  <c r="I88" i="42"/>
  <c r="D88" i="42"/>
  <c r="J87" i="42"/>
  <c r="I87" i="42"/>
  <c r="D87" i="42"/>
  <c r="J86" i="42"/>
  <c r="I86" i="42"/>
  <c r="D86" i="42"/>
  <c r="J85" i="42"/>
  <c r="I85" i="42"/>
  <c r="D85" i="42"/>
  <c r="J84" i="42"/>
  <c r="I84" i="42"/>
  <c r="D84" i="42"/>
  <c r="J83" i="42"/>
  <c r="I83" i="42"/>
  <c r="D83" i="42"/>
  <c r="J82" i="42"/>
  <c r="I82" i="42"/>
  <c r="D82" i="42"/>
  <c r="J81" i="42"/>
  <c r="I81" i="42"/>
  <c r="D81" i="42"/>
  <c r="J80" i="42"/>
  <c r="I80" i="42"/>
  <c r="D80" i="42"/>
  <c r="J79" i="42"/>
  <c r="I79" i="42"/>
  <c r="D79" i="42"/>
  <c r="J78" i="42"/>
  <c r="I78" i="42"/>
  <c r="D78" i="42"/>
  <c r="J77" i="42"/>
  <c r="I77" i="42"/>
  <c r="D77" i="42"/>
  <c r="J76" i="42"/>
  <c r="I76" i="42"/>
  <c r="D76" i="42"/>
  <c r="J75" i="42"/>
  <c r="I75" i="42"/>
  <c r="D75" i="42"/>
  <c r="J74" i="42"/>
  <c r="I74" i="42"/>
  <c r="D74" i="42"/>
  <c r="J73" i="42"/>
  <c r="I73" i="42"/>
  <c r="D73" i="42"/>
  <c r="J72" i="42"/>
  <c r="I72" i="42"/>
  <c r="D72" i="42"/>
  <c r="J71" i="42"/>
  <c r="I71" i="42"/>
  <c r="D71" i="42"/>
  <c r="J70" i="42"/>
  <c r="I70" i="42"/>
  <c r="D70" i="42"/>
  <c r="J69" i="42"/>
  <c r="I69" i="42"/>
  <c r="D69" i="42"/>
  <c r="J68" i="42"/>
  <c r="I68" i="42"/>
  <c r="D68" i="42"/>
  <c r="J67" i="42"/>
  <c r="I67" i="42"/>
  <c r="D67" i="42"/>
  <c r="J66" i="42"/>
  <c r="I66" i="42"/>
  <c r="D66" i="42"/>
  <c r="J65" i="42"/>
  <c r="I65" i="42"/>
  <c r="D65" i="42"/>
  <c r="J64" i="42"/>
  <c r="I64" i="42"/>
  <c r="D64" i="42"/>
  <c r="J63" i="42"/>
  <c r="I63" i="42"/>
  <c r="D63" i="42"/>
  <c r="J62" i="42"/>
  <c r="I62" i="42"/>
  <c r="D62" i="42"/>
  <c r="J61" i="42"/>
  <c r="I61" i="42"/>
  <c r="D61" i="42"/>
  <c r="J60" i="42"/>
  <c r="I60" i="42"/>
  <c r="D60" i="42"/>
  <c r="J59" i="42"/>
  <c r="I59" i="42"/>
  <c r="D59" i="42"/>
  <c r="J58" i="42"/>
  <c r="I58" i="42"/>
  <c r="D58" i="42"/>
  <c r="J57" i="42"/>
  <c r="I57" i="42"/>
  <c r="D57" i="42"/>
  <c r="J56" i="42"/>
  <c r="I56" i="42"/>
  <c r="D56" i="42"/>
  <c r="J55" i="42"/>
  <c r="I55" i="42"/>
  <c r="D55" i="42"/>
  <c r="J54" i="42"/>
  <c r="I54" i="42"/>
  <c r="D54" i="42"/>
  <c r="J53" i="42"/>
  <c r="I53" i="42"/>
  <c r="D53" i="42"/>
  <c r="J52" i="42"/>
  <c r="I52" i="42"/>
  <c r="D52" i="42"/>
  <c r="J51" i="42"/>
  <c r="I51" i="42"/>
  <c r="D51" i="42"/>
  <c r="J50" i="42"/>
  <c r="I50" i="42"/>
  <c r="D50" i="42"/>
  <c r="J49" i="42"/>
  <c r="I49" i="42"/>
  <c r="D49" i="42"/>
  <c r="J48" i="42"/>
  <c r="I48" i="42"/>
  <c r="D48" i="42"/>
  <c r="J47" i="42"/>
  <c r="I47" i="42"/>
  <c r="D47" i="42"/>
  <c r="J46" i="42"/>
  <c r="I46" i="42"/>
  <c r="D46" i="42"/>
  <c r="J45" i="42"/>
  <c r="I45" i="42"/>
  <c r="D45" i="42"/>
  <c r="J44" i="42"/>
  <c r="I44" i="42"/>
  <c r="D44" i="42"/>
  <c r="J43" i="42"/>
  <c r="I43" i="42"/>
  <c r="D43" i="42"/>
  <c r="J42" i="42"/>
  <c r="I42" i="42"/>
  <c r="D42" i="42"/>
  <c r="J41" i="42"/>
  <c r="I41" i="42"/>
  <c r="D41" i="42"/>
  <c r="J40" i="42"/>
  <c r="I40" i="42"/>
  <c r="D40" i="42"/>
  <c r="J39" i="42"/>
  <c r="I39" i="42"/>
  <c r="D39" i="42"/>
  <c r="J38" i="42"/>
  <c r="I38" i="42"/>
  <c r="D38" i="42"/>
  <c r="J37" i="42"/>
  <c r="I37" i="42"/>
  <c r="D37" i="42"/>
  <c r="J36" i="42"/>
  <c r="I36" i="42"/>
  <c r="D36" i="42"/>
  <c r="J35" i="42"/>
  <c r="I35" i="42"/>
  <c r="D35" i="42"/>
  <c r="J34" i="42"/>
  <c r="I34" i="42"/>
  <c r="D34" i="42"/>
  <c r="J33" i="42"/>
  <c r="I33" i="42"/>
  <c r="D33" i="42"/>
  <c r="P32" i="42"/>
  <c r="J32" i="42"/>
  <c r="I32" i="42"/>
  <c r="D32" i="42"/>
  <c r="P31" i="42"/>
  <c r="J31" i="42"/>
  <c r="I31" i="42"/>
  <c r="D31" i="42"/>
  <c r="P30" i="42"/>
  <c r="J30" i="42"/>
  <c r="I30" i="42"/>
  <c r="D30" i="42"/>
  <c r="P29" i="42"/>
  <c r="J29" i="42"/>
  <c r="I29" i="42"/>
  <c r="D29" i="42"/>
  <c r="P28" i="42"/>
  <c r="P33" i="42" s="1"/>
  <c r="J28" i="42"/>
  <c r="I28" i="42"/>
  <c r="D28" i="42"/>
  <c r="J27" i="42"/>
  <c r="I27" i="42"/>
  <c r="D27" i="42"/>
  <c r="J26" i="42"/>
  <c r="I26" i="42"/>
  <c r="D26" i="42"/>
  <c r="P25" i="42"/>
  <c r="J25" i="42"/>
  <c r="I25" i="42"/>
  <c r="D25" i="42"/>
  <c r="P24" i="42"/>
  <c r="J24" i="42"/>
  <c r="I24" i="42"/>
  <c r="D24" i="42"/>
  <c r="P23" i="42"/>
  <c r="P26" i="42" s="1"/>
  <c r="J23" i="42"/>
  <c r="I23" i="42"/>
  <c r="D23" i="42"/>
  <c r="P22" i="42"/>
  <c r="J22" i="42"/>
  <c r="I22" i="42"/>
  <c r="D22" i="42"/>
  <c r="P21" i="42"/>
  <c r="J21" i="42"/>
  <c r="I21" i="42"/>
  <c r="D21" i="42"/>
  <c r="J20" i="42"/>
  <c r="I20" i="42"/>
  <c r="D20" i="42"/>
  <c r="M19" i="42"/>
  <c r="J19" i="42"/>
  <c r="I19" i="42"/>
  <c r="D19" i="42"/>
  <c r="J18" i="42"/>
  <c r="I18" i="42"/>
  <c r="D18" i="42"/>
  <c r="J17" i="42"/>
  <c r="I17" i="42"/>
  <c r="D17" i="42"/>
  <c r="J16" i="42"/>
  <c r="I16" i="42"/>
  <c r="D16" i="42"/>
  <c r="J15" i="42"/>
  <c r="I15" i="42"/>
  <c r="D15" i="42"/>
  <c r="J14" i="42"/>
  <c r="I14" i="42"/>
  <c r="D14" i="42"/>
  <c r="J13" i="42"/>
  <c r="I13" i="42"/>
  <c r="D13" i="42"/>
  <c r="J12" i="42"/>
  <c r="I12" i="42"/>
  <c r="D12" i="42"/>
  <c r="J11" i="42"/>
  <c r="I11" i="42"/>
  <c r="D11" i="42"/>
  <c r="J10" i="42"/>
  <c r="I10" i="42"/>
  <c r="D10" i="42"/>
  <c r="J9" i="42"/>
  <c r="I9" i="42"/>
  <c r="D9" i="42"/>
  <c r="J8" i="42"/>
  <c r="I8" i="42"/>
  <c r="D8" i="42"/>
  <c r="J7" i="42"/>
  <c r="I7" i="42"/>
  <c r="D7" i="42"/>
  <c r="J6" i="42"/>
  <c r="I6" i="42"/>
  <c r="D6" i="42"/>
  <c r="B2" i="42" a="1"/>
  <c r="B2" i="42" s="1"/>
  <c r="J488" i="41"/>
  <c r="I488" i="41"/>
  <c r="D488" i="41"/>
  <c r="J487" i="41"/>
  <c r="I487" i="41"/>
  <c r="D487" i="41"/>
  <c r="J486" i="41"/>
  <c r="I486" i="41"/>
  <c r="D486" i="41"/>
  <c r="J485" i="41"/>
  <c r="I485" i="41"/>
  <c r="D485" i="41"/>
  <c r="J484" i="41"/>
  <c r="I484" i="41"/>
  <c r="D484" i="41"/>
  <c r="J483" i="41"/>
  <c r="I483" i="41"/>
  <c r="D483" i="41"/>
  <c r="J482" i="41"/>
  <c r="I482" i="41"/>
  <c r="D482" i="41"/>
  <c r="J481" i="41"/>
  <c r="I481" i="41"/>
  <c r="D481" i="41"/>
  <c r="J480" i="41"/>
  <c r="I480" i="41"/>
  <c r="D480" i="41"/>
  <c r="J479" i="41"/>
  <c r="I479" i="41"/>
  <c r="D479" i="41"/>
  <c r="J478" i="41"/>
  <c r="I478" i="41"/>
  <c r="D478" i="41"/>
  <c r="J477" i="41"/>
  <c r="I477" i="41"/>
  <c r="D477" i="41"/>
  <c r="J476" i="41"/>
  <c r="I476" i="41"/>
  <c r="D476" i="41"/>
  <c r="J475" i="41"/>
  <c r="I475" i="41"/>
  <c r="D475" i="41"/>
  <c r="J474" i="41"/>
  <c r="I474" i="41"/>
  <c r="D474" i="41"/>
  <c r="J473" i="41"/>
  <c r="I473" i="41"/>
  <c r="D473" i="41"/>
  <c r="J472" i="41"/>
  <c r="I472" i="41"/>
  <c r="D472" i="41"/>
  <c r="J471" i="41"/>
  <c r="I471" i="41"/>
  <c r="D471" i="41"/>
  <c r="J470" i="41"/>
  <c r="I470" i="41"/>
  <c r="D470" i="41"/>
  <c r="J469" i="41"/>
  <c r="I469" i="41"/>
  <c r="D469" i="41"/>
  <c r="J468" i="41"/>
  <c r="I468" i="41"/>
  <c r="D468" i="41"/>
  <c r="J467" i="41"/>
  <c r="I467" i="41"/>
  <c r="D467" i="41"/>
  <c r="J466" i="41"/>
  <c r="I466" i="41"/>
  <c r="D466" i="41"/>
  <c r="J465" i="41"/>
  <c r="I465" i="41"/>
  <c r="D465" i="41"/>
  <c r="J464" i="41"/>
  <c r="I464" i="41"/>
  <c r="D464" i="41"/>
  <c r="J463" i="41"/>
  <c r="I463" i="41"/>
  <c r="D463" i="41"/>
  <c r="J462" i="41"/>
  <c r="I462" i="41"/>
  <c r="D462" i="41"/>
  <c r="J461" i="41"/>
  <c r="I461" i="41"/>
  <c r="D461" i="41"/>
  <c r="J460" i="41"/>
  <c r="I460" i="41"/>
  <c r="D460" i="41"/>
  <c r="J459" i="41"/>
  <c r="I459" i="41"/>
  <c r="D459" i="41"/>
  <c r="J458" i="41"/>
  <c r="I458" i="41"/>
  <c r="D458" i="41"/>
  <c r="J457" i="41"/>
  <c r="I457" i="41"/>
  <c r="D457" i="41"/>
  <c r="J456" i="41"/>
  <c r="I456" i="41"/>
  <c r="D456" i="41"/>
  <c r="J455" i="41"/>
  <c r="I455" i="41"/>
  <c r="D455" i="41"/>
  <c r="J454" i="41"/>
  <c r="I454" i="41"/>
  <c r="D454" i="41"/>
  <c r="J453" i="41"/>
  <c r="I453" i="41"/>
  <c r="D453" i="41"/>
  <c r="J452" i="41"/>
  <c r="I452" i="41"/>
  <c r="D452" i="41"/>
  <c r="J451" i="41"/>
  <c r="I451" i="41"/>
  <c r="D451" i="41"/>
  <c r="J450" i="41"/>
  <c r="I450" i="41"/>
  <c r="D450" i="41"/>
  <c r="J449" i="41"/>
  <c r="I449" i="41"/>
  <c r="D449" i="41"/>
  <c r="J448" i="41"/>
  <c r="I448" i="41"/>
  <c r="D448" i="41"/>
  <c r="J447" i="41"/>
  <c r="I447" i="41"/>
  <c r="D447" i="41"/>
  <c r="J446" i="41"/>
  <c r="I446" i="41"/>
  <c r="D446" i="41"/>
  <c r="J445" i="41"/>
  <c r="I445" i="41"/>
  <c r="D445" i="41"/>
  <c r="J444" i="41"/>
  <c r="I444" i="41"/>
  <c r="D444" i="41"/>
  <c r="J443" i="41"/>
  <c r="I443" i="41"/>
  <c r="D443" i="41"/>
  <c r="J442" i="41"/>
  <c r="I442" i="41"/>
  <c r="D442" i="41"/>
  <c r="J441" i="41"/>
  <c r="I441" i="41"/>
  <c r="D441" i="41"/>
  <c r="J440" i="41"/>
  <c r="I440" i="41"/>
  <c r="D440" i="41"/>
  <c r="J439" i="41"/>
  <c r="I439" i="41"/>
  <c r="D439" i="41"/>
  <c r="J438" i="41"/>
  <c r="I438" i="41"/>
  <c r="D438" i="41"/>
  <c r="J437" i="41"/>
  <c r="I437" i="41"/>
  <c r="D437" i="41"/>
  <c r="J436" i="41"/>
  <c r="I436" i="41"/>
  <c r="D436" i="41"/>
  <c r="J435" i="41"/>
  <c r="I435" i="41"/>
  <c r="D435" i="41"/>
  <c r="J434" i="41"/>
  <c r="I434" i="41"/>
  <c r="D434" i="41"/>
  <c r="J433" i="41"/>
  <c r="I433" i="41"/>
  <c r="D433" i="41"/>
  <c r="J432" i="41"/>
  <c r="I432" i="41"/>
  <c r="D432" i="41"/>
  <c r="J431" i="41"/>
  <c r="I431" i="41"/>
  <c r="D431" i="41"/>
  <c r="J430" i="41"/>
  <c r="I430" i="41"/>
  <c r="D430" i="41"/>
  <c r="J429" i="41"/>
  <c r="I429" i="41"/>
  <c r="D429" i="41"/>
  <c r="J428" i="41"/>
  <c r="I428" i="41"/>
  <c r="D428" i="41"/>
  <c r="J427" i="41"/>
  <c r="I427" i="41"/>
  <c r="D427" i="41"/>
  <c r="J426" i="41"/>
  <c r="I426" i="41"/>
  <c r="D426" i="41"/>
  <c r="J425" i="41"/>
  <c r="I425" i="41"/>
  <c r="D425" i="41"/>
  <c r="J424" i="41"/>
  <c r="I424" i="41"/>
  <c r="D424" i="41"/>
  <c r="J423" i="41"/>
  <c r="I423" i="41"/>
  <c r="D423" i="41"/>
  <c r="J422" i="41"/>
  <c r="I422" i="41"/>
  <c r="D422" i="41"/>
  <c r="J421" i="41"/>
  <c r="I421" i="41"/>
  <c r="D421" i="41"/>
  <c r="J420" i="41"/>
  <c r="I420" i="41"/>
  <c r="D420" i="41"/>
  <c r="J419" i="41"/>
  <c r="I419" i="41"/>
  <c r="D419" i="41"/>
  <c r="J418" i="41"/>
  <c r="I418" i="41"/>
  <c r="D418" i="41"/>
  <c r="J417" i="41"/>
  <c r="I417" i="41"/>
  <c r="D417" i="41"/>
  <c r="J416" i="41"/>
  <c r="I416" i="41"/>
  <c r="D416" i="41"/>
  <c r="J415" i="41"/>
  <c r="I415" i="41"/>
  <c r="D415" i="41"/>
  <c r="J414" i="41"/>
  <c r="I414" i="41"/>
  <c r="D414" i="41"/>
  <c r="J413" i="41"/>
  <c r="I413" i="41"/>
  <c r="D413" i="41"/>
  <c r="J412" i="41"/>
  <c r="I412" i="41"/>
  <c r="D412" i="41"/>
  <c r="J411" i="41"/>
  <c r="I411" i="41"/>
  <c r="D411" i="41"/>
  <c r="J410" i="41"/>
  <c r="I410" i="41"/>
  <c r="D410" i="41"/>
  <c r="J409" i="41"/>
  <c r="I409" i="41"/>
  <c r="D409" i="41"/>
  <c r="J408" i="41"/>
  <c r="I408" i="41"/>
  <c r="D408" i="41"/>
  <c r="J407" i="41"/>
  <c r="I407" i="41"/>
  <c r="D407" i="41"/>
  <c r="J406" i="41"/>
  <c r="I406" i="41"/>
  <c r="D406" i="41"/>
  <c r="J405" i="41"/>
  <c r="I405" i="41"/>
  <c r="D405" i="41"/>
  <c r="J404" i="41"/>
  <c r="I404" i="41"/>
  <c r="D404" i="41"/>
  <c r="J403" i="41"/>
  <c r="I403" i="41"/>
  <c r="D403" i="41"/>
  <c r="J402" i="41"/>
  <c r="I402" i="41"/>
  <c r="D402" i="41"/>
  <c r="J401" i="41"/>
  <c r="I401" i="41"/>
  <c r="D401" i="41"/>
  <c r="J400" i="41"/>
  <c r="I400" i="41"/>
  <c r="D400" i="41"/>
  <c r="J399" i="41"/>
  <c r="I399" i="41"/>
  <c r="D399" i="41"/>
  <c r="J398" i="41"/>
  <c r="I398" i="41"/>
  <c r="D398" i="41"/>
  <c r="J397" i="41"/>
  <c r="I397" i="41"/>
  <c r="D397" i="41"/>
  <c r="J396" i="41"/>
  <c r="I396" i="41"/>
  <c r="D396" i="41"/>
  <c r="J395" i="41"/>
  <c r="I395" i="41"/>
  <c r="D395" i="41"/>
  <c r="J394" i="41"/>
  <c r="I394" i="41"/>
  <c r="D394" i="41"/>
  <c r="J393" i="41"/>
  <c r="I393" i="41"/>
  <c r="D393" i="41"/>
  <c r="J392" i="41"/>
  <c r="I392" i="41"/>
  <c r="D392" i="41"/>
  <c r="J391" i="41"/>
  <c r="I391" i="41"/>
  <c r="D391" i="41"/>
  <c r="J390" i="41"/>
  <c r="I390" i="41"/>
  <c r="D390" i="41"/>
  <c r="J389" i="41"/>
  <c r="I389" i="41"/>
  <c r="D389" i="41"/>
  <c r="J388" i="41"/>
  <c r="I388" i="41"/>
  <c r="D388" i="41"/>
  <c r="J387" i="41"/>
  <c r="I387" i="41"/>
  <c r="D387" i="41"/>
  <c r="J386" i="41"/>
  <c r="I386" i="41"/>
  <c r="D386" i="41"/>
  <c r="J385" i="41"/>
  <c r="I385" i="41"/>
  <c r="D385" i="41"/>
  <c r="J384" i="41"/>
  <c r="I384" i="41"/>
  <c r="D384" i="41"/>
  <c r="J383" i="41"/>
  <c r="I383" i="41"/>
  <c r="D383" i="41"/>
  <c r="J382" i="41"/>
  <c r="I382" i="41"/>
  <c r="D382" i="41"/>
  <c r="J381" i="41"/>
  <c r="I381" i="41"/>
  <c r="D381" i="41"/>
  <c r="J380" i="41"/>
  <c r="I380" i="41"/>
  <c r="D380" i="41"/>
  <c r="J379" i="41"/>
  <c r="I379" i="41"/>
  <c r="D379" i="41"/>
  <c r="J378" i="41"/>
  <c r="I378" i="41"/>
  <c r="D378" i="41"/>
  <c r="J377" i="41"/>
  <c r="I377" i="41"/>
  <c r="D377" i="41"/>
  <c r="J376" i="41"/>
  <c r="I376" i="41"/>
  <c r="D376" i="41"/>
  <c r="J375" i="41"/>
  <c r="I375" i="41"/>
  <c r="D375" i="41"/>
  <c r="J374" i="41"/>
  <c r="I374" i="41"/>
  <c r="D374" i="41"/>
  <c r="J373" i="41"/>
  <c r="I373" i="41"/>
  <c r="D373" i="41"/>
  <c r="J372" i="41"/>
  <c r="I372" i="41"/>
  <c r="D372" i="41"/>
  <c r="J371" i="41"/>
  <c r="I371" i="41"/>
  <c r="D371" i="41"/>
  <c r="J370" i="41"/>
  <c r="I370" i="41"/>
  <c r="D370" i="41"/>
  <c r="J369" i="41"/>
  <c r="I369" i="41"/>
  <c r="D369" i="41"/>
  <c r="J368" i="41"/>
  <c r="I368" i="41"/>
  <c r="D368" i="41"/>
  <c r="J367" i="41"/>
  <c r="I367" i="41"/>
  <c r="D367" i="41"/>
  <c r="J366" i="41"/>
  <c r="I366" i="41"/>
  <c r="D366" i="41"/>
  <c r="J365" i="41"/>
  <c r="I365" i="41"/>
  <c r="D365" i="41"/>
  <c r="J364" i="41"/>
  <c r="I364" i="41"/>
  <c r="D364" i="41"/>
  <c r="J363" i="41"/>
  <c r="I363" i="41"/>
  <c r="D363" i="41"/>
  <c r="J362" i="41"/>
  <c r="I362" i="41"/>
  <c r="D362" i="41"/>
  <c r="J361" i="41"/>
  <c r="I361" i="41"/>
  <c r="D361" i="41"/>
  <c r="J360" i="41"/>
  <c r="I360" i="41"/>
  <c r="D360" i="41"/>
  <c r="J359" i="41"/>
  <c r="I359" i="41"/>
  <c r="D359" i="41"/>
  <c r="J358" i="41"/>
  <c r="I358" i="41"/>
  <c r="D358" i="41"/>
  <c r="J357" i="41"/>
  <c r="I357" i="41"/>
  <c r="D357" i="41"/>
  <c r="J356" i="41"/>
  <c r="I356" i="41"/>
  <c r="D356" i="41"/>
  <c r="J355" i="41"/>
  <c r="I355" i="41"/>
  <c r="D355" i="41"/>
  <c r="J354" i="41"/>
  <c r="I354" i="41"/>
  <c r="D354" i="41"/>
  <c r="J353" i="41"/>
  <c r="I353" i="41"/>
  <c r="D353" i="41"/>
  <c r="J352" i="41"/>
  <c r="I352" i="41"/>
  <c r="D352" i="41"/>
  <c r="J351" i="41"/>
  <c r="I351" i="41"/>
  <c r="D351" i="41"/>
  <c r="J350" i="41"/>
  <c r="I350" i="41"/>
  <c r="D350" i="41"/>
  <c r="J349" i="41"/>
  <c r="I349" i="41"/>
  <c r="D349" i="41"/>
  <c r="J348" i="41"/>
  <c r="I348" i="41"/>
  <c r="D348" i="41"/>
  <c r="J347" i="41"/>
  <c r="I347" i="41"/>
  <c r="D347" i="41"/>
  <c r="J346" i="41"/>
  <c r="I346" i="41"/>
  <c r="D346" i="41"/>
  <c r="J345" i="41"/>
  <c r="I345" i="41"/>
  <c r="D345" i="41"/>
  <c r="J344" i="41"/>
  <c r="I344" i="41"/>
  <c r="D344" i="41"/>
  <c r="J343" i="41"/>
  <c r="I343" i="41"/>
  <c r="D343" i="41"/>
  <c r="J342" i="41"/>
  <c r="I342" i="41"/>
  <c r="D342" i="41"/>
  <c r="J341" i="41"/>
  <c r="I341" i="41"/>
  <c r="D341" i="41"/>
  <c r="J340" i="41"/>
  <c r="I340" i="41"/>
  <c r="D340" i="41"/>
  <c r="J339" i="41"/>
  <c r="I339" i="41"/>
  <c r="D339" i="41"/>
  <c r="J338" i="41"/>
  <c r="I338" i="41"/>
  <c r="D338" i="41"/>
  <c r="J337" i="41"/>
  <c r="I337" i="41"/>
  <c r="D337" i="41"/>
  <c r="J336" i="41"/>
  <c r="I336" i="41"/>
  <c r="D336" i="41"/>
  <c r="J335" i="41"/>
  <c r="I335" i="41"/>
  <c r="D335" i="41"/>
  <c r="J334" i="41"/>
  <c r="I334" i="41"/>
  <c r="D334" i="41"/>
  <c r="J333" i="41"/>
  <c r="I333" i="41"/>
  <c r="D333" i="41"/>
  <c r="J332" i="41"/>
  <c r="I332" i="41"/>
  <c r="D332" i="41"/>
  <c r="J331" i="41"/>
  <c r="I331" i="41"/>
  <c r="D331" i="41"/>
  <c r="J330" i="41"/>
  <c r="I330" i="41"/>
  <c r="D330" i="41"/>
  <c r="J329" i="41"/>
  <c r="I329" i="41"/>
  <c r="D329" i="41"/>
  <c r="J328" i="41"/>
  <c r="I328" i="41"/>
  <c r="D328" i="41"/>
  <c r="J327" i="41"/>
  <c r="I327" i="41"/>
  <c r="D327" i="41"/>
  <c r="J326" i="41"/>
  <c r="I326" i="41"/>
  <c r="D326" i="41"/>
  <c r="J325" i="41"/>
  <c r="I325" i="41"/>
  <c r="D325" i="41"/>
  <c r="J324" i="41"/>
  <c r="I324" i="41"/>
  <c r="D324" i="41"/>
  <c r="J323" i="41"/>
  <c r="I323" i="41"/>
  <c r="D323" i="41"/>
  <c r="J322" i="41"/>
  <c r="I322" i="41"/>
  <c r="D322" i="41"/>
  <c r="J321" i="41"/>
  <c r="I321" i="41"/>
  <c r="D321" i="41"/>
  <c r="J320" i="41"/>
  <c r="I320" i="41"/>
  <c r="D320" i="41"/>
  <c r="J319" i="41"/>
  <c r="I319" i="41"/>
  <c r="D319" i="41"/>
  <c r="J318" i="41"/>
  <c r="I318" i="41"/>
  <c r="D318" i="41"/>
  <c r="J317" i="41"/>
  <c r="I317" i="41"/>
  <c r="D317" i="41"/>
  <c r="J316" i="41"/>
  <c r="I316" i="41"/>
  <c r="D316" i="41"/>
  <c r="J315" i="41"/>
  <c r="I315" i="41"/>
  <c r="D315" i="41"/>
  <c r="J314" i="41"/>
  <c r="I314" i="41"/>
  <c r="D314" i="41"/>
  <c r="J313" i="41"/>
  <c r="I313" i="41"/>
  <c r="D313" i="41"/>
  <c r="J312" i="41"/>
  <c r="I312" i="41"/>
  <c r="D312" i="41"/>
  <c r="J311" i="41"/>
  <c r="I311" i="41"/>
  <c r="D311" i="41"/>
  <c r="J310" i="41"/>
  <c r="I310" i="41"/>
  <c r="D310" i="41"/>
  <c r="J309" i="41"/>
  <c r="I309" i="41"/>
  <c r="D309" i="41"/>
  <c r="J308" i="41"/>
  <c r="I308" i="41"/>
  <c r="D308" i="41"/>
  <c r="J307" i="41"/>
  <c r="I307" i="41"/>
  <c r="D307" i="41"/>
  <c r="J306" i="41"/>
  <c r="I306" i="41"/>
  <c r="D306" i="41"/>
  <c r="J305" i="41"/>
  <c r="I305" i="41"/>
  <c r="D305" i="41"/>
  <c r="J304" i="41"/>
  <c r="I304" i="41"/>
  <c r="D304" i="41"/>
  <c r="J303" i="41"/>
  <c r="I303" i="41"/>
  <c r="D303" i="41"/>
  <c r="J302" i="41"/>
  <c r="I302" i="41"/>
  <c r="D302" i="41"/>
  <c r="J301" i="41"/>
  <c r="I301" i="41"/>
  <c r="D301" i="41"/>
  <c r="J300" i="41"/>
  <c r="I300" i="41"/>
  <c r="D300" i="41"/>
  <c r="J299" i="41"/>
  <c r="I299" i="41"/>
  <c r="D299" i="41"/>
  <c r="J298" i="41"/>
  <c r="I298" i="41"/>
  <c r="D298" i="41"/>
  <c r="J297" i="41"/>
  <c r="I297" i="41"/>
  <c r="D297" i="41"/>
  <c r="J296" i="41"/>
  <c r="I296" i="41"/>
  <c r="D296" i="41"/>
  <c r="J295" i="41"/>
  <c r="I295" i="41"/>
  <c r="D295" i="41"/>
  <c r="J294" i="41"/>
  <c r="I294" i="41"/>
  <c r="D294" i="41"/>
  <c r="J293" i="41"/>
  <c r="I293" i="41"/>
  <c r="D293" i="41"/>
  <c r="J292" i="41"/>
  <c r="I292" i="41"/>
  <c r="D292" i="41"/>
  <c r="J291" i="41"/>
  <c r="I291" i="41"/>
  <c r="D291" i="41"/>
  <c r="J290" i="41"/>
  <c r="I290" i="41"/>
  <c r="D290" i="41"/>
  <c r="J289" i="41"/>
  <c r="I289" i="41"/>
  <c r="D289" i="41"/>
  <c r="J288" i="41"/>
  <c r="I288" i="41"/>
  <c r="D288" i="41"/>
  <c r="J287" i="41"/>
  <c r="I287" i="41"/>
  <c r="D287" i="41"/>
  <c r="J286" i="41"/>
  <c r="I286" i="41"/>
  <c r="D286" i="41"/>
  <c r="J285" i="41"/>
  <c r="I285" i="41"/>
  <c r="D285" i="41"/>
  <c r="J284" i="41"/>
  <c r="I284" i="41"/>
  <c r="D284" i="41"/>
  <c r="J283" i="41"/>
  <c r="I283" i="41"/>
  <c r="D283" i="41"/>
  <c r="J282" i="41"/>
  <c r="I282" i="41"/>
  <c r="D282" i="41"/>
  <c r="J281" i="41"/>
  <c r="I281" i="41"/>
  <c r="D281" i="41"/>
  <c r="J280" i="41"/>
  <c r="I280" i="41"/>
  <c r="D280" i="41"/>
  <c r="J279" i="41"/>
  <c r="I279" i="41"/>
  <c r="D279" i="41"/>
  <c r="J278" i="41"/>
  <c r="I278" i="41"/>
  <c r="D278" i="41"/>
  <c r="J277" i="41"/>
  <c r="I277" i="41"/>
  <c r="D277" i="41"/>
  <c r="J276" i="41"/>
  <c r="I276" i="41"/>
  <c r="D276" i="41"/>
  <c r="J275" i="41"/>
  <c r="I275" i="41"/>
  <c r="D275" i="41"/>
  <c r="J274" i="41"/>
  <c r="I274" i="41"/>
  <c r="D274" i="41"/>
  <c r="J273" i="41"/>
  <c r="I273" i="41"/>
  <c r="D273" i="41"/>
  <c r="J272" i="41"/>
  <c r="I272" i="41"/>
  <c r="D272" i="41"/>
  <c r="J271" i="41"/>
  <c r="I271" i="41"/>
  <c r="D271" i="41"/>
  <c r="J270" i="41"/>
  <c r="I270" i="41"/>
  <c r="D270" i="41"/>
  <c r="J269" i="41"/>
  <c r="I269" i="41"/>
  <c r="D269" i="41"/>
  <c r="J268" i="41"/>
  <c r="I268" i="41"/>
  <c r="D268" i="41"/>
  <c r="J267" i="41"/>
  <c r="I267" i="41"/>
  <c r="D267" i="41"/>
  <c r="J266" i="41"/>
  <c r="I266" i="41"/>
  <c r="D266" i="41"/>
  <c r="J265" i="41"/>
  <c r="I265" i="41"/>
  <c r="D265" i="41"/>
  <c r="J264" i="41"/>
  <c r="I264" i="41"/>
  <c r="D264" i="41"/>
  <c r="J263" i="41"/>
  <c r="I263" i="41"/>
  <c r="D263" i="41"/>
  <c r="J262" i="41"/>
  <c r="I262" i="41"/>
  <c r="D262" i="41"/>
  <c r="J261" i="41"/>
  <c r="I261" i="41"/>
  <c r="D261" i="41"/>
  <c r="J260" i="41"/>
  <c r="I260" i="41"/>
  <c r="D260" i="41"/>
  <c r="J259" i="41"/>
  <c r="I259" i="41"/>
  <c r="D259" i="41"/>
  <c r="J258" i="41"/>
  <c r="I258" i="41"/>
  <c r="D258" i="41"/>
  <c r="J257" i="41"/>
  <c r="I257" i="41"/>
  <c r="D257" i="41"/>
  <c r="J256" i="41"/>
  <c r="I256" i="41"/>
  <c r="D256" i="41"/>
  <c r="J255" i="41"/>
  <c r="I255" i="41"/>
  <c r="D255" i="41"/>
  <c r="J254" i="41"/>
  <c r="I254" i="41"/>
  <c r="D254" i="41"/>
  <c r="J253" i="41"/>
  <c r="I253" i="41"/>
  <c r="D253" i="41"/>
  <c r="J252" i="41"/>
  <c r="I252" i="41"/>
  <c r="D252" i="41"/>
  <c r="J251" i="41"/>
  <c r="I251" i="41"/>
  <c r="D251" i="41"/>
  <c r="J250" i="41"/>
  <c r="I250" i="41"/>
  <c r="D250" i="41"/>
  <c r="J249" i="41"/>
  <c r="I249" i="41"/>
  <c r="D249" i="41"/>
  <c r="J248" i="41"/>
  <c r="I248" i="41"/>
  <c r="D248" i="41"/>
  <c r="J247" i="41"/>
  <c r="I247" i="41"/>
  <c r="D247" i="41"/>
  <c r="J246" i="41"/>
  <c r="I246" i="41"/>
  <c r="D246" i="41"/>
  <c r="J245" i="41"/>
  <c r="I245" i="41"/>
  <c r="D245" i="41"/>
  <c r="J244" i="41"/>
  <c r="I244" i="41"/>
  <c r="D244" i="41"/>
  <c r="J243" i="41"/>
  <c r="I243" i="41"/>
  <c r="D243" i="41"/>
  <c r="J242" i="41"/>
  <c r="I242" i="41"/>
  <c r="D242" i="41"/>
  <c r="J241" i="41"/>
  <c r="I241" i="41"/>
  <c r="D241" i="41"/>
  <c r="J240" i="41"/>
  <c r="I240" i="41"/>
  <c r="D240" i="41"/>
  <c r="J239" i="41"/>
  <c r="I239" i="41"/>
  <c r="D239" i="41"/>
  <c r="J238" i="41"/>
  <c r="I238" i="41"/>
  <c r="D238" i="41"/>
  <c r="J237" i="41"/>
  <c r="I237" i="41"/>
  <c r="D237" i="41"/>
  <c r="J236" i="41"/>
  <c r="I236" i="41"/>
  <c r="D236" i="41"/>
  <c r="J235" i="41"/>
  <c r="I235" i="41"/>
  <c r="D235" i="41"/>
  <c r="J234" i="41"/>
  <c r="I234" i="41"/>
  <c r="D234" i="41"/>
  <c r="J233" i="41"/>
  <c r="I233" i="41"/>
  <c r="D233" i="41"/>
  <c r="J232" i="41"/>
  <c r="I232" i="41"/>
  <c r="D232" i="41"/>
  <c r="J231" i="41"/>
  <c r="I231" i="41"/>
  <c r="D231" i="41"/>
  <c r="J230" i="41"/>
  <c r="I230" i="41"/>
  <c r="D230" i="41"/>
  <c r="J229" i="41"/>
  <c r="I229" i="41"/>
  <c r="D229" i="41"/>
  <c r="J228" i="41"/>
  <c r="I228" i="41"/>
  <c r="D228" i="41"/>
  <c r="J227" i="41"/>
  <c r="I227" i="41"/>
  <c r="D227" i="41"/>
  <c r="J226" i="41"/>
  <c r="I226" i="41"/>
  <c r="D226" i="41"/>
  <c r="J225" i="41"/>
  <c r="I225" i="41"/>
  <c r="D225" i="41"/>
  <c r="J224" i="41"/>
  <c r="I224" i="41"/>
  <c r="D224" i="41"/>
  <c r="J223" i="41"/>
  <c r="I223" i="41"/>
  <c r="D223" i="41"/>
  <c r="J222" i="41"/>
  <c r="I222" i="41"/>
  <c r="D222" i="41"/>
  <c r="J221" i="41"/>
  <c r="I221" i="41"/>
  <c r="D221" i="41"/>
  <c r="J220" i="41"/>
  <c r="I220" i="41"/>
  <c r="D220" i="41"/>
  <c r="J219" i="41"/>
  <c r="I219" i="41"/>
  <c r="D219" i="41"/>
  <c r="J218" i="41"/>
  <c r="I218" i="41"/>
  <c r="D218" i="41"/>
  <c r="J217" i="41"/>
  <c r="I217" i="41"/>
  <c r="D217" i="41"/>
  <c r="J216" i="41"/>
  <c r="I216" i="41"/>
  <c r="D216" i="41"/>
  <c r="J215" i="41"/>
  <c r="I215" i="41"/>
  <c r="D215" i="41"/>
  <c r="J214" i="41"/>
  <c r="I214" i="41"/>
  <c r="D214" i="41"/>
  <c r="J213" i="41"/>
  <c r="I213" i="41"/>
  <c r="D213" i="41"/>
  <c r="J212" i="41"/>
  <c r="I212" i="41"/>
  <c r="D212" i="41"/>
  <c r="J211" i="41"/>
  <c r="I211" i="41"/>
  <c r="D211" i="41"/>
  <c r="J210" i="41"/>
  <c r="I210" i="41"/>
  <c r="D210" i="41"/>
  <c r="J209" i="41"/>
  <c r="I209" i="41"/>
  <c r="D209" i="41"/>
  <c r="J208" i="41"/>
  <c r="I208" i="41"/>
  <c r="D208" i="41"/>
  <c r="J207" i="41"/>
  <c r="I207" i="41"/>
  <c r="D207" i="41"/>
  <c r="J206" i="41"/>
  <c r="I206" i="41"/>
  <c r="D206" i="41"/>
  <c r="J205" i="41"/>
  <c r="I205" i="41"/>
  <c r="D205" i="41"/>
  <c r="J204" i="41"/>
  <c r="I204" i="41"/>
  <c r="D204" i="41"/>
  <c r="J203" i="41"/>
  <c r="I203" i="41"/>
  <c r="D203" i="41"/>
  <c r="J202" i="41"/>
  <c r="I202" i="41"/>
  <c r="D202" i="41"/>
  <c r="J201" i="41"/>
  <c r="I201" i="41"/>
  <c r="D201" i="41"/>
  <c r="J200" i="41"/>
  <c r="I200" i="41"/>
  <c r="D200" i="41"/>
  <c r="J199" i="41"/>
  <c r="I199" i="41"/>
  <c r="D199" i="41"/>
  <c r="J198" i="41"/>
  <c r="I198" i="41"/>
  <c r="D198" i="41"/>
  <c r="J197" i="41"/>
  <c r="I197" i="41"/>
  <c r="D197" i="41"/>
  <c r="J196" i="41"/>
  <c r="I196" i="41"/>
  <c r="D196" i="41"/>
  <c r="J195" i="41"/>
  <c r="I195" i="41"/>
  <c r="D195" i="41"/>
  <c r="J194" i="41"/>
  <c r="I194" i="41"/>
  <c r="D194" i="41"/>
  <c r="J193" i="41"/>
  <c r="I193" i="41"/>
  <c r="D193" i="41"/>
  <c r="J192" i="41"/>
  <c r="I192" i="41"/>
  <c r="D192" i="41"/>
  <c r="J191" i="41"/>
  <c r="I191" i="41"/>
  <c r="D191" i="41"/>
  <c r="J190" i="41"/>
  <c r="I190" i="41"/>
  <c r="D190" i="41"/>
  <c r="J189" i="41"/>
  <c r="I189" i="41"/>
  <c r="D189" i="41"/>
  <c r="J188" i="41"/>
  <c r="I188" i="41"/>
  <c r="D188" i="41"/>
  <c r="J187" i="41"/>
  <c r="I187" i="41"/>
  <c r="D187" i="41"/>
  <c r="J186" i="41"/>
  <c r="I186" i="41"/>
  <c r="D186" i="41"/>
  <c r="J185" i="41"/>
  <c r="I185" i="41"/>
  <c r="D185" i="41"/>
  <c r="J184" i="41"/>
  <c r="I184" i="41"/>
  <c r="D184" i="41"/>
  <c r="J183" i="41"/>
  <c r="I183" i="41"/>
  <c r="D183" i="41"/>
  <c r="J182" i="41"/>
  <c r="I182" i="41"/>
  <c r="D182" i="41"/>
  <c r="J181" i="41"/>
  <c r="I181" i="41"/>
  <c r="D181" i="41"/>
  <c r="J180" i="41"/>
  <c r="I180" i="41"/>
  <c r="D180" i="41"/>
  <c r="J179" i="41"/>
  <c r="I179" i="41"/>
  <c r="D179" i="41"/>
  <c r="J178" i="41"/>
  <c r="I178" i="41"/>
  <c r="D178" i="41"/>
  <c r="J177" i="41"/>
  <c r="I177" i="41"/>
  <c r="D177" i="41"/>
  <c r="J176" i="41"/>
  <c r="I176" i="41"/>
  <c r="D176" i="41"/>
  <c r="J175" i="41"/>
  <c r="I175" i="41"/>
  <c r="D175" i="41"/>
  <c r="J174" i="41"/>
  <c r="I174" i="41"/>
  <c r="D174" i="41"/>
  <c r="J173" i="41"/>
  <c r="I173" i="41"/>
  <c r="D173" i="41"/>
  <c r="J172" i="41"/>
  <c r="I172" i="41"/>
  <c r="D172" i="41"/>
  <c r="J171" i="41"/>
  <c r="I171" i="41"/>
  <c r="D171" i="41"/>
  <c r="J170" i="41"/>
  <c r="I170" i="41"/>
  <c r="D170" i="41"/>
  <c r="J169" i="41"/>
  <c r="I169" i="41"/>
  <c r="D169" i="41"/>
  <c r="J168" i="41"/>
  <c r="I168" i="41"/>
  <c r="D168" i="41"/>
  <c r="J167" i="41"/>
  <c r="I167" i="41"/>
  <c r="D167" i="41"/>
  <c r="J166" i="41"/>
  <c r="I166" i="41"/>
  <c r="D166" i="41"/>
  <c r="J165" i="41"/>
  <c r="I165" i="41"/>
  <c r="D165" i="41"/>
  <c r="J164" i="41"/>
  <c r="I164" i="41"/>
  <c r="D164" i="41"/>
  <c r="J163" i="41"/>
  <c r="I163" i="41"/>
  <c r="D163" i="41"/>
  <c r="J162" i="41"/>
  <c r="I162" i="41"/>
  <c r="D162" i="41"/>
  <c r="J161" i="41"/>
  <c r="I161" i="41"/>
  <c r="D161" i="41"/>
  <c r="J160" i="41"/>
  <c r="I160" i="41"/>
  <c r="D160" i="41"/>
  <c r="J159" i="41"/>
  <c r="I159" i="41"/>
  <c r="D159" i="41"/>
  <c r="J158" i="41"/>
  <c r="I158" i="41"/>
  <c r="D158" i="41"/>
  <c r="J157" i="41"/>
  <c r="I157" i="41"/>
  <c r="D157" i="41"/>
  <c r="J156" i="41"/>
  <c r="I156" i="41"/>
  <c r="D156" i="41"/>
  <c r="J155" i="41"/>
  <c r="I155" i="41"/>
  <c r="D155" i="41"/>
  <c r="J154" i="41"/>
  <c r="I154" i="41"/>
  <c r="D154" i="41"/>
  <c r="J153" i="41"/>
  <c r="I153" i="41"/>
  <c r="D153" i="41"/>
  <c r="J152" i="41"/>
  <c r="I152" i="41"/>
  <c r="D152" i="41"/>
  <c r="J151" i="41"/>
  <c r="I151" i="41"/>
  <c r="D151" i="41"/>
  <c r="J150" i="41"/>
  <c r="I150" i="41"/>
  <c r="D150" i="41"/>
  <c r="J149" i="41"/>
  <c r="I149" i="41"/>
  <c r="D149" i="41"/>
  <c r="J148" i="41"/>
  <c r="I148" i="41"/>
  <c r="D148" i="41"/>
  <c r="J147" i="41"/>
  <c r="I147" i="41"/>
  <c r="D147" i="41"/>
  <c r="J146" i="41"/>
  <c r="I146" i="41"/>
  <c r="D146" i="41"/>
  <c r="J145" i="41"/>
  <c r="I145" i="41"/>
  <c r="D145" i="41"/>
  <c r="J144" i="41"/>
  <c r="I144" i="41"/>
  <c r="D144" i="41"/>
  <c r="J143" i="41"/>
  <c r="I143" i="41"/>
  <c r="D143" i="41"/>
  <c r="J142" i="41"/>
  <c r="I142" i="41"/>
  <c r="D142" i="41"/>
  <c r="J141" i="41"/>
  <c r="I141" i="41"/>
  <c r="D141" i="41"/>
  <c r="J140" i="41"/>
  <c r="I140" i="41"/>
  <c r="D140" i="41"/>
  <c r="J139" i="41"/>
  <c r="I139" i="41"/>
  <c r="D139" i="41"/>
  <c r="J138" i="41"/>
  <c r="I138" i="41"/>
  <c r="D138" i="41"/>
  <c r="J137" i="41"/>
  <c r="I137" i="41"/>
  <c r="D137" i="41"/>
  <c r="J136" i="41"/>
  <c r="I136" i="41"/>
  <c r="D136" i="41"/>
  <c r="J135" i="41"/>
  <c r="I135" i="41"/>
  <c r="D135" i="41"/>
  <c r="J134" i="41"/>
  <c r="I134" i="41"/>
  <c r="D134" i="41"/>
  <c r="J133" i="41"/>
  <c r="I133" i="41"/>
  <c r="D133" i="41"/>
  <c r="J132" i="41"/>
  <c r="I132" i="41"/>
  <c r="D132" i="41"/>
  <c r="J131" i="41"/>
  <c r="I131" i="41"/>
  <c r="D131" i="41"/>
  <c r="J130" i="41"/>
  <c r="I130" i="41"/>
  <c r="D130" i="41"/>
  <c r="J129" i="41"/>
  <c r="I129" i="41"/>
  <c r="D129" i="41"/>
  <c r="J128" i="41"/>
  <c r="I128" i="41"/>
  <c r="D128" i="41"/>
  <c r="J127" i="41"/>
  <c r="I127" i="41"/>
  <c r="D127" i="41"/>
  <c r="J126" i="41"/>
  <c r="I126" i="41"/>
  <c r="D126" i="41"/>
  <c r="J125" i="41"/>
  <c r="I125" i="41"/>
  <c r="D125" i="41"/>
  <c r="J124" i="41"/>
  <c r="I124" i="41"/>
  <c r="D124" i="41"/>
  <c r="J123" i="41"/>
  <c r="I123" i="41"/>
  <c r="D123" i="41"/>
  <c r="J122" i="41"/>
  <c r="I122" i="41"/>
  <c r="D122" i="41"/>
  <c r="J121" i="41"/>
  <c r="I121" i="41"/>
  <c r="D121" i="41"/>
  <c r="J120" i="41"/>
  <c r="I120" i="41"/>
  <c r="D120" i="41"/>
  <c r="J119" i="41"/>
  <c r="I119" i="41"/>
  <c r="D119" i="41"/>
  <c r="J118" i="41"/>
  <c r="I118" i="41"/>
  <c r="D118" i="41"/>
  <c r="J117" i="41"/>
  <c r="I117" i="41"/>
  <c r="D117" i="41"/>
  <c r="J116" i="41"/>
  <c r="I116" i="41"/>
  <c r="D116" i="41"/>
  <c r="J115" i="41"/>
  <c r="I115" i="41"/>
  <c r="D115" i="41"/>
  <c r="J114" i="41"/>
  <c r="I114" i="41"/>
  <c r="D114" i="41"/>
  <c r="J113" i="41"/>
  <c r="I113" i="41"/>
  <c r="D113" i="41"/>
  <c r="J112" i="41"/>
  <c r="I112" i="41"/>
  <c r="D112" i="41"/>
  <c r="J111" i="41"/>
  <c r="I111" i="41"/>
  <c r="D111" i="41"/>
  <c r="J110" i="41"/>
  <c r="I110" i="41"/>
  <c r="D110" i="41"/>
  <c r="J109" i="41"/>
  <c r="I109" i="41"/>
  <c r="D109" i="41"/>
  <c r="J108" i="41"/>
  <c r="I108" i="41"/>
  <c r="D108" i="41"/>
  <c r="J107" i="41"/>
  <c r="I107" i="41"/>
  <c r="D107" i="41"/>
  <c r="J106" i="41"/>
  <c r="I106" i="41"/>
  <c r="D106" i="41"/>
  <c r="J105" i="41"/>
  <c r="I105" i="41"/>
  <c r="D105" i="41"/>
  <c r="J104" i="41"/>
  <c r="I104" i="41"/>
  <c r="D104" i="41"/>
  <c r="J103" i="41"/>
  <c r="I103" i="41"/>
  <c r="D103" i="41"/>
  <c r="J102" i="41"/>
  <c r="I102" i="41"/>
  <c r="D102" i="41"/>
  <c r="J101" i="41"/>
  <c r="I101" i="41"/>
  <c r="D101" i="41"/>
  <c r="J100" i="41"/>
  <c r="I100" i="41"/>
  <c r="D100" i="41"/>
  <c r="J99" i="41"/>
  <c r="I99" i="41"/>
  <c r="D99" i="41"/>
  <c r="J98" i="41"/>
  <c r="I98" i="41"/>
  <c r="D98" i="41"/>
  <c r="J97" i="41"/>
  <c r="I97" i="41"/>
  <c r="D97" i="41"/>
  <c r="J96" i="41"/>
  <c r="I96" i="41"/>
  <c r="D96" i="41"/>
  <c r="J95" i="41"/>
  <c r="I95" i="41"/>
  <c r="D95" i="41"/>
  <c r="J94" i="41"/>
  <c r="I94" i="41"/>
  <c r="D94" i="41"/>
  <c r="J93" i="41"/>
  <c r="I93" i="41"/>
  <c r="D93" i="41"/>
  <c r="J92" i="41"/>
  <c r="I92" i="41"/>
  <c r="D92" i="41"/>
  <c r="J91" i="41"/>
  <c r="I91" i="41"/>
  <c r="D91" i="41"/>
  <c r="J90" i="41"/>
  <c r="I90" i="41"/>
  <c r="D90" i="41"/>
  <c r="J89" i="41"/>
  <c r="I89" i="41"/>
  <c r="D89" i="41"/>
  <c r="J88" i="41"/>
  <c r="I88" i="41"/>
  <c r="D88" i="41"/>
  <c r="J87" i="41"/>
  <c r="I87" i="41"/>
  <c r="D87" i="41"/>
  <c r="J86" i="41"/>
  <c r="I86" i="41"/>
  <c r="D86" i="41"/>
  <c r="J85" i="41"/>
  <c r="I85" i="41"/>
  <c r="D85" i="41"/>
  <c r="J84" i="41"/>
  <c r="I84" i="41"/>
  <c r="D84" i="41"/>
  <c r="J83" i="41"/>
  <c r="I83" i="41"/>
  <c r="D83" i="41"/>
  <c r="J82" i="41"/>
  <c r="I82" i="41"/>
  <c r="D82" i="41"/>
  <c r="J81" i="41"/>
  <c r="I81" i="41"/>
  <c r="D81" i="41"/>
  <c r="J80" i="41"/>
  <c r="I80" i="41"/>
  <c r="D80" i="41"/>
  <c r="J79" i="41"/>
  <c r="I79" i="41"/>
  <c r="D79" i="41"/>
  <c r="J78" i="41"/>
  <c r="I78" i="41"/>
  <c r="D78" i="41"/>
  <c r="J77" i="41"/>
  <c r="I77" i="41"/>
  <c r="D77" i="41"/>
  <c r="J76" i="41"/>
  <c r="I76" i="41"/>
  <c r="D76" i="41"/>
  <c r="J75" i="41"/>
  <c r="I75" i="41"/>
  <c r="D75" i="41"/>
  <c r="J74" i="41"/>
  <c r="I74" i="41"/>
  <c r="D74" i="41"/>
  <c r="J73" i="41"/>
  <c r="I73" i="41"/>
  <c r="D73" i="41"/>
  <c r="J72" i="41"/>
  <c r="I72" i="41"/>
  <c r="D72" i="41"/>
  <c r="J71" i="41"/>
  <c r="I71" i="41"/>
  <c r="D71" i="41"/>
  <c r="J70" i="41"/>
  <c r="I70" i="41"/>
  <c r="D70" i="41"/>
  <c r="J69" i="41"/>
  <c r="I69" i="41"/>
  <c r="D69" i="41"/>
  <c r="J68" i="41"/>
  <c r="I68" i="41"/>
  <c r="D68" i="41"/>
  <c r="J67" i="41"/>
  <c r="I67" i="41"/>
  <c r="D67" i="41"/>
  <c r="J66" i="41"/>
  <c r="I66" i="41"/>
  <c r="D66" i="41"/>
  <c r="J65" i="41"/>
  <c r="I65" i="41"/>
  <c r="D65" i="41"/>
  <c r="J64" i="41"/>
  <c r="I64" i="41"/>
  <c r="D64" i="41"/>
  <c r="J63" i="41"/>
  <c r="I63" i="41"/>
  <c r="D63" i="41"/>
  <c r="J62" i="41"/>
  <c r="I62" i="41"/>
  <c r="D62" i="41"/>
  <c r="J61" i="41"/>
  <c r="I61" i="41"/>
  <c r="D61" i="41"/>
  <c r="J60" i="41"/>
  <c r="I60" i="41"/>
  <c r="D60" i="41"/>
  <c r="J59" i="41"/>
  <c r="I59" i="41"/>
  <c r="D59" i="41"/>
  <c r="J58" i="41"/>
  <c r="I58" i="41"/>
  <c r="D58" i="41"/>
  <c r="J57" i="41"/>
  <c r="I57" i="41"/>
  <c r="D57" i="41"/>
  <c r="J56" i="41"/>
  <c r="I56" i="41"/>
  <c r="D56" i="41"/>
  <c r="J55" i="41"/>
  <c r="I55" i="41"/>
  <c r="D55" i="41"/>
  <c r="J54" i="41"/>
  <c r="I54" i="41"/>
  <c r="D54" i="41"/>
  <c r="J53" i="41"/>
  <c r="I53" i="41"/>
  <c r="D53" i="41"/>
  <c r="J52" i="41"/>
  <c r="I52" i="41"/>
  <c r="D52" i="41"/>
  <c r="J51" i="41"/>
  <c r="I51" i="41"/>
  <c r="D51" i="41"/>
  <c r="J50" i="41"/>
  <c r="I50" i="41"/>
  <c r="D50" i="41"/>
  <c r="J49" i="41"/>
  <c r="I49" i="41"/>
  <c r="D49" i="41"/>
  <c r="J48" i="41"/>
  <c r="I48" i="41"/>
  <c r="D48" i="41"/>
  <c r="J47" i="41"/>
  <c r="I47" i="41"/>
  <c r="D47" i="41"/>
  <c r="J46" i="41"/>
  <c r="I46" i="41"/>
  <c r="D46" i="41"/>
  <c r="J45" i="41"/>
  <c r="I45" i="41"/>
  <c r="D45" i="41"/>
  <c r="J44" i="41"/>
  <c r="I44" i="41"/>
  <c r="D44" i="41"/>
  <c r="J43" i="41"/>
  <c r="I43" i="41"/>
  <c r="D43" i="41"/>
  <c r="J42" i="41"/>
  <c r="I42" i="41"/>
  <c r="D42" i="41"/>
  <c r="J41" i="41"/>
  <c r="I41" i="41"/>
  <c r="D41" i="41"/>
  <c r="J40" i="41"/>
  <c r="I40" i="41"/>
  <c r="D40" i="41"/>
  <c r="J39" i="41"/>
  <c r="I39" i="41"/>
  <c r="D39" i="41"/>
  <c r="J38" i="41"/>
  <c r="I38" i="41"/>
  <c r="D38" i="41"/>
  <c r="J37" i="41"/>
  <c r="I37" i="41"/>
  <c r="D37" i="41"/>
  <c r="J36" i="41"/>
  <c r="I36" i="41"/>
  <c r="D36" i="41"/>
  <c r="J35" i="41"/>
  <c r="I35" i="41"/>
  <c r="D35" i="41"/>
  <c r="J34" i="41"/>
  <c r="I34" i="41"/>
  <c r="D34" i="41"/>
  <c r="J33" i="41"/>
  <c r="I33" i="41"/>
  <c r="D33" i="41"/>
  <c r="P32" i="41"/>
  <c r="J32" i="41"/>
  <c r="I32" i="41"/>
  <c r="D32" i="41"/>
  <c r="P31" i="41"/>
  <c r="J31" i="41"/>
  <c r="I31" i="41"/>
  <c r="D31" i="41"/>
  <c r="P30" i="41"/>
  <c r="J30" i="41"/>
  <c r="I30" i="41"/>
  <c r="D30" i="41"/>
  <c r="P29" i="41"/>
  <c r="J29" i="41"/>
  <c r="I29" i="41"/>
  <c r="D29" i="41"/>
  <c r="P28" i="41"/>
  <c r="P33" i="41" s="1"/>
  <c r="J28" i="41"/>
  <c r="I28" i="41"/>
  <c r="D28" i="41"/>
  <c r="J27" i="41"/>
  <c r="I27" i="41"/>
  <c r="D27" i="41"/>
  <c r="J26" i="41"/>
  <c r="I26" i="41"/>
  <c r="D26" i="41"/>
  <c r="P25" i="41"/>
  <c r="J25" i="41"/>
  <c r="I25" i="41"/>
  <c r="D25" i="41"/>
  <c r="P24" i="41"/>
  <c r="J24" i="41"/>
  <c r="I24" i="41"/>
  <c r="D24" i="41"/>
  <c r="P23" i="41"/>
  <c r="P26" i="41" s="1"/>
  <c r="J23" i="41"/>
  <c r="I23" i="41"/>
  <c r="D23" i="41"/>
  <c r="P22" i="41"/>
  <c r="J22" i="41"/>
  <c r="I22" i="41"/>
  <c r="D22" i="41"/>
  <c r="P21" i="41"/>
  <c r="J21" i="41"/>
  <c r="I21" i="41"/>
  <c r="D21" i="41"/>
  <c r="J20" i="41"/>
  <c r="I20" i="41"/>
  <c r="D20" i="41"/>
  <c r="M19" i="41"/>
  <c r="J19" i="41"/>
  <c r="I19" i="41"/>
  <c r="D19" i="41"/>
  <c r="J18" i="41"/>
  <c r="I18" i="41"/>
  <c r="D18" i="41"/>
  <c r="J17" i="41"/>
  <c r="I17" i="41"/>
  <c r="D17" i="41"/>
  <c r="J16" i="41"/>
  <c r="I16" i="41"/>
  <c r="D16" i="41"/>
  <c r="J15" i="41"/>
  <c r="I15" i="41"/>
  <c r="D15" i="41"/>
  <c r="J14" i="41"/>
  <c r="I14" i="41"/>
  <c r="D14" i="41"/>
  <c r="J13" i="41"/>
  <c r="I13" i="41"/>
  <c r="D13" i="41"/>
  <c r="J12" i="41"/>
  <c r="I12" i="41"/>
  <c r="D12" i="41"/>
  <c r="J11" i="41"/>
  <c r="I11" i="41"/>
  <c r="D11" i="41"/>
  <c r="J10" i="41"/>
  <c r="I10" i="41"/>
  <c r="D10" i="41"/>
  <c r="J9" i="41"/>
  <c r="I9" i="41"/>
  <c r="D9" i="41"/>
  <c r="J8" i="41"/>
  <c r="I8" i="41"/>
  <c r="D8" i="41"/>
  <c r="J7" i="41"/>
  <c r="I7" i="41"/>
  <c r="D7" i="41"/>
  <c r="J6" i="41"/>
  <c r="I6" i="41"/>
  <c r="D6" i="41"/>
  <c r="B2" i="41" a="1"/>
  <c r="B2" i="41" s="1"/>
  <c r="J488" i="40"/>
  <c r="I488" i="40"/>
  <c r="D488" i="40"/>
  <c r="J487" i="40"/>
  <c r="I487" i="40"/>
  <c r="D487" i="40"/>
  <c r="J486" i="40"/>
  <c r="I486" i="40"/>
  <c r="D486" i="40"/>
  <c r="J485" i="40"/>
  <c r="I485" i="40"/>
  <c r="D485" i="40"/>
  <c r="J484" i="40"/>
  <c r="I484" i="40"/>
  <c r="D484" i="40"/>
  <c r="J483" i="40"/>
  <c r="I483" i="40"/>
  <c r="D483" i="40"/>
  <c r="J482" i="40"/>
  <c r="I482" i="40"/>
  <c r="D482" i="40"/>
  <c r="J481" i="40"/>
  <c r="I481" i="40"/>
  <c r="D481" i="40"/>
  <c r="J480" i="40"/>
  <c r="I480" i="40"/>
  <c r="D480" i="40"/>
  <c r="J479" i="40"/>
  <c r="I479" i="40"/>
  <c r="D479" i="40"/>
  <c r="J478" i="40"/>
  <c r="I478" i="40"/>
  <c r="D478" i="40"/>
  <c r="J477" i="40"/>
  <c r="I477" i="40"/>
  <c r="D477" i="40"/>
  <c r="J476" i="40"/>
  <c r="I476" i="40"/>
  <c r="D476" i="40"/>
  <c r="J475" i="40"/>
  <c r="I475" i="40"/>
  <c r="D475" i="40"/>
  <c r="J474" i="40"/>
  <c r="I474" i="40"/>
  <c r="D474" i="40"/>
  <c r="J473" i="40"/>
  <c r="I473" i="40"/>
  <c r="D473" i="40"/>
  <c r="J472" i="40"/>
  <c r="I472" i="40"/>
  <c r="D472" i="40"/>
  <c r="J471" i="40"/>
  <c r="I471" i="40"/>
  <c r="D471" i="40"/>
  <c r="J470" i="40"/>
  <c r="I470" i="40"/>
  <c r="D470" i="40"/>
  <c r="J469" i="40"/>
  <c r="I469" i="40"/>
  <c r="D469" i="40"/>
  <c r="J468" i="40"/>
  <c r="I468" i="40"/>
  <c r="D468" i="40"/>
  <c r="J467" i="40"/>
  <c r="I467" i="40"/>
  <c r="D467" i="40"/>
  <c r="J466" i="40"/>
  <c r="I466" i="40"/>
  <c r="D466" i="40"/>
  <c r="J465" i="40"/>
  <c r="I465" i="40"/>
  <c r="D465" i="40"/>
  <c r="J464" i="40"/>
  <c r="I464" i="40"/>
  <c r="D464" i="40"/>
  <c r="J463" i="40"/>
  <c r="I463" i="40"/>
  <c r="D463" i="40"/>
  <c r="J462" i="40"/>
  <c r="I462" i="40"/>
  <c r="D462" i="40"/>
  <c r="J461" i="40"/>
  <c r="I461" i="40"/>
  <c r="D461" i="40"/>
  <c r="J460" i="40"/>
  <c r="I460" i="40"/>
  <c r="D460" i="40"/>
  <c r="J459" i="40"/>
  <c r="I459" i="40"/>
  <c r="D459" i="40"/>
  <c r="J458" i="40"/>
  <c r="I458" i="40"/>
  <c r="D458" i="40"/>
  <c r="J457" i="40"/>
  <c r="I457" i="40"/>
  <c r="D457" i="40"/>
  <c r="J456" i="40"/>
  <c r="I456" i="40"/>
  <c r="D456" i="40"/>
  <c r="J455" i="40"/>
  <c r="I455" i="40"/>
  <c r="D455" i="40"/>
  <c r="J454" i="40"/>
  <c r="I454" i="40"/>
  <c r="D454" i="40"/>
  <c r="J453" i="40"/>
  <c r="I453" i="40"/>
  <c r="D453" i="40"/>
  <c r="J452" i="40"/>
  <c r="I452" i="40"/>
  <c r="D452" i="40"/>
  <c r="J451" i="40"/>
  <c r="I451" i="40"/>
  <c r="D451" i="40"/>
  <c r="J450" i="40"/>
  <c r="I450" i="40"/>
  <c r="D450" i="40"/>
  <c r="J449" i="40"/>
  <c r="I449" i="40"/>
  <c r="D449" i="40"/>
  <c r="J448" i="40"/>
  <c r="I448" i="40"/>
  <c r="D448" i="40"/>
  <c r="J447" i="40"/>
  <c r="I447" i="40"/>
  <c r="D447" i="40"/>
  <c r="J446" i="40"/>
  <c r="I446" i="40"/>
  <c r="D446" i="40"/>
  <c r="J445" i="40"/>
  <c r="I445" i="40"/>
  <c r="D445" i="40"/>
  <c r="J444" i="40"/>
  <c r="I444" i="40"/>
  <c r="D444" i="40"/>
  <c r="J443" i="40"/>
  <c r="I443" i="40"/>
  <c r="D443" i="40"/>
  <c r="J442" i="40"/>
  <c r="I442" i="40"/>
  <c r="D442" i="40"/>
  <c r="J441" i="40"/>
  <c r="I441" i="40"/>
  <c r="D441" i="40"/>
  <c r="J440" i="40"/>
  <c r="I440" i="40"/>
  <c r="D440" i="40"/>
  <c r="J439" i="40"/>
  <c r="I439" i="40"/>
  <c r="D439" i="40"/>
  <c r="J438" i="40"/>
  <c r="I438" i="40"/>
  <c r="D438" i="40"/>
  <c r="J437" i="40"/>
  <c r="I437" i="40"/>
  <c r="D437" i="40"/>
  <c r="J436" i="40"/>
  <c r="I436" i="40"/>
  <c r="D436" i="40"/>
  <c r="J435" i="40"/>
  <c r="I435" i="40"/>
  <c r="D435" i="40"/>
  <c r="J434" i="40"/>
  <c r="I434" i="40"/>
  <c r="D434" i="40"/>
  <c r="J433" i="40"/>
  <c r="I433" i="40"/>
  <c r="D433" i="40"/>
  <c r="J432" i="40"/>
  <c r="I432" i="40"/>
  <c r="D432" i="40"/>
  <c r="J431" i="40"/>
  <c r="I431" i="40"/>
  <c r="D431" i="40"/>
  <c r="J430" i="40"/>
  <c r="I430" i="40"/>
  <c r="D430" i="40"/>
  <c r="J429" i="40"/>
  <c r="I429" i="40"/>
  <c r="D429" i="40"/>
  <c r="J428" i="40"/>
  <c r="I428" i="40"/>
  <c r="D428" i="40"/>
  <c r="J427" i="40"/>
  <c r="I427" i="40"/>
  <c r="D427" i="40"/>
  <c r="J426" i="40"/>
  <c r="I426" i="40"/>
  <c r="D426" i="40"/>
  <c r="J425" i="40"/>
  <c r="I425" i="40"/>
  <c r="D425" i="40"/>
  <c r="J424" i="40"/>
  <c r="I424" i="40"/>
  <c r="D424" i="40"/>
  <c r="J423" i="40"/>
  <c r="I423" i="40"/>
  <c r="D423" i="40"/>
  <c r="J422" i="40"/>
  <c r="I422" i="40"/>
  <c r="D422" i="40"/>
  <c r="J421" i="40"/>
  <c r="I421" i="40"/>
  <c r="D421" i="40"/>
  <c r="J420" i="40"/>
  <c r="I420" i="40"/>
  <c r="D420" i="40"/>
  <c r="J419" i="40"/>
  <c r="I419" i="40"/>
  <c r="D419" i="40"/>
  <c r="J418" i="40"/>
  <c r="I418" i="40"/>
  <c r="D418" i="40"/>
  <c r="J417" i="40"/>
  <c r="I417" i="40"/>
  <c r="D417" i="40"/>
  <c r="J416" i="40"/>
  <c r="I416" i="40"/>
  <c r="D416" i="40"/>
  <c r="J415" i="40"/>
  <c r="I415" i="40"/>
  <c r="D415" i="40"/>
  <c r="J414" i="40"/>
  <c r="I414" i="40"/>
  <c r="D414" i="40"/>
  <c r="J413" i="40"/>
  <c r="I413" i="40"/>
  <c r="D413" i="40"/>
  <c r="J412" i="40"/>
  <c r="I412" i="40"/>
  <c r="D412" i="40"/>
  <c r="J411" i="40"/>
  <c r="I411" i="40"/>
  <c r="D411" i="40"/>
  <c r="J410" i="40"/>
  <c r="I410" i="40"/>
  <c r="D410" i="40"/>
  <c r="J409" i="40"/>
  <c r="I409" i="40"/>
  <c r="D409" i="40"/>
  <c r="J408" i="40"/>
  <c r="I408" i="40"/>
  <c r="D408" i="40"/>
  <c r="J407" i="40"/>
  <c r="I407" i="40"/>
  <c r="D407" i="40"/>
  <c r="J406" i="40"/>
  <c r="I406" i="40"/>
  <c r="D406" i="40"/>
  <c r="J405" i="40"/>
  <c r="I405" i="40"/>
  <c r="D405" i="40"/>
  <c r="J404" i="40"/>
  <c r="I404" i="40"/>
  <c r="D404" i="40"/>
  <c r="J403" i="40"/>
  <c r="I403" i="40"/>
  <c r="D403" i="40"/>
  <c r="J402" i="40"/>
  <c r="I402" i="40"/>
  <c r="D402" i="40"/>
  <c r="J401" i="40"/>
  <c r="I401" i="40"/>
  <c r="D401" i="40"/>
  <c r="J400" i="40"/>
  <c r="I400" i="40"/>
  <c r="D400" i="40"/>
  <c r="J399" i="40"/>
  <c r="I399" i="40"/>
  <c r="D399" i="40"/>
  <c r="J398" i="40"/>
  <c r="I398" i="40"/>
  <c r="D398" i="40"/>
  <c r="J397" i="40"/>
  <c r="I397" i="40"/>
  <c r="D397" i="40"/>
  <c r="J396" i="40"/>
  <c r="I396" i="40"/>
  <c r="D396" i="40"/>
  <c r="J395" i="40"/>
  <c r="I395" i="40"/>
  <c r="D395" i="40"/>
  <c r="J394" i="40"/>
  <c r="I394" i="40"/>
  <c r="D394" i="40"/>
  <c r="J393" i="40"/>
  <c r="I393" i="40"/>
  <c r="D393" i="40"/>
  <c r="J392" i="40"/>
  <c r="I392" i="40"/>
  <c r="D392" i="40"/>
  <c r="J391" i="40"/>
  <c r="I391" i="40"/>
  <c r="D391" i="40"/>
  <c r="J390" i="40"/>
  <c r="I390" i="40"/>
  <c r="D390" i="40"/>
  <c r="J389" i="40"/>
  <c r="I389" i="40"/>
  <c r="D389" i="40"/>
  <c r="J388" i="40"/>
  <c r="I388" i="40"/>
  <c r="D388" i="40"/>
  <c r="J387" i="40"/>
  <c r="I387" i="40"/>
  <c r="D387" i="40"/>
  <c r="J386" i="40"/>
  <c r="I386" i="40"/>
  <c r="D386" i="40"/>
  <c r="J385" i="40"/>
  <c r="I385" i="40"/>
  <c r="D385" i="40"/>
  <c r="J384" i="40"/>
  <c r="I384" i="40"/>
  <c r="D384" i="40"/>
  <c r="J383" i="40"/>
  <c r="I383" i="40"/>
  <c r="D383" i="40"/>
  <c r="J382" i="40"/>
  <c r="I382" i="40"/>
  <c r="D382" i="40"/>
  <c r="J381" i="40"/>
  <c r="I381" i="40"/>
  <c r="D381" i="40"/>
  <c r="J380" i="40"/>
  <c r="I380" i="40"/>
  <c r="D380" i="40"/>
  <c r="J379" i="40"/>
  <c r="I379" i="40"/>
  <c r="D379" i="40"/>
  <c r="J378" i="40"/>
  <c r="I378" i="40"/>
  <c r="D378" i="40"/>
  <c r="J377" i="40"/>
  <c r="I377" i="40"/>
  <c r="D377" i="40"/>
  <c r="J376" i="40"/>
  <c r="I376" i="40"/>
  <c r="D376" i="40"/>
  <c r="J375" i="40"/>
  <c r="I375" i="40"/>
  <c r="D375" i="40"/>
  <c r="J374" i="40"/>
  <c r="I374" i="40"/>
  <c r="D374" i="40"/>
  <c r="J373" i="40"/>
  <c r="I373" i="40"/>
  <c r="D373" i="40"/>
  <c r="J372" i="40"/>
  <c r="I372" i="40"/>
  <c r="D372" i="40"/>
  <c r="J371" i="40"/>
  <c r="I371" i="40"/>
  <c r="D371" i="40"/>
  <c r="J370" i="40"/>
  <c r="I370" i="40"/>
  <c r="D370" i="40"/>
  <c r="J369" i="40"/>
  <c r="I369" i="40"/>
  <c r="D369" i="40"/>
  <c r="J368" i="40"/>
  <c r="I368" i="40"/>
  <c r="D368" i="40"/>
  <c r="J367" i="40"/>
  <c r="I367" i="40"/>
  <c r="D367" i="40"/>
  <c r="J366" i="40"/>
  <c r="I366" i="40"/>
  <c r="D366" i="40"/>
  <c r="J365" i="40"/>
  <c r="I365" i="40"/>
  <c r="D365" i="40"/>
  <c r="J364" i="40"/>
  <c r="I364" i="40"/>
  <c r="D364" i="40"/>
  <c r="J363" i="40"/>
  <c r="I363" i="40"/>
  <c r="D363" i="40"/>
  <c r="J362" i="40"/>
  <c r="I362" i="40"/>
  <c r="D362" i="40"/>
  <c r="J361" i="40"/>
  <c r="I361" i="40"/>
  <c r="D361" i="40"/>
  <c r="J360" i="40"/>
  <c r="I360" i="40"/>
  <c r="D360" i="40"/>
  <c r="J359" i="40"/>
  <c r="I359" i="40"/>
  <c r="D359" i="40"/>
  <c r="J358" i="40"/>
  <c r="I358" i="40"/>
  <c r="D358" i="40"/>
  <c r="J357" i="40"/>
  <c r="I357" i="40"/>
  <c r="D357" i="40"/>
  <c r="J356" i="40"/>
  <c r="I356" i="40"/>
  <c r="D356" i="40"/>
  <c r="J355" i="40"/>
  <c r="I355" i="40"/>
  <c r="D355" i="40"/>
  <c r="J354" i="40"/>
  <c r="I354" i="40"/>
  <c r="D354" i="40"/>
  <c r="J353" i="40"/>
  <c r="I353" i="40"/>
  <c r="D353" i="40"/>
  <c r="J352" i="40"/>
  <c r="I352" i="40"/>
  <c r="D352" i="40"/>
  <c r="J351" i="40"/>
  <c r="I351" i="40"/>
  <c r="D351" i="40"/>
  <c r="J350" i="40"/>
  <c r="I350" i="40"/>
  <c r="D350" i="40"/>
  <c r="J349" i="40"/>
  <c r="I349" i="40"/>
  <c r="D349" i="40"/>
  <c r="J348" i="40"/>
  <c r="I348" i="40"/>
  <c r="D348" i="40"/>
  <c r="J347" i="40"/>
  <c r="I347" i="40"/>
  <c r="D347" i="40"/>
  <c r="J346" i="40"/>
  <c r="I346" i="40"/>
  <c r="D346" i="40"/>
  <c r="J345" i="40"/>
  <c r="I345" i="40"/>
  <c r="D345" i="40"/>
  <c r="J344" i="40"/>
  <c r="I344" i="40"/>
  <c r="D344" i="40"/>
  <c r="J343" i="40"/>
  <c r="I343" i="40"/>
  <c r="D343" i="40"/>
  <c r="J342" i="40"/>
  <c r="I342" i="40"/>
  <c r="D342" i="40"/>
  <c r="J341" i="40"/>
  <c r="I341" i="40"/>
  <c r="D341" i="40"/>
  <c r="J340" i="40"/>
  <c r="I340" i="40"/>
  <c r="D340" i="40"/>
  <c r="J339" i="40"/>
  <c r="I339" i="40"/>
  <c r="D339" i="40"/>
  <c r="J338" i="40"/>
  <c r="I338" i="40"/>
  <c r="D338" i="40"/>
  <c r="J337" i="40"/>
  <c r="I337" i="40"/>
  <c r="D337" i="40"/>
  <c r="J336" i="40"/>
  <c r="I336" i="40"/>
  <c r="D336" i="40"/>
  <c r="J335" i="40"/>
  <c r="I335" i="40"/>
  <c r="D335" i="40"/>
  <c r="J334" i="40"/>
  <c r="I334" i="40"/>
  <c r="D334" i="40"/>
  <c r="J333" i="40"/>
  <c r="I333" i="40"/>
  <c r="D333" i="40"/>
  <c r="J332" i="40"/>
  <c r="I332" i="40"/>
  <c r="D332" i="40"/>
  <c r="J331" i="40"/>
  <c r="I331" i="40"/>
  <c r="D331" i="40"/>
  <c r="J330" i="40"/>
  <c r="I330" i="40"/>
  <c r="D330" i="40"/>
  <c r="J329" i="40"/>
  <c r="I329" i="40"/>
  <c r="D329" i="40"/>
  <c r="J328" i="40"/>
  <c r="I328" i="40"/>
  <c r="D328" i="40"/>
  <c r="J327" i="40"/>
  <c r="I327" i="40"/>
  <c r="D327" i="40"/>
  <c r="J326" i="40"/>
  <c r="I326" i="40"/>
  <c r="D326" i="40"/>
  <c r="J325" i="40"/>
  <c r="I325" i="40"/>
  <c r="D325" i="40"/>
  <c r="J324" i="40"/>
  <c r="I324" i="40"/>
  <c r="D324" i="40"/>
  <c r="J323" i="40"/>
  <c r="I323" i="40"/>
  <c r="D323" i="40"/>
  <c r="J322" i="40"/>
  <c r="I322" i="40"/>
  <c r="D322" i="40"/>
  <c r="J321" i="40"/>
  <c r="I321" i="40"/>
  <c r="D321" i="40"/>
  <c r="J320" i="40"/>
  <c r="I320" i="40"/>
  <c r="D320" i="40"/>
  <c r="J319" i="40"/>
  <c r="I319" i="40"/>
  <c r="D319" i="40"/>
  <c r="J318" i="40"/>
  <c r="I318" i="40"/>
  <c r="D318" i="40"/>
  <c r="J317" i="40"/>
  <c r="I317" i="40"/>
  <c r="D317" i="40"/>
  <c r="J316" i="40"/>
  <c r="I316" i="40"/>
  <c r="D316" i="40"/>
  <c r="J315" i="40"/>
  <c r="I315" i="40"/>
  <c r="D315" i="40"/>
  <c r="J314" i="40"/>
  <c r="I314" i="40"/>
  <c r="D314" i="40"/>
  <c r="J313" i="40"/>
  <c r="I313" i="40"/>
  <c r="D313" i="40"/>
  <c r="J312" i="40"/>
  <c r="I312" i="40"/>
  <c r="D312" i="40"/>
  <c r="J311" i="40"/>
  <c r="I311" i="40"/>
  <c r="D311" i="40"/>
  <c r="J310" i="40"/>
  <c r="I310" i="40"/>
  <c r="D310" i="40"/>
  <c r="J309" i="40"/>
  <c r="I309" i="40"/>
  <c r="D309" i="40"/>
  <c r="J308" i="40"/>
  <c r="I308" i="40"/>
  <c r="D308" i="40"/>
  <c r="J307" i="40"/>
  <c r="I307" i="40"/>
  <c r="D307" i="40"/>
  <c r="J306" i="40"/>
  <c r="I306" i="40"/>
  <c r="D306" i="40"/>
  <c r="J305" i="40"/>
  <c r="I305" i="40"/>
  <c r="D305" i="40"/>
  <c r="J304" i="40"/>
  <c r="I304" i="40"/>
  <c r="D304" i="40"/>
  <c r="J303" i="40"/>
  <c r="I303" i="40"/>
  <c r="D303" i="40"/>
  <c r="J302" i="40"/>
  <c r="I302" i="40"/>
  <c r="D302" i="40"/>
  <c r="J301" i="40"/>
  <c r="I301" i="40"/>
  <c r="D301" i="40"/>
  <c r="J300" i="40"/>
  <c r="I300" i="40"/>
  <c r="D300" i="40"/>
  <c r="J299" i="40"/>
  <c r="I299" i="40"/>
  <c r="D299" i="40"/>
  <c r="J298" i="40"/>
  <c r="I298" i="40"/>
  <c r="D298" i="40"/>
  <c r="J297" i="40"/>
  <c r="I297" i="40"/>
  <c r="D297" i="40"/>
  <c r="J296" i="40"/>
  <c r="I296" i="40"/>
  <c r="D296" i="40"/>
  <c r="J295" i="40"/>
  <c r="I295" i="40"/>
  <c r="D295" i="40"/>
  <c r="J294" i="40"/>
  <c r="I294" i="40"/>
  <c r="D294" i="40"/>
  <c r="J293" i="40"/>
  <c r="I293" i="40"/>
  <c r="D293" i="40"/>
  <c r="J292" i="40"/>
  <c r="I292" i="40"/>
  <c r="D292" i="40"/>
  <c r="J291" i="40"/>
  <c r="I291" i="40"/>
  <c r="D291" i="40"/>
  <c r="J290" i="40"/>
  <c r="I290" i="40"/>
  <c r="D290" i="40"/>
  <c r="J289" i="40"/>
  <c r="I289" i="40"/>
  <c r="D289" i="40"/>
  <c r="J288" i="40"/>
  <c r="I288" i="40"/>
  <c r="D288" i="40"/>
  <c r="J287" i="40"/>
  <c r="I287" i="40"/>
  <c r="D287" i="40"/>
  <c r="J286" i="40"/>
  <c r="I286" i="40"/>
  <c r="D286" i="40"/>
  <c r="J285" i="40"/>
  <c r="I285" i="40"/>
  <c r="D285" i="40"/>
  <c r="J284" i="40"/>
  <c r="I284" i="40"/>
  <c r="D284" i="40"/>
  <c r="J283" i="40"/>
  <c r="I283" i="40"/>
  <c r="D283" i="40"/>
  <c r="J282" i="40"/>
  <c r="I282" i="40"/>
  <c r="D282" i="40"/>
  <c r="J281" i="40"/>
  <c r="I281" i="40"/>
  <c r="D281" i="40"/>
  <c r="J280" i="40"/>
  <c r="I280" i="40"/>
  <c r="D280" i="40"/>
  <c r="J279" i="40"/>
  <c r="I279" i="40"/>
  <c r="D279" i="40"/>
  <c r="J278" i="40"/>
  <c r="I278" i="40"/>
  <c r="D278" i="40"/>
  <c r="J277" i="40"/>
  <c r="I277" i="40"/>
  <c r="D277" i="40"/>
  <c r="J276" i="40"/>
  <c r="I276" i="40"/>
  <c r="D276" i="40"/>
  <c r="J275" i="40"/>
  <c r="I275" i="40"/>
  <c r="D275" i="40"/>
  <c r="J274" i="40"/>
  <c r="I274" i="40"/>
  <c r="D274" i="40"/>
  <c r="J273" i="40"/>
  <c r="I273" i="40"/>
  <c r="D273" i="40"/>
  <c r="J272" i="40"/>
  <c r="I272" i="40"/>
  <c r="D272" i="40"/>
  <c r="J271" i="40"/>
  <c r="I271" i="40"/>
  <c r="D271" i="40"/>
  <c r="J270" i="40"/>
  <c r="I270" i="40"/>
  <c r="D270" i="40"/>
  <c r="J269" i="40"/>
  <c r="I269" i="40"/>
  <c r="D269" i="40"/>
  <c r="J268" i="40"/>
  <c r="I268" i="40"/>
  <c r="D268" i="40"/>
  <c r="J267" i="40"/>
  <c r="I267" i="40"/>
  <c r="D267" i="40"/>
  <c r="J266" i="40"/>
  <c r="I266" i="40"/>
  <c r="D266" i="40"/>
  <c r="J265" i="40"/>
  <c r="I265" i="40"/>
  <c r="D265" i="40"/>
  <c r="J264" i="40"/>
  <c r="I264" i="40"/>
  <c r="D264" i="40"/>
  <c r="J263" i="40"/>
  <c r="I263" i="40"/>
  <c r="D263" i="40"/>
  <c r="J262" i="40"/>
  <c r="I262" i="40"/>
  <c r="D262" i="40"/>
  <c r="J261" i="40"/>
  <c r="I261" i="40"/>
  <c r="D261" i="40"/>
  <c r="J260" i="40"/>
  <c r="I260" i="40"/>
  <c r="D260" i="40"/>
  <c r="J259" i="40"/>
  <c r="I259" i="40"/>
  <c r="D259" i="40"/>
  <c r="J258" i="40"/>
  <c r="I258" i="40"/>
  <c r="D258" i="40"/>
  <c r="J257" i="40"/>
  <c r="I257" i="40"/>
  <c r="D257" i="40"/>
  <c r="J256" i="40"/>
  <c r="I256" i="40"/>
  <c r="D256" i="40"/>
  <c r="J255" i="40"/>
  <c r="I255" i="40"/>
  <c r="D255" i="40"/>
  <c r="J254" i="40"/>
  <c r="I254" i="40"/>
  <c r="D254" i="40"/>
  <c r="J253" i="40"/>
  <c r="I253" i="40"/>
  <c r="D253" i="40"/>
  <c r="J252" i="40"/>
  <c r="I252" i="40"/>
  <c r="D252" i="40"/>
  <c r="J251" i="40"/>
  <c r="I251" i="40"/>
  <c r="D251" i="40"/>
  <c r="J250" i="40"/>
  <c r="I250" i="40"/>
  <c r="D250" i="40"/>
  <c r="J249" i="40"/>
  <c r="I249" i="40"/>
  <c r="D249" i="40"/>
  <c r="J248" i="40"/>
  <c r="I248" i="40"/>
  <c r="D248" i="40"/>
  <c r="J247" i="40"/>
  <c r="I247" i="40"/>
  <c r="D247" i="40"/>
  <c r="J246" i="40"/>
  <c r="I246" i="40"/>
  <c r="D246" i="40"/>
  <c r="J245" i="40"/>
  <c r="I245" i="40"/>
  <c r="D245" i="40"/>
  <c r="J244" i="40"/>
  <c r="I244" i="40"/>
  <c r="D244" i="40"/>
  <c r="J243" i="40"/>
  <c r="I243" i="40"/>
  <c r="D243" i="40"/>
  <c r="J242" i="40"/>
  <c r="I242" i="40"/>
  <c r="D242" i="40"/>
  <c r="J241" i="40"/>
  <c r="I241" i="40"/>
  <c r="D241" i="40"/>
  <c r="J240" i="40"/>
  <c r="I240" i="40"/>
  <c r="D240" i="40"/>
  <c r="J239" i="40"/>
  <c r="I239" i="40"/>
  <c r="D239" i="40"/>
  <c r="J238" i="40"/>
  <c r="I238" i="40"/>
  <c r="D238" i="40"/>
  <c r="J237" i="40"/>
  <c r="I237" i="40"/>
  <c r="D237" i="40"/>
  <c r="J236" i="40"/>
  <c r="I236" i="40"/>
  <c r="D236" i="40"/>
  <c r="J235" i="40"/>
  <c r="I235" i="40"/>
  <c r="D235" i="40"/>
  <c r="J234" i="40"/>
  <c r="I234" i="40"/>
  <c r="D234" i="40"/>
  <c r="J233" i="40"/>
  <c r="I233" i="40"/>
  <c r="D233" i="40"/>
  <c r="J232" i="40"/>
  <c r="I232" i="40"/>
  <c r="D232" i="40"/>
  <c r="J231" i="40"/>
  <c r="I231" i="40"/>
  <c r="D231" i="40"/>
  <c r="J230" i="40"/>
  <c r="I230" i="40"/>
  <c r="D230" i="40"/>
  <c r="J229" i="40"/>
  <c r="I229" i="40"/>
  <c r="D229" i="40"/>
  <c r="J228" i="40"/>
  <c r="I228" i="40"/>
  <c r="D228" i="40"/>
  <c r="J227" i="40"/>
  <c r="I227" i="40"/>
  <c r="D227" i="40"/>
  <c r="J226" i="40"/>
  <c r="I226" i="40"/>
  <c r="D226" i="40"/>
  <c r="J225" i="40"/>
  <c r="I225" i="40"/>
  <c r="D225" i="40"/>
  <c r="J224" i="40"/>
  <c r="I224" i="40"/>
  <c r="D224" i="40"/>
  <c r="J223" i="40"/>
  <c r="I223" i="40"/>
  <c r="D223" i="40"/>
  <c r="J222" i="40"/>
  <c r="I222" i="40"/>
  <c r="D222" i="40"/>
  <c r="J221" i="40"/>
  <c r="I221" i="40"/>
  <c r="D221" i="40"/>
  <c r="J220" i="40"/>
  <c r="I220" i="40"/>
  <c r="D220" i="40"/>
  <c r="J219" i="40"/>
  <c r="I219" i="40"/>
  <c r="D219" i="40"/>
  <c r="J218" i="40"/>
  <c r="I218" i="40"/>
  <c r="D218" i="40"/>
  <c r="J217" i="40"/>
  <c r="I217" i="40"/>
  <c r="D217" i="40"/>
  <c r="J216" i="40"/>
  <c r="I216" i="40"/>
  <c r="D216" i="40"/>
  <c r="J215" i="40"/>
  <c r="I215" i="40"/>
  <c r="D215" i="40"/>
  <c r="J214" i="40"/>
  <c r="I214" i="40"/>
  <c r="D214" i="40"/>
  <c r="J213" i="40"/>
  <c r="I213" i="40"/>
  <c r="D213" i="40"/>
  <c r="J212" i="40"/>
  <c r="I212" i="40"/>
  <c r="D212" i="40"/>
  <c r="J211" i="40"/>
  <c r="I211" i="40"/>
  <c r="D211" i="40"/>
  <c r="J210" i="40"/>
  <c r="I210" i="40"/>
  <c r="D210" i="40"/>
  <c r="J209" i="40"/>
  <c r="I209" i="40"/>
  <c r="D209" i="40"/>
  <c r="J208" i="40"/>
  <c r="I208" i="40"/>
  <c r="D208" i="40"/>
  <c r="J207" i="40"/>
  <c r="I207" i="40"/>
  <c r="D207" i="40"/>
  <c r="J206" i="40"/>
  <c r="I206" i="40"/>
  <c r="D206" i="40"/>
  <c r="J205" i="40"/>
  <c r="I205" i="40"/>
  <c r="D205" i="40"/>
  <c r="J204" i="40"/>
  <c r="I204" i="40"/>
  <c r="D204" i="40"/>
  <c r="J203" i="40"/>
  <c r="I203" i="40"/>
  <c r="D203" i="40"/>
  <c r="J202" i="40"/>
  <c r="I202" i="40"/>
  <c r="D202" i="40"/>
  <c r="J201" i="40"/>
  <c r="I201" i="40"/>
  <c r="D201" i="40"/>
  <c r="J200" i="40"/>
  <c r="I200" i="40"/>
  <c r="D200" i="40"/>
  <c r="J199" i="40"/>
  <c r="I199" i="40"/>
  <c r="D199" i="40"/>
  <c r="J198" i="40"/>
  <c r="I198" i="40"/>
  <c r="D198" i="40"/>
  <c r="J197" i="40"/>
  <c r="I197" i="40"/>
  <c r="D197" i="40"/>
  <c r="J196" i="40"/>
  <c r="I196" i="40"/>
  <c r="D196" i="40"/>
  <c r="J195" i="40"/>
  <c r="I195" i="40"/>
  <c r="D195" i="40"/>
  <c r="J194" i="40"/>
  <c r="I194" i="40"/>
  <c r="D194" i="40"/>
  <c r="J193" i="40"/>
  <c r="I193" i="40"/>
  <c r="D193" i="40"/>
  <c r="J192" i="40"/>
  <c r="I192" i="40"/>
  <c r="D192" i="40"/>
  <c r="J191" i="40"/>
  <c r="I191" i="40"/>
  <c r="D191" i="40"/>
  <c r="J190" i="40"/>
  <c r="I190" i="40"/>
  <c r="D190" i="40"/>
  <c r="J189" i="40"/>
  <c r="I189" i="40"/>
  <c r="D189" i="40"/>
  <c r="J188" i="40"/>
  <c r="I188" i="40"/>
  <c r="D188" i="40"/>
  <c r="J187" i="40"/>
  <c r="I187" i="40"/>
  <c r="D187" i="40"/>
  <c r="J186" i="40"/>
  <c r="I186" i="40"/>
  <c r="D186" i="40"/>
  <c r="J185" i="40"/>
  <c r="I185" i="40"/>
  <c r="D185" i="40"/>
  <c r="J184" i="40"/>
  <c r="I184" i="40"/>
  <c r="D184" i="40"/>
  <c r="J183" i="40"/>
  <c r="I183" i="40"/>
  <c r="D183" i="40"/>
  <c r="J182" i="40"/>
  <c r="I182" i="40"/>
  <c r="D182" i="40"/>
  <c r="J181" i="40"/>
  <c r="I181" i="40"/>
  <c r="D181" i="40"/>
  <c r="J180" i="40"/>
  <c r="I180" i="40"/>
  <c r="D180" i="40"/>
  <c r="J179" i="40"/>
  <c r="I179" i="40"/>
  <c r="D179" i="40"/>
  <c r="J178" i="40"/>
  <c r="I178" i="40"/>
  <c r="D178" i="40"/>
  <c r="J177" i="40"/>
  <c r="I177" i="40"/>
  <c r="D177" i="40"/>
  <c r="J176" i="40"/>
  <c r="I176" i="40"/>
  <c r="D176" i="40"/>
  <c r="J175" i="40"/>
  <c r="I175" i="40"/>
  <c r="D175" i="40"/>
  <c r="J174" i="40"/>
  <c r="I174" i="40"/>
  <c r="D174" i="40"/>
  <c r="J173" i="40"/>
  <c r="I173" i="40"/>
  <c r="D173" i="40"/>
  <c r="J172" i="40"/>
  <c r="I172" i="40"/>
  <c r="D172" i="40"/>
  <c r="J171" i="40"/>
  <c r="I171" i="40"/>
  <c r="D171" i="40"/>
  <c r="J170" i="40"/>
  <c r="I170" i="40"/>
  <c r="D170" i="40"/>
  <c r="J169" i="40"/>
  <c r="I169" i="40"/>
  <c r="D169" i="40"/>
  <c r="J168" i="40"/>
  <c r="I168" i="40"/>
  <c r="D168" i="40"/>
  <c r="J167" i="40"/>
  <c r="I167" i="40"/>
  <c r="D167" i="40"/>
  <c r="J166" i="40"/>
  <c r="I166" i="40"/>
  <c r="D166" i="40"/>
  <c r="J165" i="40"/>
  <c r="I165" i="40"/>
  <c r="D165" i="40"/>
  <c r="J164" i="40"/>
  <c r="I164" i="40"/>
  <c r="D164" i="40"/>
  <c r="J163" i="40"/>
  <c r="I163" i="40"/>
  <c r="D163" i="40"/>
  <c r="J162" i="40"/>
  <c r="I162" i="40"/>
  <c r="D162" i="40"/>
  <c r="J161" i="40"/>
  <c r="I161" i="40"/>
  <c r="D161" i="40"/>
  <c r="J160" i="40"/>
  <c r="I160" i="40"/>
  <c r="D160" i="40"/>
  <c r="J159" i="40"/>
  <c r="I159" i="40"/>
  <c r="D159" i="40"/>
  <c r="J158" i="40"/>
  <c r="I158" i="40"/>
  <c r="D158" i="40"/>
  <c r="J157" i="40"/>
  <c r="I157" i="40"/>
  <c r="D157" i="40"/>
  <c r="J156" i="40"/>
  <c r="I156" i="40"/>
  <c r="D156" i="40"/>
  <c r="J155" i="40"/>
  <c r="I155" i="40"/>
  <c r="D155" i="40"/>
  <c r="J154" i="40"/>
  <c r="I154" i="40"/>
  <c r="D154" i="40"/>
  <c r="J153" i="40"/>
  <c r="I153" i="40"/>
  <c r="D153" i="40"/>
  <c r="J152" i="40"/>
  <c r="I152" i="40"/>
  <c r="D152" i="40"/>
  <c r="J151" i="40"/>
  <c r="I151" i="40"/>
  <c r="D151" i="40"/>
  <c r="J150" i="40"/>
  <c r="I150" i="40"/>
  <c r="D150" i="40"/>
  <c r="J149" i="40"/>
  <c r="I149" i="40"/>
  <c r="D149" i="40"/>
  <c r="J148" i="40"/>
  <c r="I148" i="40"/>
  <c r="D148" i="40"/>
  <c r="J147" i="40"/>
  <c r="I147" i="40"/>
  <c r="D147" i="40"/>
  <c r="J146" i="40"/>
  <c r="I146" i="40"/>
  <c r="D146" i="40"/>
  <c r="J145" i="40"/>
  <c r="I145" i="40"/>
  <c r="D145" i="40"/>
  <c r="J144" i="40"/>
  <c r="I144" i="40"/>
  <c r="D144" i="40"/>
  <c r="J143" i="40"/>
  <c r="I143" i="40"/>
  <c r="D143" i="40"/>
  <c r="J142" i="40"/>
  <c r="I142" i="40"/>
  <c r="D142" i="40"/>
  <c r="J141" i="40"/>
  <c r="I141" i="40"/>
  <c r="D141" i="40"/>
  <c r="J140" i="40"/>
  <c r="I140" i="40"/>
  <c r="D140" i="40"/>
  <c r="J139" i="40"/>
  <c r="I139" i="40"/>
  <c r="D139" i="40"/>
  <c r="J138" i="40"/>
  <c r="I138" i="40"/>
  <c r="D138" i="40"/>
  <c r="J137" i="40"/>
  <c r="I137" i="40"/>
  <c r="D137" i="40"/>
  <c r="J136" i="40"/>
  <c r="I136" i="40"/>
  <c r="D136" i="40"/>
  <c r="J135" i="40"/>
  <c r="I135" i="40"/>
  <c r="D135" i="40"/>
  <c r="J134" i="40"/>
  <c r="I134" i="40"/>
  <c r="D134" i="40"/>
  <c r="J133" i="40"/>
  <c r="I133" i="40"/>
  <c r="D133" i="40"/>
  <c r="J132" i="40"/>
  <c r="I132" i="40"/>
  <c r="D132" i="40"/>
  <c r="J131" i="40"/>
  <c r="I131" i="40"/>
  <c r="D131" i="40"/>
  <c r="J130" i="40"/>
  <c r="I130" i="40"/>
  <c r="D130" i="40"/>
  <c r="J129" i="40"/>
  <c r="I129" i="40"/>
  <c r="D129" i="40"/>
  <c r="J128" i="40"/>
  <c r="I128" i="40"/>
  <c r="D128" i="40"/>
  <c r="J127" i="40"/>
  <c r="I127" i="40"/>
  <c r="D127" i="40"/>
  <c r="J126" i="40"/>
  <c r="I126" i="40"/>
  <c r="D126" i="40"/>
  <c r="J125" i="40"/>
  <c r="I125" i="40"/>
  <c r="D125" i="40"/>
  <c r="J124" i="40"/>
  <c r="I124" i="40"/>
  <c r="D124" i="40"/>
  <c r="J123" i="40"/>
  <c r="I123" i="40"/>
  <c r="D123" i="40"/>
  <c r="J122" i="40"/>
  <c r="I122" i="40"/>
  <c r="D122" i="40"/>
  <c r="J121" i="40"/>
  <c r="I121" i="40"/>
  <c r="D121" i="40"/>
  <c r="J120" i="40"/>
  <c r="I120" i="40"/>
  <c r="D120" i="40"/>
  <c r="J119" i="40"/>
  <c r="I119" i="40"/>
  <c r="D119" i="40"/>
  <c r="J118" i="40"/>
  <c r="I118" i="40"/>
  <c r="D118" i="40"/>
  <c r="J117" i="40"/>
  <c r="I117" i="40"/>
  <c r="D117" i="40"/>
  <c r="J116" i="40"/>
  <c r="I116" i="40"/>
  <c r="D116" i="40"/>
  <c r="J115" i="40"/>
  <c r="I115" i="40"/>
  <c r="D115" i="40"/>
  <c r="J114" i="40"/>
  <c r="I114" i="40"/>
  <c r="D114" i="40"/>
  <c r="J113" i="40"/>
  <c r="I113" i="40"/>
  <c r="D113" i="40"/>
  <c r="J112" i="40"/>
  <c r="I112" i="40"/>
  <c r="D112" i="40"/>
  <c r="J111" i="40"/>
  <c r="I111" i="40"/>
  <c r="D111" i="40"/>
  <c r="J110" i="40"/>
  <c r="I110" i="40"/>
  <c r="D110" i="40"/>
  <c r="J109" i="40"/>
  <c r="I109" i="40"/>
  <c r="D109" i="40"/>
  <c r="J108" i="40"/>
  <c r="I108" i="40"/>
  <c r="D108" i="40"/>
  <c r="J107" i="40"/>
  <c r="I107" i="40"/>
  <c r="D107" i="40"/>
  <c r="J106" i="40"/>
  <c r="I106" i="40"/>
  <c r="D106" i="40"/>
  <c r="J105" i="40"/>
  <c r="I105" i="40"/>
  <c r="D105" i="40"/>
  <c r="J104" i="40"/>
  <c r="I104" i="40"/>
  <c r="D104" i="40"/>
  <c r="J103" i="40"/>
  <c r="I103" i="40"/>
  <c r="D103" i="40"/>
  <c r="J102" i="40"/>
  <c r="I102" i="40"/>
  <c r="D102" i="40"/>
  <c r="J101" i="40"/>
  <c r="I101" i="40"/>
  <c r="D101" i="40"/>
  <c r="J100" i="40"/>
  <c r="I100" i="40"/>
  <c r="D100" i="40"/>
  <c r="J99" i="40"/>
  <c r="I99" i="40"/>
  <c r="D99" i="40"/>
  <c r="J98" i="40"/>
  <c r="I98" i="40"/>
  <c r="D98" i="40"/>
  <c r="J97" i="40"/>
  <c r="I97" i="40"/>
  <c r="D97" i="40"/>
  <c r="J96" i="40"/>
  <c r="I96" i="40"/>
  <c r="D96" i="40"/>
  <c r="J95" i="40"/>
  <c r="I95" i="40"/>
  <c r="D95" i="40"/>
  <c r="J94" i="40"/>
  <c r="I94" i="40"/>
  <c r="D94" i="40"/>
  <c r="J93" i="40"/>
  <c r="I93" i="40"/>
  <c r="D93" i="40"/>
  <c r="J92" i="40"/>
  <c r="I92" i="40"/>
  <c r="D92" i="40"/>
  <c r="J91" i="40"/>
  <c r="I91" i="40"/>
  <c r="D91" i="40"/>
  <c r="J90" i="40"/>
  <c r="I90" i="40"/>
  <c r="D90" i="40"/>
  <c r="J89" i="40"/>
  <c r="I89" i="40"/>
  <c r="D89" i="40"/>
  <c r="J88" i="40"/>
  <c r="I88" i="40"/>
  <c r="D88" i="40"/>
  <c r="J87" i="40"/>
  <c r="I87" i="40"/>
  <c r="D87" i="40"/>
  <c r="J86" i="40"/>
  <c r="I86" i="40"/>
  <c r="D86" i="40"/>
  <c r="J85" i="40"/>
  <c r="I85" i="40"/>
  <c r="D85" i="40"/>
  <c r="J84" i="40"/>
  <c r="I84" i="40"/>
  <c r="D84" i="40"/>
  <c r="J83" i="40"/>
  <c r="I83" i="40"/>
  <c r="D83" i="40"/>
  <c r="J82" i="40"/>
  <c r="I82" i="40"/>
  <c r="D82" i="40"/>
  <c r="J81" i="40"/>
  <c r="I81" i="40"/>
  <c r="D81" i="40"/>
  <c r="J80" i="40"/>
  <c r="I80" i="40"/>
  <c r="D80" i="40"/>
  <c r="J79" i="40"/>
  <c r="I79" i="40"/>
  <c r="D79" i="40"/>
  <c r="J78" i="40"/>
  <c r="I78" i="40"/>
  <c r="D78" i="40"/>
  <c r="J77" i="40"/>
  <c r="I77" i="40"/>
  <c r="D77" i="40"/>
  <c r="J76" i="40"/>
  <c r="I76" i="40"/>
  <c r="D76" i="40"/>
  <c r="J75" i="40"/>
  <c r="I75" i="40"/>
  <c r="D75" i="40"/>
  <c r="J74" i="40"/>
  <c r="I74" i="40"/>
  <c r="D74" i="40"/>
  <c r="J73" i="40"/>
  <c r="I73" i="40"/>
  <c r="D73" i="40"/>
  <c r="J72" i="40"/>
  <c r="I72" i="40"/>
  <c r="D72" i="40"/>
  <c r="J71" i="40"/>
  <c r="I71" i="40"/>
  <c r="D71" i="40"/>
  <c r="J70" i="40"/>
  <c r="I70" i="40"/>
  <c r="D70" i="40"/>
  <c r="J69" i="40"/>
  <c r="I69" i="40"/>
  <c r="D69" i="40"/>
  <c r="J68" i="40"/>
  <c r="I68" i="40"/>
  <c r="D68" i="40"/>
  <c r="J67" i="40"/>
  <c r="I67" i="40"/>
  <c r="D67" i="40"/>
  <c r="J66" i="40"/>
  <c r="I66" i="40"/>
  <c r="D66" i="40"/>
  <c r="J65" i="40"/>
  <c r="I65" i="40"/>
  <c r="D65" i="40"/>
  <c r="J64" i="40"/>
  <c r="I64" i="40"/>
  <c r="D64" i="40"/>
  <c r="J63" i="40"/>
  <c r="I63" i="40"/>
  <c r="D63" i="40"/>
  <c r="J62" i="40"/>
  <c r="I62" i="40"/>
  <c r="D62" i="40"/>
  <c r="J61" i="40"/>
  <c r="I61" i="40"/>
  <c r="D61" i="40"/>
  <c r="J60" i="40"/>
  <c r="I60" i="40"/>
  <c r="D60" i="40"/>
  <c r="J59" i="40"/>
  <c r="I59" i="40"/>
  <c r="D59" i="40"/>
  <c r="J58" i="40"/>
  <c r="I58" i="40"/>
  <c r="D58" i="40"/>
  <c r="J57" i="40"/>
  <c r="I57" i="40"/>
  <c r="D57" i="40"/>
  <c r="J56" i="40"/>
  <c r="I56" i="40"/>
  <c r="D56" i="40"/>
  <c r="J55" i="40"/>
  <c r="I55" i="40"/>
  <c r="D55" i="40"/>
  <c r="J54" i="40"/>
  <c r="I54" i="40"/>
  <c r="D54" i="40"/>
  <c r="J53" i="40"/>
  <c r="I53" i="40"/>
  <c r="D53" i="40"/>
  <c r="J52" i="40"/>
  <c r="I52" i="40"/>
  <c r="D52" i="40"/>
  <c r="J51" i="40"/>
  <c r="I51" i="40"/>
  <c r="D51" i="40"/>
  <c r="J50" i="40"/>
  <c r="I50" i="40"/>
  <c r="D50" i="40"/>
  <c r="J49" i="40"/>
  <c r="I49" i="40"/>
  <c r="D49" i="40"/>
  <c r="J48" i="40"/>
  <c r="I48" i="40"/>
  <c r="D48" i="40"/>
  <c r="J47" i="40"/>
  <c r="I47" i="40"/>
  <c r="D47" i="40"/>
  <c r="J46" i="40"/>
  <c r="I46" i="40"/>
  <c r="D46" i="40"/>
  <c r="J45" i="40"/>
  <c r="I45" i="40"/>
  <c r="D45" i="40"/>
  <c r="J44" i="40"/>
  <c r="I44" i="40"/>
  <c r="D44" i="40"/>
  <c r="J43" i="40"/>
  <c r="I43" i="40"/>
  <c r="D43" i="40"/>
  <c r="J42" i="40"/>
  <c r="I42" i="40"/>
  <c r="D42" i="40"/>
  <c r="J41" i="40"/>
  <c r="I41" i="40"/>
  <c r="D41" i="40"/>
  <c r="J40" i="40"/>
  <c r="I40" i="40"/>
  <c r="D40" i="40"/>
  <c r="J39" i="40"/>
  <c r="I39" i="40"/>
  <c r="D39" i="40"/>
  <c r="J38" i="40"/>
  <c r="I38" i="40"/>
  <c r="D38" i="40"/>
  <c r="J37" i="40"/>
  <c r="I37" i="40"/>
  <c r="D37" i="40"/>
  <c r="J36" i="40"/>
  <c r="I36" i="40"/>
  <c r="D36" i="40"/>
  <c r="J35" i="40"/>
  <c r="I35" i="40"/>
  <c r="D35" i="40"/>
  <c r="J34" i="40"/>
  <c r="I34" i="40"/>
  <c r="D34" i="40"/>
  <c r="J33" i="40"/>
  <c r="I33" i="40"/>
  <c r="D33" i="40"/>
  <c r="P32" i="40"/>
  <c r="J32" i="40"/>
  <c r="I32" i="40"/>
  <c r="D32" i="40"/>
  <c r="P31" i="40"/>
  <c r="J31" i="40"/>
  <c r="I31" i="40"/>
  <c r="D31" i="40"/>
  <c r="P30" i="40"/>
  <c r="J30" i="40"/>
  <c r="I30" i="40"/>
  <c r="D30" i="40"/>
  <c r="P29" i="40"/>
  <c r="J29" i="40"/>
  <c r="I29" i="40"/>
  <c r="D29" i="40"/>
  <c r="P28" i="40"/>
  <c r="P33" i="40" s="1"/>
  <c r="J28" i="40"/>
  <c r="I28" i="40"/>
  <c r="D28" i="40"/>
  <c r="J27" i="40"/>
  <c r="I27" i="40"/>
  <c r="D27" i="40"/>
  <c r="J26" i="40"/>
  <c r="I26" i="40"/>
  <c r="D26" i="40"/>
  <c r="P25" i="40"/>
  <c r="J25" i="40"/>
  <c r="I25" i="40"/>
  <c r="D25" i="40"/>
  <c r="P24" i="40"/>
  <c r="P26" i="40" s="1"/>
  <c r="J24" i="40"/>
  <c r="I24" i="40"/>
  <c r="D24" i="40"/>
  <c r="P23" i="40"/>
  <c r="J23" i="40"/>
  <c r="I23" i="40"/>
  <c r="D23" i="40"/>
  <c r="P22" i="40"/>
  <c r="J22" i="40"/>
  <c r="I22" i="40"/>
  <c r="D22" i="40"/>
  <c r="P21" i="40"/>
  <c r="J21" i="40"/>
  <c r="I21" i="40"/>
  <c r="D21" i="40"/>
  <c r="J20" i="40"/>
  <c r="I20" i="40"/>
  <c r="D20" i="40"/>
  <c r="M19" i="40"/>
  <c r="J19" i="40"/>
  <c r="I19" i="40"/>
  <c r="D19" i="40"/>
  <c r="J18" i="40"/>
  <c r="I18" i="40"/>
  <c r="D18" i="40"/>
  <c r="J17" i="40"/>
  <c r="I17" i="40"/>
  <c r="D17" i="40"/>
  <c r="J16" i="40"/>
  <c r="I16" i="40"/>
  <c r="D16" i="40"/>
  <c r="J15" i="40"/>
  <c r="I15" i="40"/>
  <c r="D15" i="40"/>
  <c r="J14" i="40"/>
  <c r="I14" i="40"/>
  <c r="D14" i="40"/>
  <c r="J13" i="40"/>
  <c r="I13" i="40"/>
  <c r="D13" i="40"/>
  <c r="J12" i="40"/>
  <c r="I12" i="40"/>
  <c r="D12" i="40"/>
  <c r="J11" i="40"/>
  <c r="I11" i="40"/>
  <c r="D11" i="40"/>
  <c r="J10" i="40"/>
  <c r="I10" i="40"/>
  <c r="D10" i="40"/>
  <c r="J9" i="40"/>
  <c r="I9" i="40"/>
  <c r="D9" i="40"/>
  <c r="J8" i="40"/>
  <c r="I8" i="40"/>
  <c r="D8" i="40"/>
  <c r="J7" i="40"/>
  <c r="I7" i="40"/>
  <c r="D7" i="40"/>
  <c r="J6" i="40"/>
  <c r="I6" i="40"/>
  <c r="D6" i="40"/>
  <c r="B2" i="40" a="1"/>
  <c r="B2" i="40" s="1"/>
  <c r="J488" i="39"/>
  <c r="I488" i="39"/>
  <c r="D488" i="39"/>
  <c r="J487" i="39"/>
  <c r="I487" i="39"/>
  <c r="D487" i="39"/>
  <c r="J486" i="39"/>
  <c r="I486" i="39"/>
  <c r="D486" i="39"/>
  <c r="J485" i="39"/>
  <c r="I485" i="39"/>
  <c r="D485" i="39"/>
  <c r="J484" i="39"/>
  <c r="I484" i="39"/>
  <c r="D484" i="39"/>
  <c r="J483" i="39"/>
  <c r="I483" i="39"/>
  <c r="D483" i="39"/>
  <c r="J482" i="39"/>
  <c r="I482" i="39"/>
  <c r="D482" i="39"/>
  <c r="J481" i="39"/>
  <c r="I481" i="39"/>
  <c r="D481" i="39"/>
  <c r="J480" i="39"/>
  <c r="I480" i="39"/>
  <c r="D480" i="39"/>
  <c r="J479" i="39"/>
  <c r="I479" i="39"/>
  <c r="D479" i="39"/>
  <c r="J478" i="39"/>
  <c r="I478" i="39"/>
  <c r="D478" i="39"/>
  <c r="J477" i="39"/>
  <c r="I477" i="39"/>
  <c r="D477" i="39"/>
  <c r="J476" i="39"/>
  <c r="I476" i="39"/>
  <c r="D476" i="39"/>
  <c r="J475" i="39"/>
  <c r="I475" i="39"/>
  <c r="D475" i="39"/>
  <c r="J474" i="39"/>
  <c r="I474" i="39"/>
  <c r="D474" i="39"/>
  <c r="J473" i="39"/>
  <c r="I473" i="39"/>
  <c r="D473" i="39"/>
  <c r="J472" i="39"/>
  <c r="I472" i="39"/>
  <c r="D472" i="39"/>
  <c r="J471" i="39"/>
  <c r="I471" i="39"/>
  <c r="D471" i="39"/>
  <c r="J470" i="39"/>
  <c r="I470" i="39"/>
  <c r="D470" i="39"/>
  <c r="J469" i="39"/>
  <c r="I469" i="39"/>
  <c r="D469" i="39"/>
  <c r="J468" i="39"/>
  <c r="I468" i="39"/>
  <c r="D468" i="39"/>
  <c r="J467" i="39"/>
  <c r="I467" i="39"/>
  <c r="D467" i="39"/>
  <c r="J466" i="39"/>
  <c r="I466" i="39"/>
  <c r="D466" i="39"/>
  <c r="J465" i="39"/>
  <c r="I465" i="39"/>
  <c r="D465" i="39"/>
  <c r="J464" i="39"/>
  <c r="I464" i="39"/>
  <c r="D464" i="39"/>
  <c r="J463" i="39"/>
  <c r="I463" i="39"/>
  <c r="D463" i="39"/>
  <c r="J462" i="39"/>
  <c r="I462" i="39"/>
  <c r="D462" i="39"/>
  <c r="J461" i="39"/>
  <c r="I461" i="39"/>
  <c r="D461" i="39"/>
  <c r="J460" i="39"/>
  <c r="I460" i="39"/>
  <c r="D460" i="39"/>
  <c r="J459" i="39"/>
  <c r="I459" i="39"/>
  <c r="D459" i="39"/>
  <c r="J458" i="39"/>
  <c r="I458" i="39"/>
  <c r="D458" i="39"/>
  <c r="J457" i="39"/>
  <c r="I457" i="39"/>
  <c r="D457" i="39"/>
  <c r="J456" i="39"/>
  <c r="I456" i="39"/>
  <c r="D456" i="39"/>
  <c r="J455" i="39"/>
  <c r="I455" i="39"/>
  <c r="D455" i="39"/>
  <c r="J454" i="39"/>
  <c r="I454" i="39"/>
  <c r="D454" i="39"/>
  <c r="J453" i="39"/>
  <c r="I453" i="39"/>
  <c r="D453" i="39"/>
  <c r="J452" i="39"/>
  <c r="I452" i="39"/>
  <c r="D452" i="39"/>
  <c r="J451" i="39"/>
  <c r="I451" i="39"/>
  <c r="D451" i="39"/>
  <c r="J450" i="39"/>
  <c r="I450" i="39"/>
  <c r="D450" i="39"/>
  <c r="J449" i="39"/>
  <c r="I449" i="39"/>
  <c r="D449" i="39"/>
  <c r="J448" i="39"/>
  <c r="I448" i="39"/>
  <c r="D448" i="39"/>
  <c r="J447" i="39"/>
  <c r="I447" i="39"/>
  <c r="D447" i="39"/>
  <c r="J446" i="39"/>
  <c r="I446" i="39"/>
  <c r="D446" i="39"/>
  <c r="J445" i="39"/>
  <c r="I445" i="39"/>
  <c r="D445" i="39"/>
  <c r="J444" i="39"/>
  <c r="I444" i="39"/>
  <c r="D444" i="39"/>
  <c r="J443" i="39"/>
  <c r="I443" i="39"/>
  <c r="D443" i="39"/>
  <c r="J442" i="39"/>
  <c r="I442" i="39"/>
  <c r="D442" i="39"/>
  <c r="J441" i="39"/>
  <c r="I441" i="39"/>
  <c r="D441" i="39"/>
  <c r="J440" i="39"/>
  <c r="I440" i="39"/>
  <c r="D440" i="39"/>
  <c r="J439" i="39"/>
  <c r="I439" i="39"/>
  <c r="D439" i="39"/>
  <c r="J438" i="39"/>
  <c r="I438" i="39"/>
  <c r="D438" i="39"/>
  <c r="J437" i="39"/>
  <c r="I437" i="39"/>
  <c r="D437" i="39"/>
  <c r="J436" i="39"/>
  <c r="I436" i="39"/>
  <c r="D436" i="39"/>
  <c r="J435" i="39"/>
  <c r="I435" i="39"/>
  <c r="D435" i="39"/>
  <c r="J434" i="39"/>
  <c r="I434" i="39"/>
  <c r="D434" i="39"/>
  <c r="J433" i="39"/>
  <c r="I433" i="39"/>
  <c r="D433" i="39"/>
  <c r="J432" i="39"/>
  <c r="I432" i="39"/>
  <c r="D432" i="39"/>
  <c r="J431" i="39"/>
  <c r="I431" i="39"/>
  <c r="D431" i="39"/>
  <c r="J430" i="39"/>
  <c r="I430" i="39"/>
  <c r="D430" i="39"/>
  <c r="J429" i="39"/>
  <c r="I429" i="39"/>
  <c r="D429" i="39"/>
  <c r="J428" i="39"/>
  <c r="I428" i="39"/>
  <c r="D428" i="39"/>
  <c r="J427" i="39"/>
  <c r="I427" i="39"/>
  <c r="D427" i="39"/>
  <c r="J426" i="39"/>
  <c r="I426" i="39"/>
  <c r="D426" i="39"/>
  <c r="J425" i="39"/>
  <c r="I425" i="39"/>
  <c r="D425" i="39"/>
  <c r="J424" i="39"/>
  <c r="I424" i="39"/>
  <c r="D424" i="39"/>
  <c r="J423" i="39"/>
  <c r="I423" i="39"/>
  <c r="D423" i="39"/>
  <c r="J422" i="39"/>
  <c r="I422" i="39"/>
  <c r="D422" i="39"/>
  <c r="J421" i="39"/>
  <c r="I421" i="39"/>
  <c r="D421" i="39"/>
  <c r="J420" i="39"/>
  <c r="I420" i="39"/>
  <c r="D420" i="39"/>
  <c r="J419" i="39"/>
  <c r="I419" i="39"/>
  <c r="D419" i="39"/>
  <c r="J418" i="39"/>
  <c r="I418" i="39"/>
  <c r="D418" i="39"/>
  <c r="J417" i="39"/>
  <c r="I417" i="39"/>
  <c r="D417" i="39"/>
  <c r="J416" i="39"/>
  <c r="I416" i="39"/>
  <c r="D416" i="39"/>
  <c r="J415" i="39"/>
  <c r="I415" i="39"/>
  <c r="D415" i="39"/>
  <c r="J414" i="39"/>
  <c r="I414" i="39"/>
  <c r="D414" i="39"/>
  <c r="J413" i="39"/>
  <c r="I413" i="39"/>
  <c r="D413" i="39"/>
  <c r="J412" i="39"/>
  <c r="I412" i="39"/>
  <c r="D412" i="39"/>
  <c r="J411" i="39"/>
  <c r="I411" i="39"/>
  <c r="D411" i="39"/>
  <c r="J410" i="39"/>
  <c r="I410" i="39"/>
  <c r="D410" i="39"/>
  <c r="J409" i="39"/>
  <c r="I409" i="39"/>
  <c r="D409" i="39"/>
  <c r="J408" i="39"/>
  <c r="I408" i="39"/>
  <c r="D408" i="39"/>
  <c r="J407" i="39"/>
  <c r="I407" i="39"/>
  <c r="D407" i="39"/>
  <c r="J406" i="39"/>
  <c r="I406" i="39"/>
  <c r="D406" i="39"/>
  <c r="J405" i="39"/>
  <c r="I405" i="39"/>
  <c r="D405" i="39"/>
  <c r="J404" i="39"/>
  <c r="I404" i="39"/>
  <c r="D404" i="39"/>
  <c r="J403" i="39"/>
  <c r="I403" i="39"/>
  <c r="D403" i="39"/>
  <c r="J402" i="39"/>
  <c r="I402" i="39"/>
  <c r="D402" i="39"/>
  <c r="J401" i="39"/>
  <c r="I401" i="39"/>
  <c r="D401" i="39"/>
  <c r="J400" i="39"/>
  <c r="I400" i="39"/>
  <c r="D400" i="39"/>
  <c r="J399" i="39"/>
  <c r="I399" i="39"/>
  <c r="D399" i="39"/>
  <c r="J398" i="39"/>
  <c r="I398" i="39"/>
  <c r="D398" i="39"/>
  <c r="J397" i="39"/>
  <c r="I397" i="39"/>
  <c r="D397" i="39"/>
  <c r="J396" i="39"/>
  <c r="I396" i="39"/>
  <c r="D396" i="39"/>
  <c r="J395" i="39"/>
  <c r="I395" i="39"/>
  <c r="D395" i="39"/>
  <c r="J394" i="39"/>
  <c r="I394" i="39"/>
  <c r="D394" i="39"/>
  <c r="J393" i="39"/>
  <c r="I393" i="39"/>
  <c r="D393" i="39"/>
  <c r="J392" i="39"/>
  <c r="I392" i="39"/>
  <c r="D392" i="39"/>
  <c r="J391" i="39"/>
  <c r="I391" i="39"/>
  <c r="D391" i="39"/>
  <c r="J390" i="39"/>
  <c r="I390" i="39"/>
  <c r="D390" i="39"/>
  <c r="J389" i="39"/>
  <c r="I389" i="39"/>
  <c r="D389" i="39"/>
  <c r="J388" i="39"/>
  <c r="I388" i="39"/>
  <c r="D388" i="39"/>
  <c r="J387" i="39"/>
  <c r="I387" i="39"/>
  <c r="D387" i="39"/>
  <c r="J386" i="39"/>
  <c r="I386" i="39"/>
  <c r="D386" i="39"/>
  <c r="J385" i="39"/>
  <c r="I385" i="39"/>
  <c r="D385" i="39"/>
  <c r="J384" i="39"/>
  <c r="I384" i="39"/>
  <c r="D384" i="39"/>
  <c r="J383" i="39"/>
  <c r="I383" i="39"/>
  <c r="D383" i="39"/>
  <c r="J382" i="39"/>
  <c r="I382" i="39"/>
  <c r="D382" i="39"/>
  <c r="J381" i="39"/>
  <c r="I381" i="39"/>
  <c r="D381" i="39"/>
  <c r="J380" i="39"/>
  <c r="I380" i="39"/>
  <c r="D380" i="39"/>
  <c r="J379" i="39"/>
  <c r="I379" i="39"/>
  <c r="D379" i="39"/>
  <c r="J378" i="39"/>
  <c r="I378" i="39"/>
  <c r="D378" i="39"/>
  <c r="J377" i="39"/>
  <c r="I377" i="39"/>
  <c r="D377" i="39"/>
  <c r="J376" i="39"/>
  <c r="I376" i="39"/>
  <c r="D376" i="39"/>
  <c r="J375" i="39"/>
  <c r="I375" i="39"/>
  <c r="D375" i="39"/>
  <c r="J374" i="39"/>
  <c r="I374" i="39"/>
  <c r="D374" i="39"/>
  <c r="J373" i="39"/>
  <c r="I373" i="39"/>
  <c r="D373" i="39"/>
  <c r="J372" i="39"/>
  <c r="I372" i="39"/>
  <c r="D372" i="39"/>
  <c r="J371" i="39"/>
  <c r="I371" i="39"/>
  <c r="D371" i="39"/>
  <c r="J370" i="39"/>
  <c r="I370" i="39"/>
  <c r="D370" i="39"/>
  <c r="J369" i="39"/>
  <c r="I369" i="39"/>
  <c r="D369" i="39"/>
  <c r="J368" i="39"/>
  <c r="I368" i="39"/>
  <c r="D368" i="39"/>
  <c r="J367" i="39"/>
  <c r="I367" i="39"/>
  <c r="D367" i="39"/>
  <c r="J366" i="39"/>
  <c r="I366" i="39"/>
  <c r="D366" i="39"/>
  <c r="J365" i="39"/>
  <c r="I365" i="39"/>
  <c r="D365" i="39"/>
  <c r="J364" i="39"/>
  <c r="I364" i="39"/>
  <c r="D364" i="39"/>
  <c r="J363" i="39"/>
  <c r="I363" i="39"/>
  <c r="D363" i="39"/>
  <c r="J362" i="39"/>
  <c r="I362" i="39"/>
  <c r="D362" i="39"/>
  <c r="J361" i="39"/>
  <c r="I361" i="39"/>
  <c r="D361" i="39"/>
  <c r="J360" i="39"/>
  <c r="I360" i="39"/>
  <c r="D360" i="39"/>
  <c r="J359" i="39"/>
  <c r="I359" i="39"/>
  <c r="D359" i="39"/>
  <c r="J358" i="39"/>
  <c r="I358" i="39"/>
  <c r="D358" i="39"/>
  <c r="J357" i="39"/>
  <c r="I357" i="39"/>
  <c r="D357" i="39"/>
  <c r="J356" i="39"/>
  <c r="I356" i="39"/>
  <c r="D356" i="39"/>
  <c r="J355" i="39"/>
  <c r="I355" i="39"/>
  <c r="D355" i="39"/>
  <c r="J354" i="39"/>
  <c r="I354" i="39"/>
  <c r="D354" i="39"/>
  <c r="J353" i="39"/>
  <c r="I353" i="39"/>
  <c r="D353" i="39"/>
  <c r="J352" i="39"/>
  <c r="I352" i="39"/>
  <c r="D352" i="39"/>
  <c r="J351" i="39"/>
  <c r="I351" i="39"/>
  <c r="D351" i="39"/>
  <c r="J350" i="39"/>
  <c r="I350" i="39"/>
  <c r="D350" i="39"/>
  <c r="J349" i="39"/>
  <c r="I349" i="39"/>
  <c r="D349" i="39"/>
  <c r="J348" i="39"/>
  <c r="I348" i="39"/>
  <c r="D348" i="39"/>
  <c r="J347" i="39"/>
  <c r="I347" i="39"/>
  <c r="D347" i="39"/>
  <c r="J346" i="39"/>
  <c r="I346" i="39"/>
  <c r="D346" i="39"/>
  <c r="J345" i="39"/>
  <c r="I345" i="39"/>
  <c r="D345" i="39"/>
  <c r="J344" i="39"/>
  <c r="I344" i="39"/>
  <c r="D344" i="39"/>
  <c r="J343" i="39"/>
  <c r="I343" i="39"/>
  <c r="D343" i="39"/>
  <c r="J342" i="39"/>
  <c r="I342" i="39"/>
  <c r="D342" i="39"/>
  <c r="J341" i="39"/>
  <c r="I341" i="39"/>
  <c r="D341" i="39"/>
  <c r="J340" i="39"/>
  <c r="I340" i="39"/>
  <c r="D340" i="39"/>
  <c r="J339" i="39"/>
  <c r="I339" i="39"/>
  <c r="D339" i="39"/>
  <c r="J338" i="39"/>
  <c r="I338" i="39"/>
  <c r="D338" i="39"/>
  <c r="J337" i="39"/>
  <c r="I337" i="39"/>
  <c r="D337" i="39"/>
  <c r="J336" i="39"/>
  <c r="I336" i="39"/>
  <c r="D336" i="39"/>
  <c r="J335" i="39"/>
  <c r="I335" i="39"/>
  <c r="D335" i="39"/>
  <c r="J334" i="39"/>
  <c r="I334" i="39"/>
  <c r="D334" i="39"/>
  <c r="J333" i="39"/>
  <c r="I333" i="39"/>
  <c r="D333" i="39"/>
  <c r="J332" i="39"/>
  <c r="I332" i="39"/>
  <c r="D332" i="39"/>
  <c r="J331" i="39"/>
  <c r="I331" i="39"/>
  <c r="D331" i="39"/>
  <c r="J330" i="39"/>
  <c r="I330" i="39"/>
  <c r="D330" i="39"/>
  <c r="J329" i="39"/>
  <c r="I329" i="39"/>
  <c r="D329" i="39"/>
  <c r="J328" i="39"/>
  <c r="I328" i="39"/>
  <c r="D328" i="39"/>
  <c r="J327" i="39"/>
  <c r="I327" i="39"/>
  <c r="D327" i="39"/>
  <c r="J326" i="39"/>
  <c r="I326" i="39"/>
  <c r="D326" i="39"/>
  <c r="J325" i="39"/>
  <c r="I325" i="39"/>
  <c r="D325" i="39"/>
  <c r="J324" i="39"/>
  <c r="I324" i="39"/>
  <c r="D324" i="39"/>
  <c r="J323" i="39"/>
  <c r="I323" i="39"/>
  <c r="D323" i="39"/>
  <c r="J322" i="39"/>
  <c r="I322" i="39"/>
  <c r="D322" i="39"/>
  <c r="J321" i="39"/>
  <c r="I321" i="39"/>
  <c r="D321" i="39"/>
  <c r="J320" i="39"/>
  <c r="I320" i="39"/>
  <c r="D320" i="39"/>
  <c r="J319" i="39"/>
  <c r="I319" i="39"/>
  <c r="D319" i="39"/>
  <c r="J318" i="39"/>
  <c r="I318" i="39"/>
  <c r="D318" i="39"/>
  <c r="J317" i="39"/>
  <c r="I317" i="39"/>
  <c r="D317" i="39"/>
  <c r="J316" i="39"/>
  <c r="I316" i="39"/>
  <c r="D316" i="39"/>
  <c r="J315" i="39"/>
  <c r="I315" i="39"/>
  <c r="D315" i="39"/>
  <c r="J314" i="39"/>
  <c r="I314" i="39"/>
  <c r="D314" i="39"/>
  <c r="J313" i="39"/>
  <c r="I313" i="39"/>
  <c r="D313" i="39"/>
  <c r="J312" i="39"/>
  <c r="I312" i="39"/>
  <c r="D312" i="39"/>
  <c r="J311" i="39"/>
  <c r="I311" i="39"/>
  <c r="D311" i="39"/>
  <c r="J310" i="39"/>
  <c r="I310" i="39"/>
  <c r="D310" i="39"/>
  <c r="J309" i="39"/>
  <c r="I309" i="39"/>
  <c r="D309" i="39"/>
  <c r="J308" i="39"/>
  <c r="I308" i="39"/>
  <c r="D308" i="39"/>
  <c r="J307" i="39"/>
  <c r="I307" i="39"/>
  <c r="D307" i="39"/>
  <c r="J306" i="39"/>
  <c r="I306" i="39"/>
  <c r="D306" i="39"/>
  <c r="J305" i="39"/>
  <c r="I305" i="39"/>
  <c r="D305" i="39"/>
  <c r="J304" i="39"/>
  <c r="I304" i="39"/>
  <c r="D304" i="39"/>
  <c r="J303" i="39"/>
  <c r="I303" i="39"/>
  <c r="D303" i="39"/>
  <c r="J302" i="39"/>
  <c r="I302" i="39"/>
  <c r="D302" i="39"/>
  <c r="J301" i="39"/>
  <c r="I301" i="39"/>
  <c r="D301" i="39"/>
  <c r="J300" i="39"/>
  <c r="I300" i="39"/>
  <c r="D300" i="39"/>
  <c r="J299" i="39"/>
  <c r="I299" i="39"/>
  <c r="D299" i="39"/>
  <c r="J298" i="39"/>
  <c r="I298" i="39"/>
  <c r="D298" i="39"/>
  <c r="J297" i="39"/>
  <c r="I297" i="39"/>
  <c r="D297" i="39"/>
  <c r="J296" i="39"/>
  <c r="I296" i="39"/>
  <c r="D296" i="39"/>
  <c r="J295" i="39"/>
  <c r="I295" i="39"/>
  <c r="D295" i="39"/>
  <c r="J294" i="39"/>
  <c r="I294" i="39"/>
  <c r="D294" i="39"/>
  <c r="J293" i="39"/>
  <c r="I293" i="39"/>
  <c r="D293" i="39"/>
  <c r="J292" i="39"/>
  <c r="I292" i="39"/>
  <c r="D292" i="39"/>
  <c r="J291" i="39"/>
  <c r="I291" i="39"/>
  <c r="D291" i="39"/>
  <c r="J290" i="39"/>
  <c r="I290" i="39"/>
  <c r="D290" i="39"/>
  <c r="J289" i="39"/>
  <c r="I289" i="39"/>
  <c r="D289" i="39"/>
  <c r="J288" i="39"/>
  <c r="I288" i="39"/>
  <c r="D288" i="39"/>
  <c r="J287" i="39"/>
  <c r="I287" i="39"/>
  <c r="D287" i="39"/>
  <c r="J286" i="39"/>
  <c r="I286" i="39"/>
  <c r="D286" i="39"/>
  <c r="J285" i="39"/>
  <c r="I285" i="39"/>
  <c r="D285" i="39"/>
  <c r="J284" i="39"/>
  <c r="I284" i="39"/>
  <c r="D284" i="39"/>
  <c r="J283" i="39"/>
  <c r="I283" i="39"/>
  <c r="D283" i="39"/>
  <c r="J282" i="39"/>
  <c r="I282" i="39"/>
  <c r="D282" i="39"/>
  <c r="J281" i="39"/>
  <c r="I281" i="39"/>
  <c r="D281" i="39"/>
  <c r="J280" i="39"/>
  <c r="I280" i="39"/>
  <c r="D280" i="39"/>
  <c r="J279" i="39"/>
  <c r="I279" i="39"/>
  <c r="D279" i="39"/>
  <c r="J278" i="39"/>
  <c r="I278" i="39"/>
  <c r="D278" i="39"/>
  <c r="J277" i="39"/>
  <c r="I277" i="39"/>
  <c r="D277" i="39"/>
  <c r="J276" i="39"/>
  <c r="I276" i="39"/>
  <c r="D276" i="39"/>
  <c r="J275" i="39"/>
  <c r="I275" i="39"/>
  <c r="D275" i="39"/>
  <c r="J274" i="39"/>
  <c r="I274" i="39"/>
  <c r="D274" i="39"/>
  <c r="J273" i="39"/>
  <c r="I273" i="39"/>
  <c r="D273" i="39"/>
  <c r="J272" i="39"/>
  <c r="I272" i="39"/>
  <c r="D272" i="39"/>
  <c r="J271" i="39"/>
  <c r="I271" i="39"/>
  <c r="D271" i="39"/>
  <c r="J270" i="39"/>
  <c r="I270" i="39"/>
  <c r="D270" i="39"/>
  <c r="J269" i="39"/>
  <c r="I269" i="39"/>
  <c r="D269" i="39"/>
  <c r="J268" i="39"/>
  <c r="I268" i="39"/>
  <c r="D268" i="39"/>
  <c r="J267" i="39"/>
  <c r="I267" i="39"/>
  <c r="D267" i="39"/>
  <c r="J266" i="39"/>
  <c r="I266" i="39"/>
  <c r="D266" i="39"/>
  <c r="J265" i="39"/>
  <c r="I265" i="39"/>
  <c r="D265" i="39"/>
  <c r="J264" i="39"/>
  <c r="I264" i="39"/>
  <c r="D264" i="39"/>
  <c r="J263" i="39"/>
  <c r="I263" i="39"/>
  <c r="D263" i="39"/>
  <c r="J262" i="39"/>
  <c r="I262" i="39"/>
  <c r="D262" i="39"/>
  <c r="J261" i="39"/>
  <c r="I261" i="39"/>
  <c r="D261" i="39"/>
  <c r="J260" i="39"/>
  <c r="I260" i="39"/>
  <c r="D260" i="39"/>
  <c r="J259" i="39"/>
  <c r="I259" i="39"/>
  <c r="D259" i="39"/>
  <c r="J258" i="39"/>
  <c r="I258" i="39"/>
  <c r="D258" i="39"/>
  <c r="J257" i="39"/>
  <c r="I257" i="39"/>
  <c r="D257" i="39"/>
  <c r="J256" i="39"/>
  <c r="I256" i="39"/>
  <c r="D256" i="39"/>
  <c r="J255" i="39"/>
  <c r="I255" i="39"/>
  <c r="D255" i="39"/>
  <c r="J254" i="39"/>
  <c r="I254" i="39"/>
  <c r="D254" i="39"/>
  <c r="J253" i="39"/>
  <c r="I253" i="39"/>
  <c r="D253" i="39"/>
  <c r="J252" i="39"/>
  <c r="I252" i="39"/>
  <c r="D252" i="39"/>
  <c r="J251" i="39"/>
  <c r="I251" i="39"/>
  <c r="D251" i="39"/>
  <c r="J250" i="39"/>
  <c r="I250" i="39"/>
  <c r="D250" i="39"/>
  <c r="J249" i="39"/>
  <c r="I249" i="39"/>
  <c r="D249" i="39"/>
  <c r="J248" i="39"/>
  <c r="I248" i="39"/>
  <c r="D248" i="39"/>
  <c r="J247" i="39"/>
  <c r="I247" i="39"/>
  <c r="D247" i="39"/>
  <c r="J246" i="39"/>
  <c r="I246" i="39"/>
  <c r="D246" i="39"/>
  <c r="J245" i="39"/>
  <c r="I245" i="39"/>
  <c r="D245" i="39"/>
  <c r="J244" i="39"/>
  <c r="I244" i="39"/>
  <c r="D244" i="39"/>
  <c r="J243" i="39"/>
  <c r="I243" i="39"/>
  <c r="D243" i="39"/>
  <c r="J242" i="39"/>
  <c r="I242" i="39"/>
  <c r="D242" i="39"/>
  <c r="J241" i="39"/>
  <c r="I241" i="39"/>
  <c r="D241" i="39"/>
  <c r="J240" i="39"/>
  <c r="I240" i="39"/>
  <c r="D240" i="39"/>
  <c r="J239" i="39"/>
  <c r="I239" i="39"/>
  <c r="D239" i="39"/>
  <c r="J238" i="39"/>
  <c r="I238" i="39"/>
  <c r="D238" i="39"/>
  <c r="J237" i="39"/>
  <c r="I237" i="39"/>
  <c r="D237" i="39"/>
  <c r="J236" i="39"/>
  <c r="I236" i="39"/>
  <c r="D236" i="39"/>
  <c r="J235" i="39"/>
  <c r="I235" i="39"/>
  <c r="D235" i="39"/>
  <c r="J234" i="39"/>
  <c r="I234" i="39"/>
  <c r="D234" i="39"/>
  <c r="J233" i="39"/>
  <c r="I233" i="39"/>
  <c r="D233" i="39"/>
  <c r="J232" i="39"/>
  <c r="I232" i="39"/>
  <c r="D232" i="39"/>
  <c r="J231" i="39"/>
  <c r="I231" i="39"/>
  <c r="D231" i="39"/>
  <c r="J230" i="39"/>
  <c r="I230" i="39"/>
  <c r="D230" i="39"/>
  <c r="J229" i="39"/>
  <c r="I229" i="39"/>
  <c r="D229" i="39"/>
  <c r="J228" i="39"/>
  <c r="I228" i="39"/>
  <c r="D228" i="39"/>
  <c r="J227" i="39"/>
  <c r="I227" i="39"/>
  <c r="D227" i="39"/>
  <c r="J226" i="39"/>
  <c r="I226" i="39"/>
  <c r="D226" i="39"/>
  <c r="J225" i="39"/>
  <c r="I225" i="39"/>
  <c r="D225" i="39"/>
  <c r="J224" i="39"/>
  <c r="I224" i="39"/>
  <c r="D224" i="39"/>
  <c r="J223" i="39"/>
  <c r="I223" i="39"/>
  <c r="D223" i="39"/>
  <c r="J222" i="39"/>
  <c r="I222" i="39"/>
  <c r="D222" i="39"/>
  <c r="J221" i="39"/>
  <c r="I221" i="39"/>
  <c r="D221" i="39"/>
  <c r="J220" i="39"/>
  <c r="I220" i="39"/>
  <c r="D220" i="39"/>
  <c r="J219" i="39"/>
  <c r="I219" i="39"/>
  <c r="D219" i="39"/>
  <c r="J218" i="39"/>
  <c r="I218" i="39"/>
  <c r="D218" i="39"/>
  <c r="J217" i="39"/>
  <c r="I217" i="39"/>
  <c r="D217" i="39"/>
  <c r="J216" i="39"/>
  <c r="I216" i="39"/>
  <c r="D216" i="39"/>
  <c r="J215" i="39"/>
  <c r="I215" i="39"/>
  <c r="D215" i="39"/>
  <c r="J214" i="39"/>
  <c r="I214" i="39"/>
  <c r="D214" i="39"/>
  <c r="J213" i="39"/>
  <c r="I213" i="39"/>
  <c r="D213" i="39"/>
  <c r="J212" i="39"/>
  <c r="I212" i="39"/>
  <c r="D212" i="39"/>
  <c r="J211" i="39"/>
  <c r="I211" i="39"/>
  <c r="D211" i="39"/>
  <c r="J210" i="39"/>
  <c r="I210" i="39"/>
  <c r="D210" i="39"/>
  <c r="J209" i="39"/>
  <c r="I209" i="39"/>
  <c r="D209" i="39"/>
  <c r="J208" i="39"/>
  <c r="I208" i="39"/>
  <c r="D208" i="39"/>
  <c r="J207" i="39"/>
  <c r="I207" i="39"/>
  <c r="D207" i="39"/>
  <c r="J206" i="39"/>
  <c r="I206" i="39"/>
  <c r="D206" i="39"/>
  <c r="J205" i="39"/>
  <c r="I205" i="39"/>
  <c r="D205" i="39"/>
  <c r="J204" i="39"/>
  <c r="I204" i="39"/>
  <c r="D204" i="39"/>
  <c r="J203" i="39"/>
  <c r="I203" i="39"/>
  <c r="D203" i="39"/>
  <c r="J202" i="39"/>
  <c r="I202" i="39"/>
  <c r="D202" i="39"/>
  <c r="J201" i="39"/>
  <c r="I201" i="39"/>
  <c r="D201" i="39"/>
  <c r="J200" i="39"/>
  <c r="I200" i="39"/>
  <c r="D200" i="39"/>
  <c r="J199" i="39"/>
  <c r="I199" i="39"/>
  <c r="D199" i="39"/>
  <c r="J198" i="39"/>
  <c r="I198" i="39"/>
  <c r="D198" i="39"/>
  <c r="J197" i="39"/>
  <c r="I197" i="39"/>
  <c r="D197" i="39"/>
  <c r="J196" i="39"/>
  <c r="I196" i="39"/>
  <c r="D196" i="39"/>
  <c r="J195" i="39"/>
  <c r="I195" i="39"/>
  <c r="D195" i="39"/>
  <c r="J194" i="39"/>
  <c r="I194" i="39"/>
  <c r="D194" i="39"/>
  <c r="J193" i="39"/>
  <c r="I193" i="39"/>
  <c r="D193" i="39"/>
  <c r="J192" i="39"/>
  <c r="I192" i="39"/>
  <c r="D192" i="39"/>
  <c r="J191" i="39"/>
  <c r="I191" i="39"/>
  <c r="D191" i="39"/>
  <c r="J190" i="39"/>
  <c r="I190" i="39"/>
  <c r="D190" i="39"/>
  <c r="J189" i="39"/>
  <c r="I189" i="39"/>
  <c r="D189" i="39"/>
  <c r="J188" i="39"/>
  <c r="I188" i="39"/>
  <c r="D188" i="39"/>
  <c r="J187" i="39"/>
  <c r="I187" i="39"/>
  <c r="D187" i="39"/>
  <c r="J186" i="39"/>
  <c r="I186" i="39"/>
  <c r="D186" i="39"/>
  <c r="J185" i="39"/>
  <c r="I185" i="39"/>
  <c r="D185" i="39"/>
  <c r="J184" i="39"/>
  <c r="I184" i="39"/>
  <c r="D184" i="39"/>
  <c r="J183" i="39"/>
  <c r="I183" i="39"/>
  <c r="D183" i="39"/>
  <c r="J182" i="39"/>
  <c r="I182" i="39"/>
  <c r="D182" i="39"/>
  <c r="J181" i="39"/>
  <c r="I181" i="39"/>
  <c r="D181" i="39"/>
  <c r="J180" i="39"/>
  <c r="I180" i="39"/>
  <c r="D180" i="39"/>
  <c r="J179" i="39"/>
  <c r="I179" i="39"/>
  <c r="D179" i="39"/>
  <c r="J178" i="39"/>
  <c r="I178" i="39"/>
  <c r="D178" i="39"/>
  <c r="J177" i="39"/>
  <c r="I177" i="39"/>
  <c r="D177" i="39"/>
  <c r="J176" i="39"/>
  <c r="I176" i="39"/>
  <c r="D176" i="39"/>
  <c r="J175" i="39"/>
  <c r="I175" i="39"/>
  <c r="D175" i="39"/>
  <c r="J174" i="39"/>
  <c r="I174" i="39"/>
  <c r="D174" i="39"/>
  <c r="J173" i="39"/>
  <c r="I173" i="39"/>
  <c r="D173" i="39"/>
  <c r="J172" i="39"/>
  <c r="I172" i="39"/>
  <c r="D172" i="39"/>
  <c r="J171" i="39"/>
  <c r="I171" i="39"/>
  <c r="D171" i="39"/>
  <c r="J170" i="39"/>
  <c r="I170" i="39"/>
  <c r="D170" i="39"/>
  <c r="J169" i="39"/>
  <c r="I169" i="39"/>
  <c r="D169" i="39"/>
  <c r="J168" i="39"/>
  <c r="I168" i="39"/>
  <c r="D168" i="39"/>
  <c r="J167" i="39"/>
  <c r="I167" i="39"/>
  <c r="D167" i="39"/>
  <c r="J166" i="39"/>
  <c r="I166" i="39"/>
  <c r="D166" i="39"/>
  <c r="J165" i="39"/>
  <c r="I165" i="39"/>
  <c r="D165" i="39"/>
  <c r="J164" i="39"/>
  <c r="I164" i="39"/>
  <c r="D164" i="39"/>
  <c r="J163" i="39"/>
  <c r="I163" i="39"/>
  <c r="D163" i="39"/>
  <c r="J162" i="39"/>
  <c r="I162" i="39"/>
  <c r="D162" i="39"/>
  <c r="J161" i="39"/>
  <c r="I161" i="39"/>
  <c r="D161" i="39"/>
  <c r="J160" i="39"/>
  <c r="I160" i="39"/>
  <c r="D160" i="39"/>
  <c r="J159" i="39"/>
  <c r="I159" i="39"/>
  <c r="D159" i="39"/>
  <c r="J158" i="39"/>
  <c r="I158" i="39"/>
  <c r="D158" i="39"/>
  <c r="J157" i="39"/>
  <c r="I157" i="39"/>
  <c r="D157" i="39"/>
  <c r="J156" i="39"/>
  <c r="I156" i="39"/>
  <c r="D156" i="39"/>
  <c r="J155" i="39"/>
  <c r="I155" i="39"/>
  <c r="D155" i="39"/>
  <c r="J154" i="39"/>
  <c r="I154" i="39"/>
  <c r="D154" i="39"/>
  <c r="J153" i="39"/>
  <c r="I153" i="39"/>
  <c r="D153" i="39"/>
  <c r="J152" i="39"/>
  <c r="I152" i="39"/>
  <c r="D152" i="39"/>
  <c r="J151" i="39"/>
  <c r="I151" i="39"/>
  <c r="D151" i="39"/>
  <c r="J150" i="39"/>
  <c r="I150" i="39"/>
  <c r="D150" i="39"/>
  <c r="J149" i="39"/>
  <c r="I149" i="39"/>
  <c r="D149" i="39"/>
  <c r="J148" i="39"/>
  <c r="I148" i="39"/>
  <c r="D148" i="39"/>
  <c r="J147" i="39"/>
  <c r="I147" i="39"/>
  <c r="D147" i="39"/>
  <c r="J146" i="39"/>
  <c r="I146" i="39"/>
  <c r="D146" i="39"/>
  <c r="J145" i="39"/>
  <c r="I145" i="39"/>
  <c r="D145" i="39"/>
  <c r="J144" i="39"/>
  <c r="I144" i="39"/>
  <c r="D144" i="39"/>
  <c r="J143" i="39"/>
  <c r="I143" i="39"/>
  <c r="D143" i="39"/>
  <c r="J142" i="39"/>
  <c r="I142" i="39"/>
  <c r="D142" i="39"/>
  <c r="J141" i="39"/>
  <c r="I141" i="39"/>
  <c r="D141" i="39"/>
  <c r="J140" i="39"/>
  <c r="I140" i="39"/>
  <c r="D140" i="39"/>
  <c r="J139" i="39"/>
  <c r="I139" i="39"/>
  <c r="D139" i="39"/>
  <c r="J138" i="39"/>
  <c r="I138" i="39"/>
  <c r="D138" i="39"/>
  <c r="J137" i="39"/>
  <c r="I137" i="39"/>
  <c r="D137" i="39"/>
  <c r="J136" i="39"/>
  <c r="I136" i="39"/>
  <c r="D136" i="39"/>
  <c r="J135" i="39"/>
  <c r="I135" i="39"/>
  <c r="D135" i="39"/>
  <c r="J134" i="39"/>
  <c r="I134" i="39"/>
  <c r="D134" i="39"/>
  <c r="J133" i="39"/>
  <c r="I133" i="39"/>
  <c r="D133" i="39"/>
  <c r="J132" i="39"/>
  <c r="I132" i="39"/>
  <c r="D132" i="39"/>
  <c r="J131" i="39"/>
  <c r="I131" i="39"/>
  <c r="D131" i="39"/>
  <c r="J130" i="39"/>
  <c r="I130" i="39"/>
  <c r="D130" i="39"/>
  <c r="J129" i="39"/>
  <c r="I129" i="39"/>
  <c r="D129" i="39"/>
  <c r="J128" i="39"/>
  <c r="I128" i="39"/>
  <c r="D128" i="39"/>
  <c r="J127" i="39"/>
  <c r="I127" i="39"/>
  <c r="D127" i="39"/>
  <c r="J126" i="39"/>
  <c r="I126" i="39"/>
  <c r="D126" i="39"/>
  <c r="J125" i="39"/>
  <c r="I125" i="39"/>
  <c r="D125" i="39"/>
  <c r="J124" i="39"/>
  <c r="I124" i="39"/>
  <c r="D124" i="39"/>
  <c r="J123" i="39"/>
  <c r="I123" i="39"/>
  <c r="D123" i="39"/>
  <c r="J122" i="39"/>
  <c r="I122" i="39"/>
  <c r="D122" i="39"/>
  <c r="J121" i="39"/>
  <c r="I121" i="39"/>
  <c r="D121" i="39"/>
  <c r="J120" i="39"/>
  <c r="I120" i="39"/>
  <c r="D120" i="39"/>
  <c r="J119" i="39"/>
  <c r="I119" i="39"/>
  <c r="D119" i="39"/>
  <c r="J118" i="39"/>
  <c r="I118" i="39"/>
  <c r="D118" i="39"/>
  <c r="J117" i="39"/>
  <c r="I117" i="39"/>
  <c r="D117" i="39"/>
  <c r="J116" i="39"/>
  <c r="I116" i="39"/>
  <c r="D116" i="39"/>
  <c r="J115" i="39"/>
  <c r="I115" i="39"/>
  <c r="D115" i="39"/>
  <c r="J114" i="39"/>
  <c r="I114" i="39"/>
  <c r="D114" i="39"/>
  <c r="J113" i="39"/>
  <c r="I113" i="39"/>
  <c r="D113" i="39"/>
  <c r="J112" i="39"/>
  <c r="I112" i="39"/>
  <c r="D112" i="39"/>
  <c r="J111" i="39"/>
  <c r="I111" i="39"/>
  <c r="D111" i="39"/>
  <c r="J110" i="39"/>
  <c r="I110" i="39"/>
  <c r="D110" i="39"/>
  <c r="J109" i="39"/>
  <c r="I109" i="39"/>
  <c r="D109" i="39"/>
  <c r="J108" i="39"/>
  <c r="I108" i="39"/>
  <c r="D108" i="39"/>
  <c r="J107" i="39"/>
  <c r="I107" i="39"/>
  <c r="D107" i="39"/>
  <c r="J106" i="39"/>
  <c r="I106" i="39"/>
  <c r="D106" i="39"/>
  <c r="J105" i="39"/>
  <c r="I105" i="39"/>
  <c r="D105" i="39"/>
  <c r="J104" i="39"/>
  <c r="I104" i="39"/>
  <c r="D104" i="39"/>
  <c r="J103" i="39"/>
  <c r="I103" i="39"/>
  <c r="D103" i="39"/>
  <c r="J102" i="39"/>
  <c r="I102" i="39"/>
  <c r="D102" i="39"/>
  <c r="J101" i="39"/>
  <c r="I101" i="39"/>
  <c r="D101" i="39"/>
  <c r="J100" i="39"/>
  <c r="I100" i="39"/>
  <c r="D100" i="39"/>
  <c r="J99" i="39"/>
  <c r="I99" i="39"/>
  <c r="D99" i="39"/>
  <c r="J98" i="39"/>
  <c r="I98" i="39"/>
  <c r="D98" i="39"/>
  <c r="J97" i="39"/>
  <c r="I97" i="39"/>
  <c r="D97" i="39"/>
  <c r="J96" i="39"/>
  <c r="I96" i="39"/>
  <c r="D96" i="39"/>
  <c r="J95" i="39"/>
  <c r="I95" i="39"/>
  <c r="D95" i="39"/>
  <c r="J94" i="39"/>
  <c r="I94" i="39"/>
  <c r="D94" i="39"/>
  <c r="J93" i="39"/>
  <c r="I93" i="39"/>
  <c r="D93" i="39"/>
  <c r="J92" i="39"/>
  <c r="I92" i="39"/>
  <c r="D92" i="39"/>
  <c r="J91" i="39"/>
  <c r="I91" i="39"/>
  <c r="D91" i="39"/>
  <c r="J90" i="39"/>
  <c r="I90" i="39"/>
  <c r="D90" i="39"/>
  <c r="J89" i="39"/>
  <c r="I89" i="39"/>
  <c r="D89" i="39"/>
  <c r="J88" i="39"/>
  <c r="I88" i="39"/>
  <c r="D88" i="39"/>
  <c r="J87" i="39"/>
  <c r="I87" i="39"/>
  <c r="D87" i="39"/>
  <c r="J86" i="39"/>
  <c r="I86" i="39"/>
  <c r="D86" i="39"/>
  <c r="J85" i="39"/>
  <c r="I85" i="39"/>
  <c r="D85" i="39"/>
  <c r="J84" i="39"/>
  <c r="I84" i="39"/>
  <c r="D84" i="39"/>
  <c r="J83" i="39"/>
  <c r="I83" i="39"/>
  <c r="D83" i="39"/>
  <c r="J82" i="39"/>
  <c r="I82" i="39"/>
  <c r="D82" i="39"/>
  <c r="J81" i="39"/>
  <c r="I81" i="39"/>
  <c r="D81" i="39"/>
  <c r="J80" i="39"/>
  <c r="I80" i="39"/>
  <c r="D80" i="39"/>
  <c r="J79" i="39"/>
  <c r="I79" i="39"/>
  <c r="D79" i="39"/>
  <c r="J78" i="39"/>
  <c r="I78" i="39"/>
  <c r="D78" i="39"/>
  <c r="J77" i="39"/>
  <c r="I77" i="39"/>
  <c r="D77" i="39"/>
  <c r="J76" i="39"/>
  <c r="I76" i="39"/>
  <c r="D76" i="39"/>
  <c r="J75" i="39"/>
  <c r="I75" i="39"/>
  <c r="D75" i="39"/>
  <c r="J74" i="39"/>
  <c r="I74" i="39"/>
  <c r="D74" i="39"/>
  <c r="J73" i="39"/>
  <c r="I73" i="39"/>
  <c r="D73" i="39"/>
  <c r="J72" i="39"/>
  <c r="I72" i="39"/>
  <c r="D72" i="39"/>
  <c r="J71" i="39"/>
  <c r="I71" i="39"/>
  <c r="D71" i="39"/>
  <c r="J70" i="39"/>
  <c r="I70" i="39"/>
  <c r="D70" i="39"/>
  <c r="J69" i="39"/>
  <c r="I69" i="39"/>
  <c r="D69" i="39"/>
  <c r="J68" i="39"/>
  <c r="I68" i="39"/>
  <c r="D68" i="39"/>
  <c r="J67" i="39"/>
  <c r="I67" i="39"/>
  <c r="D67" i="39"/>
  <c r="J66" i="39"/>
  <c r="I66" i="39"/>
  <c r="D66" i="39"/>
  <c r="J65" i="39"/>
  <c r="I65" i="39"/>
  <c r="D65" i="39"/>
  <c r="J64" i="39"/>
  <c r="I64" i="39"/>
  <c r="D64" i="39"/>
  <c r="J63" i="39"/>
  <c r="I63" i="39"/>
  <c r="D63" i="39"/>
  <c r="J62" i="39"/>
  <c r="I62" i="39"/>
  <c r="D62" i="39"/>
  <c r="J61" i="39"/>
  <c r="I61" i="39"/>
  <c r="D61" i="39"/>
  <c r="J60" i="39"/>
  <c r="I60" i="39"/>
  <c r="D60" i="39"/>
  <c r="J59" i="39"/>
  <c r="I59" i="39"/>
  <c r="D59" i="39"/>
  <c r="J58" i="39"/>
  <c r="I58" i="39"/>
  <c r="D58" i="39"/>
  <c r="J57" i="39"/>
  <c r="I57" i="39"/>
  <c r="D57" i="39"/>
  <c r="J56" i="39"/>
  <c r="I56" i="39"/>
  <c r="D56" i="39"/>
  <c r="J55" i="39"/>
  <c r="I55" i="39"/>
  <c r="D55" i="39"/>
  <c r="J54" i="39"/>
  <c r="I54" i="39"/>
  <c r="D54" i="39"/>
  <c r="J53" i="39"/>
  <c r="I53" i="39"/>
  <c r="D53" i="39"/>
  <c r="J52" i="39"/>
  <c r="I52" i="39"/>
  <c r="D52" i="39"/>
  <c r="J51" i="39"/>
  <c r="I51" i="39"/>
  <c r="D51" i="39"/>
  <c r="J50" i="39"/>
  <c r="I50" i="39"/>
  <c r="D50" i="39"/>
  <c r="J49" i="39"/>
  <c r="I49" i="39"/>
  <c r="D49" i="39"/>
  <c r="J48" i="39"/>
  <c r="I48" i="39"/>
  <c r="D48" i="39"/>
  <c r="J47" i="39"/>
  <c r="I47" i="39"/>
  <c r="D47" i="39"/>
  <c r="J46" i="39"/>
  <c r="I46" i="39"/>
  <c r="D46" i="39"/>
  <c r="J45" i="39"/>
  <c r="I45" i="39"/>
  <c r="D45" i="39"/>
  <c r="J44" i="39"/>
  <c r="I44" i="39"/>
  <c r="D44" i="39"/>
  <c r="J43" i="39"/>
  <c r="I43" i="39"/>
  <c r="D43" i="39"/>
  <c r="J42" i="39"/>
  <c r="I42" i="39"/>
  <c r="D42" i="39"/>
  <c r="J41" i="39"/>
  <c r="I41" i="39"/>
  <c r="D41" i="39"/>
  <c r="J40" i="39"/>
  <c r="I40" i="39"/>
  <c r="D40" i="39"/>
  <c r="J39" i="39"/>
  <c r="I39" i="39"/>
  <c r="D39" i="39"/>
  <c r="J38" i="39"/>
  <c r="I38" i="39"/>
  <c r="D38" i="39"/>
  <c r="J37" i="39"/>
  <c r="I37" i="39"/>
  <c r="D37" i="39"/>
  <c r="J36" i="39"/>
  <c r="I36" i="39"/>
  <c r="D36" i="39"/>
  <c r="J35" i="39"/>
  <c r="I35" i="39"/>
  <c r="D35" i="39"/>
  <c r="J34" i="39"/>
  <c r="I34" i="39"/>
  <c r="D34" i="39"/>
  <c r="J33" i="39"/>
  <c r="I33" i="39"/>
  <c r="D33" i="39"/>
  <c r="P32" i="39"/>
  <c r="J32" i="39"/>
  <c r="I32" i="39"/>
  <c r="D32" i="39"/>
  <c r="P31" i="39"/>
  <c r="J31" i="39"/>
  <c r="I31" i="39"/>
  <c r="D31" i="39"/>
  <c r="P30" i="39"/>
  <c r="P33" i="39" s="1"/>
  <c r="J30" i="39"/>
  <c r="I30" i="39"/>
  <c r="D30" i="39"/>
  <c r="P29" i="39"/>
  <c r="J29" i="39"/>
  <c r="I29" i="39"/>
  <c r="D29" i="39"/>
  <c r="P28" i="39"/>
  <c r="J28" i="39"/>
  <c r="I28" i="39"/>
  <c r="D28" i="39"/>
  <c r="J27" i="39"/>
  <c r="I27" i="39"/>
  <c r="D27" i="39"/>
  <c r="J26" i="39"/>
  <c r="I26" i="39"/>
  <c r="D26" i="39"/>
  <c r="P25" i="39"/>
  <c r="J25" i="39"/>
  <c r="I25" i="39"/>
  <c r="D25" i="39"/>
  <c r="P24" i="39"/>
  <c r="P26" i="39" s="1"/>
  <c r="J24" i="39"/>
  <c r="I24" i="39"/>
  <c r="D24" i="39"/>
  <c r="P23" i="39"/>
  <c r="J23" i="39"/>
  <c r="I23" i="39"/>
  <c r="D23" i="39"/>
  <c r="P22" i="39"/>
  <c r="J22" i="39"/>
  <c r="I22" i="39"/>
  <c r="D22" i="39"/>
  <c r="P21" i="39"/>
  <c r="J21" i="39"/>
  <c r="I21" i="39"/>
  <c r="D21" i="39"/>
  <c r="J20" i="39"/>
  <c r="I20" i="39"/>
  <c r="D20" i="39"/>
  <c r="M19" i="39"/>
  <c r="J19" i="39"/>
  <c r="I19" i="39"/>
  <c r="D19" i="39"/>
  <c r="J18" i="39"/>
  <c r="I18" i="39"/>
  <c r="D18" i="39"/>
  <c r="J17" i="39"/>
  <c r="I17" i="39"/>
  <c r="D17" i="39"/>
  <c r="J16" i="39"/>
  <c r="I16" i="39"/>
  <c r="D16" i="39"/>
  <c r="J15" i="39"/>
  <c r="I15" i="39"/>
  <c r="D15" i="39"/>
  <c r="J14" i="39"/>
  <c r="I14" i="39"/>
  <c r="D14" i="39"/>
  <c r="J13" i="39"/>
  <c r="I13" i="39"/>
  <c r="D13" i="39"/>
  <c r="J12" i="39"/>
  <c r="I12" i="39"/>
  <c r="D12" i="39"/>
  <c r="J11" i="39"/>
  <c r="I11" i="39"/>
  <c r="D11" i="39"/>
  <c r="J10" i="39"/>
  <c r="I10" i="39"/>
  <c r="D10" i="39"/>
  <c r="J9" i="39"/>
  <c r="I9" i="39"/>
  <c r="D9" i="39"/>
  <c r="J8" i="39"/>
  <c r="I8" i="39"/>
  <c r="D8" i="39"/>
  <c r="J7" i="39"/>
  <c r="I7" i="39"/>
  <c r="D7" i="39"/>
  <c r="J6" i="39"/>
  <c r="I6" i="39"/>
  <c r="D6" i="39"/>
  <c r="B2" i="39" a="1"/>
  <c r="B2" i="39" s="1"/>
  <c r="J488" i="38"/>
  <c r="I488" i="38"/>
  <c r="D488" i="38"/>
  <c r="J487" i="38"/>
  <c r="I487" i="38"/>
  <c r="D487" i="38"/>
  <c r="J486" i="38"/>
  <c r="I486" i="38"/>
  <c r="D486" i="38"/>
  <c r="J485" i="38"/>
  <c r="I485" i="38"/>
  <c r="D485" i="38"/>
  <c r="J484" i="38"/>
  <c r="I484" i="38"/>
  <c r="D484" i="38"/>
  <c r="J483" i="38"/>
  <c r="I483" i="38"/>
  <c r="D483" i="38"/>
  <c r="J482" i="38"/>
  <c r="I482" i="38"/>
  <c r="D482" i="38"/>
  <c r="J481" i="38"/>
  <c r="I481" i="38"/>
  <c r="D481" i="38"/>
  <c r="J480" i="38"/>
  <c r="I480" i="38"/>
  <c r="D480" i="38"/>
  <c r="J479" i="38"/>
  <c r="I479" i="38"/>
  <c r="D479" i="38"/>
  <c r="J478" i="38"/>
  <c r="I478" i="38"/>
  <c r="D478" i="38"/>
  <c r="J477" i="38"/>
  <c r="I477" i="38"/>
  <c r="D477" i="38"/>
  <c r="J476" i="38"/>
  <c r="I476" i="38"/>
  <c r="D476" i="38"/>
  <c r="J475" i="38"/>
  <c r="I475" i="38"/>
  <c r="D475" i="38"/>
  <c r="J474" i="38"/>
  <c r="I474" i="38"/>
  <c r="D474" i="38"/>
  <c r="J473" i="38"/>
  <c r="I473" i="38"/>
  <c r="D473" i="38"/>
  <c r="J472" i="38"/>
  <c r="I472" i="38"/>
  <c r="D472" i="38"/>
  <c r="J471" i="38"/>
  <c r="I471" i="38"/>
  <c r="D471" i="38"/>
  <c r="J470" i="38"/>
  <c r="I470" i="38"/>
  <c r="D470" i="38"/>
  <c r="J469" i="38"/>
  <c r="I469" i="38"/>
  <c r="D469" i="38"/>
  <c r="J468" i="38"/>
  <c r="I468" i="38"/>
  <c r="D468" i="38"/>
  <c r="J467" i="38"/>
  <c r="I467" i="38"/>
  <c r="D467" i="38"/>
  <c r="J466" i="38"/>
  <c r="I466" i="38"/>
  <c r="D466" i="38"/>
  <c r="J465" i="38"/>
  <c r="I465" i="38"/>
  <c r="D465" i="38"/>
  <c r="J464" i="38"/>
  <c r="I464" i="38"/>
  <c r="D464" i="38"/>
  <c r="J463" i="38"/>
  <c r="I463" i="38"/>
  <c r="D463" i="38"/>
  <c r="J462" i="38"/>
  <c r="I462" i="38"/>
  <c r="D462" i="38"/>
  <c r="J461" i="38"/>
  <c r="I461" i="38"/>
  <c r="D461" i="38"/>
  <c r="J460" i="38"/>
  <c r="I460" i="38"/>
  <c r="D460" i="38"/>
  <c r="J459" i="38"/>
  <c r="I459" i="38"/>
  <c r="D459" i="38"/>
  <c r="J458" i="38"/>
  <c r="I458" i="38"/>
  <c r="D458" i="38"/>
  <c r="J457" i="38"/>
  <c r="I457" i="38"/>
  <c r="D457" i="38"/>
  <c r="J456" i="38"/>
  <c r="I456" i="38"/>
  <c r="D456" i="38"/>
  <c r="J455" i="38"/>
  <c r="I455" i="38"/>
  <c r="D455" i="38"/>
  <c r="J454" i="38"/>
  <c r="I454" i="38"/>
  <c r="D454" i="38"/>
  <c r="J453" i="38"/>
  <c r="I453" i="38"/>
  <c r="D453" i="38"/>
  <c r="J452" i="38"/>
  <c r="I452" i="38"/>
  <c r="D452" i="38"/>
  <c r="J451" i="38"/>
  <c r="I451" i="38"/>
  <c r="D451" i="38"/>
  <c r="J450" i="38"/>
  <c r="I450" i="38"/>
  <c r="D450" i="38"/>
  <c r="J449" i="38"/>
  <c r="I449" i="38"/>
  <c r="D449" i="38"/>
  <c r="J448" i="38"/>
  <c r="I448" i="38"/>
  <c r="D448" i="38"/>
  <c r="J447" i="38"/>
  <c r="I447" i="38"/>
  <c r="D447" i="38"/>
  <c r="J446" i="38"/>
  <c r="I446" i="38"/>
  <c r="D446" i="38"/>
  <c r="J445" i="38"/>
  <c r="I445" i="38"/>
  <c r="D445" i="38"/>
  <c r="J444" i="38"/>
  <c r="I444" i="38"/>
  <c r="D444" i="38"/>
  <c r="J443" i="38"/>
  <c r="I443" i="38"/>
  <c r="D443" i="38"/>
  <c r="J442" i="38"/>
  <c r="I442" i="38"/>
  <c r="D442" i="38"/>
  <c r="J441" i="38"/>
  <c r="I441" i="38"/>
  <c r="D441" i="38"/>
  <c r="J440" i="38"/>
  <c r="I440" i="38"/>
  <c r="D440" i="38"/>
  <c r="J439" i="38"/>
  <c r="I439" i="38"/>
  <c r="D439" i="38"/>
  <c r="J438" i="38"/>
  <c r="I438" i="38"/>
  <c r="D438" i="38"/>
  <c r="J437" i="38"/>
  <c r="I437" i="38"/>
  <c r="D437" i="38"/>
  <c r="J436" i="38"/>
  <c r="I436" i="38"/>
  <c r="D436" i="38"/>
  <c r="J435" i="38"/>
  <c r="I435" i="38"/>
  <c r="D435" i="38"/>
  <c r="J434" i="38"/>
  <c r="I434" i="38"/>
  <c r="D434" i="38"/>
  <c r="J433" i="38"/>
  <c r="I433" i="38"/>
  <c r="D433" i="38"/>
  <c r="J432" i="38"/>
  <c r="I432" i="38"/>
  <c r="D432" i="38"/>
  <c r="J431" i="38"/>
  <c r="I431" i="38"/>
  <c r="D431" i="38"/>
  <c r="J430" i="38"/>
  <c r="I430" i="38"/>
  <c r="D430" i="38"/>
  <c r="J429" i="38"/>
  <c r="I429" i="38"/>
  <c r="D429" i="38"/>
  <c r="J428" i="38"/>
  <c r="I428" i="38"/>
  <c r="D428" i="38"/>
  <c r="J427" i="38"/>
  <c r="I427" i="38"/>
  <c r="D427" i="38"/>
  <c r="J426" i="38"/>
  <c r="I426" i="38"/>
  <c r="D426" i="38"/>
  <c r="J425" i="38"/>
  <c r="I425" i="38"/>
  <c r="D425" i="38"/>
  <c r="J424" i="38"/>
  <c r="I424" i="38"/>
  <c r="D424" i="38"/>
  <c r="J423" i="38"/>
  <c r="I423" i="38"/>
  <c r="D423" i="38"/>
  <c r="J422" i="38"/>
  <c r="I422" i="38"/>
  <c r="D422" i="38"/>
  <c r="J421" i="38"/>
  <c r="I421" i="38"/>
  <c r="D421" i="38"/>
  <c r="J420" i="38"/>
  <c r="I420" i="38"/>
  <c r="D420" i="38"/>
  <c r="J419" i="38"/>
  <c r="I419" i="38"/>
  <c r="D419" i="38"/>
  <c r="J418" i="38"/>
  <c r="I418" i="38"/>
  <c r="D418" i="38"/>
  <c r="J417" i="38"/>
  <c r="I417" i="38"/>
  <c r="D417" i="38"/>
  <c r="J416" i="38"/>
  <c r="I416" i="38"/>
  <c r="D416" i="38"/>
  <c r="J415" i="38"/>
  <c r="I415" i="38"/>
  <c r="D415" i="38"/>
  <c r="J414" i="38"/>
  <c r="I414" i="38"/>
  <c r="D414" i="38"/>
  <c r="J413" i="38"/>
  <c r="I413" i="38"/>
  <c r="D413" i="38"/>
  <c r="J412" i="38"/>
  <c r="I412" i="38"/>
  <c r="D412" i="38"/>
  <c r="J411" i="38"/>
  <c r="I411" i="38"/>
  <c r="D411" i="38"/>
  <c r="J410" i="38"/>
  <c r="I410" i="38"/>
  <c r="D410" i="38"/>
  <c r="J409" i="38"/>
  <c r="I409" i="38"/>
  <c r="D409" i="38"/>
  <c r="J408" i="38"/>
  <c r="I408" i="38"/>
  <c r="D408" i="38"/>
  <c r="J407" i="38"/>
  <c r="I407" i="38"/>
  <c r="D407" i="38"/>
  <c r="J406" i="38"/>
  <c r="I406" i="38"/>
  <c r="D406" i="38"/>
  <c r="J405" i="38"/>
  <c r="I405" i="38"/>
  <c r="D405" i="38"/>
  <c r="J404" i="38"/>
  <c r="I404" i="38"/>
  <c r="D404" i="38"/>
  <c r="J403" i="38"/>
  <c r="I403" i="38"/>
  <c r="D403" i="38"/>
  <c r="J402" i="38"/>
  <c r="I402" i="38"/>
  <c r="D402" i="38"/>
  <c r="J401" i="38"/>
  <c r="I401" i="38"/>
  <c r="D401" i="38"/>
  <c r="J400" i="38"/>
  <c r="I400" i="38"/>
  <c r="D400" i="38"/>
  <c r="J399" i="38"/>
  <c r="I399" i="38"/>
  <c r="D399" i="38"/>
  <c r="J398" i="38"/>
  <c r="I398" i="38"/>
  <c r="D398" i="38"/>
  <c r="J397" i="38"/>
  <c r="I397" i="38"/>
  <c r="D397" i="38"/>
  <c r="J396" i="38"/>
  <c r="I396" i="38"/>
  <c r="D396" i="38"/>
  <c r="J395" i="38"/>
  <c r="I395" i="38"/>
  <c r="D395" i="38"/>
  <c r="J394" i="38"/>
  <c r="I394" i="38"/>
  <c r="D394" i="38"/>
  <c r="J393" i="38"/>
  <c r="I393" i="38"/>
  <c r="D393" i="38"/>
  <c r="J392" i="38"/>
  <c r="I392" i="38"/>
  <c r="D392" i="38"/>
  <c r="J391" i="38"/>
  <c r="I391" i="38"/>
  <c r="D391" i="38"/>
  <c r="J390" i="38"/>
  <c r="I390" i="38"/>
  <c r="D390" i="38"/>
  <c r="J389" i="38"/>
  <c r="I389" i="38"/>
  <c r="D389" i="38"/>
  <c r="J388" i="38"/>
  <c r="I388" i="38"/>
  <c r="D388" i="38"/>
  <c r="J387" i="38"/>
  <c r="I387" i="38"/>
  <c r="D387" i="38"/>
  <c r="J386" i="38"/>
  <c r="I386" i="38"/>
  <c r="D386" i="38"/>
  <c r="J385" i="38"/>
  <c r="I385" i="38"/>
  <c r="D385" i="38"/>
  <c r="J384" i="38"/>
  <c r="I384" i="38"/>
  <c r="D384" i="38"/>
  <c r="J383" i="38"/>
  <c r="I383" i="38"/>
  <c r="D383" i="38"/>
  <c r="J382" i="38"/>
  <c r="I382" i="38"/>
  <c r="D382" i="38"/>
  <c r="J381" i="38"/>
  <c r="I381" i="38"/>
  <c r="D381" i="38"/>
  <c r="J380" i="38"/>
  <c r="I380" i="38"/>
  <c r="D380" i="38"/>
  <c r="J379" i="38"/>
  <c r="I379" i="38"/>
  <c r="D379" i="38"/>
  <c r="J378" i="38"/>
  <c r="I378" i="38"/>
  <c r="D378" i="38"/>
  <c r="J377" i="38"/>
  <c r="I377" i="38"/>
  <c r="D377" i="38"/>
  <c r="J376" i="38"/>
  <c r="I376" i="38"/>
  <c r="D376" i="38"/>
  <c r="J375" i="38"/>
  <c r="I375" i="38"/>
  <c r="D375" i="38"/>
  <c r="J374" i="38"/>
  <c r="I374" i="38"/>
  <c r="D374" i="38"/>
  <c r="J373" i="38"/>
  <c r="I373" i="38"/>
  <c r="D373" i="38"/>
  <c r="J372" i="38"/>
  <c r="I372" i="38"/>
  <c r="D372" i="38"/>
  <c r="J371" i="38"/>
  <c r="I371" i="38"/>
  <c r="D371" i="38"/>
  <c r="J370" i="38"/>
  <c r="I370" i="38"/>
  <c r="D370" i="38"/>
  <c r="J369" i="38"/>
  <c r="I369" i="38"/>
  <c r="D369" i="38"/>
  <c r="J368" i="38"/>
  <c r="I368" i="38"/>
  <c r="D368" i="38"/>
  <c r="J367" i="38"/>
  <c r="I367" i="38"/>
  <c r="D367" i="38"/>
  <c r="J366" i="38"/>
  <c r="I366" i="38"/>
  <c r="D366" i="38"/>
  <c r="J365" i="38"/>
  <c r="I365" i="38"/>
  <c r="D365" i="38"/>
  <c r="J364" i="38"/>
  <c r="I364" i="38"/>
  <c r="D364" i="38"/>
  <c r="J363" i="38"/>
  <c r="I363" i="38"/>
  <c r="D363" i="38"/>
  <c r="J362" i="38"/>
  <c r="I362" i="38"/>
  <c r="D362" i="38"/>
  <c r="J361" i="38"/>
  <c r="I361" i="38"/>
  <c r="D361" i="38"/>
  <c r="J360" i="38"/>
  <c r="I360" i="38"/>
  <c r="D360" i="38"/>
  <c r="J359" i="38"/>
  <c r="I359" i="38"/>
  <c r="D359" i="38"/>
  <c r="J358" i="38"/>
  <c r="I358" i="38"/>
  <c r="D358" i="38"/>
  <c r="J357" i="38"/>
  <c r="I357" i="38"/>
  <c r="D357" i="38"/>
  <c r="J356" i="38"/>
  <c r="I356" i="38"/>
  <c r="D356" i="38"/>
  <c r="J355" i="38"/>
  <c r="I355" i="38"/>
  <c r="D355" i="38"/>
  <c r="J354" i="38"/>
  <c r="I354" i="38"/>
  <c r="D354" i="38"/>
  <c r="J353" i="38"/>
  <c r="I353" i="38"/>
  <c r="D353" i="38"/>
  <c r="J352" i="38"/>
  <c r="I352" i="38"/>
  <c r="D352" i="38"/>
  <c r="J351" i="38"/>
  <c r="I351" i="38"/>
  <c r="D351" i="38"/>
  <c r="J350" i="38"/>
  <c r="I350" i="38"/>
  <c r="D350" i="38"/>
  <c r="J349" i="38"/>
  <c r="I349" i="38"/>
  <c r="D349" i="38"/>
  <c r="J348" i="38"/>
  <c r="I348" i="38"/>
  <c r="D348" i="38"/>
  <c r="J347" i="38"/>
  <c r="I347" i="38"/>
  <c r="D347" i="38"/>
  <c r="J346" i="38"/>
  <c r="I346" i="38"/>
  <c r="D346" i="38"/>
  <c r="J345" i="38"/>
  <c r="I345" i="38"/>
  <c r="D345" i="38"/>
  <c r="J344" i="38"/>
  <c r="I344" i="38"/>
  <c r="D344" i="38"/>
  <c r="J343" i="38"/>
  <c r="I343" i="38"/>
  <c r="D343" i="38"/>
  <c r="J342" i="38"/>
  <c r="I342" i="38"/>
  <c r="D342" i="38"/>
  <c r="J341" i="38"/>
  <c r="I341" i="38"/>
  <c r="D341" i="38"/>
  <c r="J340" i="38"/>
  <c r="I340" i="38"/>
  <c r="D340" i="38"/>
  <c r="J339" i="38"/>
  <c r="I339" i="38"/>
  <c r="D339" i="38"/>
  <c r="J338" i="38"/>
  <c r="I338" i="38"/>
  <c r="D338" i="38"/>
  <c r="J337" i="38"/>
  <c r="I337" i="38"/>
  <c r="D337" i="38"/>
  <c r="J336" i="38"/>
  <c r="I336" i="38"/>
  <c r="D336" i="38"/>
  <c r="J335" i="38"/>
  <c r="I335" i="38"/>
  <c r="D335" i="38"/>
  <c r="J334" i="38"/>
  <c r="I334" i="38"/>
  <c r="D334" i="38"/>
  <c r="J333" i="38"/>
  <c r="I333" i="38"/>
  <c r="D333" i="38"/>
  <c r="J332" i="38"/>
  <c r="I332" i="38"/>
  <c r="D332" i="38"/>
  <c r="J331" i="38"/>
  <c r="I331" i="38"/>
  <c r="D331" i="38"/>
  <c r="J330" i="38"/>
  <c r="I330" i="38"/>
  <c r="D330" i="38"/>
  <c r="J329" i="38"/>
  <c r="I329" i="38"/>
  <c r="D329" i="38"/>
  <c r="J328" i="38"/>
  <c r="I328" i="38"/>
  <c r="D328" i="38"/>
  <c r="J327" i="38"/>
  <c r="I327" i="38"/>
  <c r="D327" i="38"/>
  <c r="J326" i="38"/>
  <c r="I326" i="38"/>
  <c r="D326" i="38"/>
  <c r="J325" i="38"/>
  <c r="I325" i="38"/>
  <c r="D325" i="38"/>
  <c r="J324" i="38"/>
  <c r="I324" i="38"/>
  <c r="D324" i="38"/>
  <c r="J323" i="38"/>
  <c r="I323" i="38"/>
  <c r="D323" i="38"/>
  <c r="J322" i="38"/>
  <c r="I322" i="38"/>
  <c r="D322" i="38"/>
  <c r="J321" i="38"/>
  <c r="I321" i="38"/>
  <c r="D321" i="38"/>
  <c r="J320" i="38"/>
  <c r="I320" i="38"/>
  <c r="D320" i="38"/>
  <c r="J319" i="38"/>
  <c r="I319" i="38"/>
  <c r="D319" i="38"/>
  <c r="J318" i="38"/>
  <c r="I318" i="38"/>
  <c r="D318" i="38"/>
  <c r="J317" i="38"/>
  <c r="I317" i="38"/>
  <c r="D317" i="38"/>
  <c r="J316" i="38"/>
  <c r="I316" i="38"/>
  <c r="D316" i="38"/>
  <c r="J315" i="38"/>
  <c r="I315" i="38"/>
  <c r="D315" i="38"/>
  <c r="J314" i="38"/>
  <c r="I314" i="38"/>
  <c r="D314" i="38"/>
  <c r="J313" i="38"/>
  <c r="I313" i="38"/>
  <c r="D313" i="38"/>
  <c r="J312" i="38"/>
  <c r="I312" i="38"/>
  <c r="D312" i="38"/>
  <c r="J311" i="38"/>
  <c r="I311" i="38"/>
  <c r="D311" i="38"/>
  <c r="J310" i="38"/>
  <c r="I310" i="38"/>
  <c r="D310" i="38"/>
  <c r="J309" i="38"/>
  <c r="I309" i="38"/>
  <c r="D309" i="38"/>
  <c r="J308" i="38"/>
  <c r="I308" i="38"/>
  <c r="D308" i="38"/>
  <c r="J307" i="38"/>
  <c r="I307" i="38"/>
  <c r="D307" i="38"/>
  <c r="J306" i="38"/>
  <c r="I306" i="38"/>
  <c r="D306" i="38"/>
  <c r="J305" i="38"/>
  <c r="I305" i="38"/>
  <c r="D305" i="38"/>
  <c r="J304" i="38"/>
  <c r="I304" i="38"/>
  <c r="D304" i="38"/>
  <c r="J303" i="38"/>
  <c r="I303" i="38"/>
  <c r="D303" i="38"/>
  <c r="J302" i="38"/>
  <c r="I302" i="38"/>
  <c r="D302" i="38"/>
  <c r="J301" i="38"/>
  <c r="I301" i="38"/>
  <c r="D301" i="38"/>
  <c r="J300" i="38"/>
  <c r="I300" i="38"/>
  <c r="D300" i="38"/>
  <c r="J299" i="38"/>
  <c r="I299" i="38"/>
  <c r="D299" i="38"/>
  <c r="J298" i="38"/>
  <c r="I298" i="38"/>
  <c r="D298" i="38"/>
  <c r="J297" i="38"/>
  <c r="I297" i="38"/>
  <c r="D297" i="38"/>
  <c r="J296" i="38"/>
  <c r="I296" i="38"/>
  <c r="D296" i="38"/>
  <c r="J295" i="38"/>
  <c r="I295" i="38"/>
  <c r="D295" i="38"/>
  <c r="J294" i="38"/>
  <c r="I294" i="38"/>
  <c r="D294" i="38"/>
  <c r="J293" i="38"/>
  <c r="I293" i="38"/>
  <c r="D293" i="38"/>
  <c r="J292" i="38"/>
  <c r="I292" i="38"/>
  <c r="D292" i="38"/>
  <c r="J291" i="38"/>
  <c r="I291" i="38"/>
  <c r="D291" i="38"/>
  <c r="J290" i="38"/>
  <c r="I290" i="38"/>
  <c r="D290" i="38"/>
  <c r="J289" i="38"/>
  <c r="I289" i="38"/>
  <c r="D289" i="38"/>
  <c r="J288" i="38"/>
  <c r="I288" i="38"/>
  <c r="D288" i="38"/>
  <c r="J287" i="38"/>
  <c r="I287" i="38"/>
  <c r="D287" i="38"/>
  <c r="J286" i="38"/>
  <c r="I286" i="38"/>
  <c r="D286" i="38"/>
  <c r="J285" i="38"/>
  <c r="I285" i="38"/>
  <c r="D285" i="38"/>
  <c r="J284" i="38"/>
  <c r="I284" i="38"/>
  <c r="D284" i="38"/>
  <c r="J283" i="38"/>
  <c r="I283" i="38"/>
  <c r="D283" i="38"/>
  <c r="J282" i="38"/>
  <c r="I282" i="38"/>
  <c r="D282" i="38"/>
  <c r="J281" i="38"/>
  <c r="I281" i="38"/>
  <c r="D281" i="38"/>
  <c r="J280" i="38"/>
  <c r="I280" i="38"/>
  <c r="D280" i="38"/>
  <c r="J279" i="38"/>
  <c r="I279" i="38"/>
  <c r="D279" i="38"/>
  <c r="J278" i="38"/>
  <c r="I278" i="38"/>
  <c r="D278" i="38"/>
  <c r="J277" i="38"/>
  <c r="I277" i="38"/>
  <c r="D277" i="38"/>
  <c r="J276" i="38"/>
  <c r="I276" i="38"/>
  <c r="D276" i="38"/>
  <c r="J275" i="38"/>
  <c r="I275" i="38"/>
  <c r="D275" i="38"/>
  <c r="J274" i="38"/>
  <c r="I274" i="38"/>
  <c r="D274" i="38"/>
  <c r="J273" i="38"/>
  <c r="I273" i="38"/>
  <c r="D273" i="38"/>
  <c r="J272" i="38"/>
  <c r="I272" i="38"/>
  <c r="D272" i="38"/>
  <c r="J271" i="38"/>
  <c r="I271" i="38"/>
  <c r="D271" i="38"/>
  <c r="J270" i="38"/>
  <c r="I270" i="38"/>
  <c r="D270" i="38"/>
  <c r="J269" i="38"/>
  <c r="I269" i="38"/>
  <c r="D269" i="38"/>
  <c r="J268" i="38"/>
  <c r="I268" i="38"/>
  <c r="D268" i="38"/>
  <c r="J267" i="38"/>
  <c r="I267" i="38"/>
  <c r="D267" i="38"/>
  <c r="J266" i="38"/>
  <c r="I266" i="38"/>
  <c r="D266" i="38"/>
  <c r="J265" i="38"/>
  <c r="I265" i="38"/>
  <c r="D265" i="38"/>
  <c r="J264" i="38"/>
  <c r="I264" i="38"/>
  <c r="D264" i="38"/>
  <c r="J263" i="38"/>
  <c r="I263" i="38"/>
  <c r="D263" i="38"/>
  <c r="J262" i="38"/>
  <c r="I262" i="38"/>
  <c r="D262" i="38"/>
  <c r="J261" i="38"/>
  <c r="I261" i="38"/>
  <c r="D261" i="38"/>
  <c r="J260" i="38"/>
  <c r="I260" i="38"/>
  <c r="D260" i="38"/>
  <c r="J259" i="38"/>
  <c r="I259" i="38"/>
  <c r="D259" i="38"/>
  <c r="J258" i="38"/>
  <c r="I258" i="38"/>
  <c r="D258" i="38"/>
  <c r="J257" i="38"/>
  <c r="I257" i="38"/>
  <c r="D257" i="38"/>
  <c r="J256" i="38"/>
  <c r="I256" i="38"/>
  <c r="D256" i="38"/>
  <c r="J255" i="38"/>
  <c r="I255" i="38"/>
  <c r="D255" i="38"/>
  <c r="J254" i="38"/>
  <c r="I254" i="38"/>
  <c r="D254" i="38"/>
  <c r="J253" i="38"/>
  <c r="I253" i="38"/>
  <c r="D253" i="38"/>
  <c r="J252" i="38"/>
  <c r="I252" i="38"/>
  <c r="D252" i="38"/>
  <c r="J251" i="38"/>
  <c r="I251" i="38"/>
  <c r="D251" i="38"/>
  <c r="J250" i="38"/>
  <c r="I250" i="38"/>
  <c r="D250" i="38"/>
  <c r="J249" i="38"/>
  <c r="I249" i="38"/>
  <c r="D249" i="38"/>
  <c r="J248" i="38"/>
  <c r="I248" i="38"/>
  <c r="D248" i="38"/>
  <c r="J247" i="38"/>
  <c r="I247" i="38"/>
  <c r="D247" i="38"/>
  <c r="J246" i="38"/>
  <c r="I246" i="38"/>
  <c r="D246" i="38"/>
  <c r="J245" i="38"/>
  <c r="I245" i="38"/>
  <c r="D245" i="38"/>
  <c r="J244" i="38"/>
  <c r="I244" i="38"/>
  <c r="D244" i="38"/>
  <c r="J243" i="38"/>
  <c r="I243" i="38"/>
  <c r="D243" i="38"/>
  <c r="J242" i="38"/>
  <c r="I242" i="38"/>
  <c r="D242" i="38"/>
  <c r="J241" i="38"/>
  <c r="I241" i="38"/>
  <c r="D241" i="38"/>
  <c r="J240" i="38"/>
  <c r="I240" i="38"/>
  <c r="D240" i="38"/>
  <c r="J239" i="38"/>
  <c r="I239" i="38"/>
  <c r="D239" i="38"/>
  <c r="J238" i="38"/>
  <c r="I238" i="38"/>
  <c r="D238" i="38"/>
  <c r="J237" i="38"/>
  <c r="I237" i="38"/>
  <c r="D237" i="38"/>
  <c r="J236" i="38"/>
  <c r="I236" i="38"/>
  <c r="D236" i="38"/>
  <c r="J235" i="38"/>
  <c r="I235" i="38"/>
  <c r="D235" i="38"/>
  <c r="J234" i="38"/>
  <c r="I234" i="38"/>
  <c r="D234" i="38"/>
  <c r="J233" i="38"/>
  <c r="I233" i="38"/>
  <c r="D233" i="38"/>
  <c r="J232" i="38"/>
  <c r="I232" i="38"/>
  <c r="D232" i="38"/>
  <c r="J231" i="38"/>
  <c r="I231" i="38"/>
  <c r="D231" i="38"/>
  <c r="J230" i="38"/>
  <c r="I230" i="38"/>
  <c r="D230" i="38"/>
  <c r="J229" i="38"/>
  <c r="I229" i="38"/>
  <c r="D229" i="38"/>
  <c r="J228" i="38"/>
  <c r="I228" i="38"/>
  <c r="D228" i="38"/>
  <c r="J227" i="38"/>
  <c r="I227" i="38"/>
  <c r="D227" i="38"/>
  <c r="J226" i="38"/>
  <c r="I226" i="38"/>
  <c r="D226" i="38"/>
  <c r="J225" i="38"/>
  <c r="I225" i="38"/>
  <c r="D225" i="38"/>
  <c r="J224" i="38"/>
  <c r="I224" i="38"/>
  <c r="D224" i="38"/>
  <c r="J223" i="38"/>
  <c r="I223" i="38"/>
  <c r="D223" i="38"/>
  <c r="J222" i="38"/>
  <c r="I222" i="38"/>
  <c r="D222" i="38"/>
  <c r="J221" i="38"/>
  <c r="I221" i="38"/>
  <c r="D221" i="38"/>
  <c r="J220" i="38"/>
  <c r="I220" i="38"/>
  <c r="D220" i="38"/>
  <c r="J219" i="38"/>
  <c r="I219" i="38"/>
  <c r="D219" i="38"/>
  <c r="J218" i="38"/>
  <c r="I218" i="38"/>
  <c r="D218" i="38"/>
  <c r="J217" i="38"/>
  <c r="I217" i="38"/>
  <c r="D217" i="38"/>
  <c r="J216" i="38"/>
  <c r="I216" i="38"/>
  <c r="D216" i="38"/>
  <c r="J215" i="38"/>
  <c r="I215" i="38"/>
  <c r="D215" i="38"/>
  <c r="J214" i="38"/>
  <c r="I214" i="38"/>
  <c r="D214" i="38"/>
  <c r="J213" i="38"/>
  <c r="I213" i="38"/>
  <c r="D213" i="38"/>
  <c r="J212" i="38"/>
  <c r="I212" i="38"/>
  <c r="D212" i="38"/>
  <c r="J211" i="38"/>
  <c r="I211" i="38"/>
  <c r="D211" i="38"/>
  <c r="J210" i="38"/>
  <c r="I210" i="38"/>
  <c r="D210" i="38"/>
  <c r="J209" i="38"/>
  <c r="I209" i="38"/>
  <c r="D209" i="38"/>
  <c r="J208" i="38"/>
  <c r="I208" i="38"/>
  <c r="D208" i="38"/>
  <c r="J207" i="38"/>
  <c r="I207" i="38"/>
  <c r="D207" i="38"/>
  <c r="J206" i="38"/>
  <c r="I206" i="38"/>
  <c r="D206" i="38"/>
  <c r="J205" i="38"/>
  <c r="I205" i="38"/>
  <c r="D205" i="38"/>
  <c r="J204" i="38"/>
  <c r="I204" i="38"/>
  <c r="D204" i="38"/>
  <c r="J203" i="38"/>
  <c r="I203" i="38"/>
  <c r="D203" i="38"/>
  <c r="J202" i="38"/>
  <c r="I202" i="38"/>
  <c r="D202" i="38"/>
  <c r="J201" i="38"/>
  <c r="I201" i="38"/>
  <c r="D201" i="38"/>
  <c r="J200" i="38"/>
  <c r="I200" i="38"/>
  <c r="D200" i="38"/>
  <c r="J199" i="38"/>
  <c r="I199" i="38"/>
  <c r="D199" i="38"/>
  <c r="J198" i="38"/>
  <c r="I198" i="38"/>
  <c r="D198" i="38"/>
  <c r="J197" i="38"/>
  <c r="I197" i="38"/>
  <c r="D197" i="38"/>
  <c r="J196" i="38"/>
  <c r="I196" i="38"/>
  <c r="D196" i="38"/>
  <c r="J195" i="38"/>
  <c r="I195" i="38"/>
  <c r="D195" i="38"/>
  <c r="J194" i="38"/>
  <c r="I194" i="38"/>
  <c r="D194" i="38"/>
  <c r="J193" i="38"/>
  <c r="I193" i="38"/>
  <c r="D193" i="38"/>
  <c r="J192" i="38"/>
  <c r="I192" i="38"/>
  <c r="D192" i="38"/>
  <c r="J191" i="38"/>
  <c r="I191" i="38"/>
  <c r="D191" i="38"/>
  <c r="J190" i="38"/>
  <c r="I190" i="38"/>
  <c r="D190" i="38"/>
  <c r="J189" i="38"/>
  <c r="I189" i="38"/>
  <c r="D189" i="38"/>
  <c r="J188" i="38"/>
  <c r="I188" i="38"/>
  <c r="D188" i="38"/>
  <c r="J187" i="38"/>
  <c r="I187" i="38"/>
  <c r="D187" i="38"/>
  <c r="J186" i="38"/>
  <c r="I186" i="38"/>
  <c r="D186" i="38"/>
  <c r="J185" i="38"/>
  <c r="I185" i="38"/>
  <c r="D185" i="38"/>
  <c r="J184" i="38"/>
  <c r="I184" i="38"/>
  <c r="D184" i="38"/>
  <c r="J183" i="38"/>
  <c r="I183" i="38"/>
  <c r="D183" i="38"/>
  <c r="J182" i="38"/>
  <c r="I182" i="38"/>
  <c r="D182" i="38"/>
  <c r="J181" i="38"/>
  <c r="I181" i="38"/>
  <c r="D181" i="38"/>
  <c r="J180" i="38"/>
  <c r="I180" i="38"/>
  <c r="D180" i="38"/>
  <c r="J179" i="38"/>
  <c r="I179" i="38"/>
  <c r="D179" i="38"/>
  <c r="J178" i="38"/>
  <c r="I178" i="38"/>
  <c r="D178" i="38"/>
  <c r="J177" i="38"/>
  <c r="I177" i="38"/>
  <c r="D177" i="38"/>
  <c r="J176" i="38"/>
  <c r="I176" i="38"/>
  <c r="D176" i="38"/>
  <c r="J175" i="38"/>
  <c r="I175" i="38"/>
  <c r="D175" i="38"/>
  <c r="J174" i="38"/>
  <c r="I174" i="38"/>
  <c r="D174" i="38"/>
  <c r="J173" i="38"/>
  <c r="I173" i="38"/>
  <c r="D173" i="38"/>
  <c r="J172" i="38"/>
  <c r="I172" i="38"/>
  <c r="D172" i="38"/>
  <c r="J171" i="38"/>
  <c r="I171" i="38"/>
  <c r="D171" i="38"/>
  <c r="J170" i="38"/>
  <c r="I170" i="38"/>
  <c r="D170" i="38"/>
  <c r="J169" i="38"/>
  <c r="I169" i="38"/>
  <c r="D169" i="38"/>
  <c r="J168" i="38"/>
  <c r="I168" i="38"/>
  <c r="D168" i="38"/>
  <c r="J167" i="38"/>
  <c r="I167" i="38"/>
  <c r="D167" i="38"/>
  <c r="J166" i="38"/>
  <c r="I166" i="38"/>
  <c r="D166" i="38"/>
  <c r="J165" i="38"/>
  <c r="I165" i="38"/>
  <c r="D165" i="38"/>
  <c r="J164" i="38"/>
  <c r="I164" i="38"/>
  <c r="D164" i="38"/>
  <c r="J163" i="38"/>
  <c r="I163" i="38"/>
  <c r="D163" i="38"/>
  <c r="J162" i="38"/>
  <c r="I162" i="38"/>
  <c r="D162" i="38"/>
  <c r="J161" i="38"/>
  <c r="I161" i="38"/>
  <c r="D161" i="38"/>
  <c r="J160" i="38"/>
  <c r="I160" i="38"/>
  <c r="D160" i="38"/>
  <c r="J159" i="38"/>
  <c r="I159" i="38"/>
  <c r="D159" i="38"/>
  <c r="J158" i="38"/>
  <c r="I158" i="38"/>
  <c r="D158" i="38"/>
  <c r="J157" i="38"/>
  <c r="I157" i="38"/>
  <c r="D157" i="38"/>
  <c r="J156" i="38"/>
  <c r="I156" i="38"/>
  <c r="D156" i="38"/>
  <c r="J155" i="38"/>
  <c r="I155" i="38"/>
  <c r="D155" i="38"/>
  <c r="J154" i="38"/>
  <c r="I154" i="38"/>
  <c r="D154" i="38"/>
  <c r="J153" i="38"/>
  <c r="I153" i="38"/>
  <c r="D153" i="38"/>
  <c r="J152" i="38"/>
  <c r="I152" i="38"/>
  <c r="D152" i="38"/>
  <c r="J151" i="38"/>
  <c r="I151" i="38"/>
  <c r="D151" i="38"/>
  <c r="J150" i="38"/>
  <c r="I150" i="38"/>
  <c r="D150" i="38"/>
  <c r="J149" i="38"/>
  <c r="I149" i="38"/>
  <c r="D149" i="38"/>
  <c r="J148" i="38"/>
  <c r="I148" i="38"/>
  <c r="D148" i="38"/>
  <c r="J147" i="38"/>
  <c r="I147" i="38"/>
  <c r="D147" i="38"/>
  <c r="J146" i="38"/>
  <c r="I146" i="38"/>
  <c r="D146" i="38"/>
  <c r="J145" i="38"/>
  <c r="I145" i="38"/>
  <c r="D145" i="38"/>
  <c r="J144" i="38"/>
  <c r="I144" i="38"/>
  <c r="D144" i="38"/>
  <c r="J143" i="38"/>
  <c r="I143" i="38"/>
  <c r="D143" i="38"/>
  <c r="J142" i="38"/>
  <c r="I142" i="38"/>
  <c r="D142" i="38"/>
  <c r="J141" i="38"/>
  <c r="I141" i="38"/>
  <c r="D141" i="38"/>
  <c r="J140" i="38"/>
  <c r="I140" i="38"/>
  <c r="D140" i="38"/>
  <c r="J139" i="38"/>
  <c r="I139" i="38"/>
  <c r="D139" i="38"/>
  <c r="J138" i="38"/>
  <c r="I138" i="38"/>
  <c r="D138" i="38"/>
  <c r="J137" i="38"/>
  <c r="I137" i="38"/>
  <c r="D137" i="38"/>
  <c r="J136" i="38"/>
  <c r="I136" i="38"/>
  <c r="D136" i="38"/>
  <c r="J135" i="38"/>
  <c r="I135" i="38"/>
  <c r="D135" i="38"/>
  <c r="J134" i="38"/>
  <c r="I134" i="38"/>
  <c r="D134" i="38"/>
  <c r="J133" i="38"/>
  <c r="I133" i="38"/>
  <c r="D133" i="38"/>
  <c r="J132" i="38"/>
  <c r="I132" i="38"/>
  <c r="D132" i="38"/>
  <c r="J131" i="38"/>
  <c r="I131" i="38"/>
  <c r="D131" i="38"/>
  <c r="J130" i="38"/>
  <c r="I130" i="38"/>
  <c r="D130" i="38"/>
  <c r="J129" i="38"/>
  <c r="I129" i="38"/>
  <c r="D129" i="38"/>
  <c r="J128" i="38"/>
  <c r="I128" i="38"/>
  <c r="D128" i="38"/>
  <c r="J127" i="38"/>
  <c r="I127" i="38"/>
  <c r="D127" i="38"/>
  <c r="J126" i="38"/>
  <c r="I126" i="38"/>
  <c r="D126" i="38"/>
  <c r="J125" i="38"/>
  <c r="I125" i="38"/>
  <c r="D125" i="38"/>
  <c r="J124" i="38"/>
  <c r="I124" i="38"/>
  <c r="D124" i="38"/>
  <c r="J123" i="38"/>
  <c r="I123" i="38"/>
  <c r="D123" i="38"/>
  <c r="J122" i="38"/>
  <c r="I122" i="38"/>
  <c r="D122" i="38"/>
  <c r="J121" i="38"/>
  <c r="I121" i="38"/>
  <c r="D121" i="38"/>
  <c r="J120" i="38"/>
  <c r="I120" i="38"/>
  <c r="D120" i="38"/>
  <c r="J119" i="38"/>
  <c r="I119" i="38"/>
  <c r="D119" i="38"/>
  <c r="J118" i="38"/>
  <c r="I118" i="38"/>
  <c r="D118" i="38"/>
  <c r="J117" i="38"/>
  <c r="I117" i="38"/>
  <c r="D117" i="38"/>
  <c r="J116" i="38"/>
  <c r="I116" i="38"/>
  <c r="D116" i="38"/>
  <c r="J115" i="38"/>
  <c r="I115" i="38"/>
  <c r="D115" i="38"/>
  <c r="J114" i="38"/>
  <c r="I114" i="38"/>
  <c r="D114" i="38"/>
  <c r="J113" i="38"/>
  <c r="I113" i="38"/>
  <c r="D113" i="38"/>
  <c r="J112" i="38"/>
  <c r="I112" i="38"/>
  <c r="D112" i="38"/>
  <c r="J111" i="38"/>
  <c r="I111" i="38"/>
  <c r="D111" i="38"/>
  <c r="J110" i="38"/>
  <c r="I110" i="38"/>
  <c r="D110" i="38"/>
  <c r="J109" i="38"/>
  <c r="I109" i="38"/>
  <c r="D109" i="38"/>
  <c r="J108" i="38"/>
  <c r="I108" i="38"/>
  <c r="D108" i="38"/>
  <c r="J107" i="38"/>
  <c r="I107" i="38"/>
  <c r="D107" i="38"/>
  <c r="J106" i="38"/>
  <c r="I106" i="38"/>
  <c r="D106" i="38"/>
  <c r="J105" i="38"/>
  <c r="I105" i="38"/>
  <c r="D105" i="38"/>
  <c r="J104" i="38"/>
  <c r="I104" i="38"/>
  <c r="D104" i="38"/>
  <c r="J103" i="38"/>
  <c r="I103" i="38"/>
  <c r="D103" i="38"/>
  <c r="J102" i="38"/>
  <c r="I102" i="38"/>
  <c r="D102" i="38"/>
  <c r="J101" i="38"/>
  <c r="I101" i="38"/>
  <c r="D101" i="38"/>
  <c r="J100" i="38"/>
  <c r="I100" i="38"/>
  <c r="D100" i="38"/>
  <c r="J99" i="38"/>
  <c r="I99" i="38"/>
  <c r="D99" i="38"/>
  <c r="J98" i="38"/>
  <c r="I98" i="38"/>
  <c r="D98" i="38"/>
  <c r="J97" i="38"/>
  <c r="I97" i="38"/>
  <c r="D97" i="38"/>
  <c r="J96" i="38"/>
  <c r="I96" i="38"/>
  <c r="D96" i="38"/>
  <c r="J95" i="38"/>
  <c r="I95" i="38"/>
  <c r="D95" i="38"/>
  <c r="J94" i="38"/>
  <c r="I94" i="38"/>
  <c r="D94" i="38"/>
  <c r="J93" i="38"/>
  <c r="I93" i="38"/>
  <c r="D93" i="38"/>
  <c r="J92" i="38"/>
  <c r="I92" i="38"/>
  <c r="D92" i="38"/>
  <c r="J91" i="38"/>
  <c r="I91" i="38"/>
  <c r="D91" i="38"/>
  <c r="J90" i="38"/>
  <c r="I90" i="38"/>
  <c r="D90" i="38"/>
  <c r="J89" i="38"/>
  <c r="I89" i="38"/>
  <c r="D89" i="38"/>
  <c r="J88" i="38"/>
  <c r="I88" i="38"/>
  <c r="D88" i="38"/>
  <c r="J87" i="38"/>
  <c r="I87" i="38"/>
  <c r="D87" i="38"/>
  <c r="J86" i="38"/>
  <c r="I86" i="38"/>
  <c r="D86" i="38"/>
  <c r="J85" i="38"/>
  <c r="I85" i="38"/>
  <c r="D85" i="38"/>
  <c r="J84" i="38"/>
  <c r="I84" i="38"/>
  <c r="D84" i="38"/>
  <c r="J83" i="38"/>
  <c r="I83" i="38"/>
  <c r="D83" i="38"/>
  <c r="J82" i="38"/>
  <c r="I82" i="38"/>
  <c r="D82" i="38"/>
  <c r="J81" i="38"/>
  <c r="I81" i="38"/>
  <c r="D81" i="38"/>
  <c r="J80" i="38"/>
  <c r="I80" i="38"/>
  <c r="D80" i="38"/>
  <c r="J79" i="38"/>
  <c r="I79" i="38"/>
  <c r="D79" i="38"/>
  <c r="J78" i="38"/>
  <c r="I78" i="38"/>
  <c r="D78" i="38"/>
  <c r="J77" i="38"/>
  <c r="I77" i="38"/>
  <c r="D77" i="38"/>
  <c r="J76" i="38"/>
  <c r="I76" i="38"/>
  <c r="D76" i="38"/>
  <c r="J75" i="38"/>
  <c r="I75" i="38"/>
  <c r="D75" i="38"/>
  <c r="J74" i="38"/>
  <c r="I74" i="38"/>
  <c r="D74" i="38"/>
  <c r="J73" i="38"/>
  <c r="I73" i="38"/>
  <c r="D73" i="38"/>
  <c r="J72" i="38"/>
  <c r="I72" i="38"/>
  <c r="D72" i="38"/>
  <c r="J71" i="38"/>
  <c r="I71" i="38"/>
  <c r="D71" i="38"/>
  <c r="J70" i="38"/>
  <c r="I70" i="38"/>
  <c r="D70" i="38"/>
  <c r="J69" i="38"/>
  <c r="I69" i="38"/>
  <c r="D69" i="38"/>
  <c r="J68" i="38"/>
  <c r="I68" i="38"/>
  <c r="D68" i="38"/>
  <c r="J67" i="38"/>
  <c r="I67" i="38"/>
  <c r="D67" i="38"/>
  <c r="J66" i="38"/>
  <c r="I66" i="38"/>
  <c r="D66" i="38"/>
  <c r="J65" i="38"/>
  <c r="I65" i="38"/>
  <c r="D65" i="38"/>
  <c r="J64" i="38"/>
  <c r="I64" i="38"/>
  <c r="D64" i="38"/>
  <c r="J63" i="38"/>
  <c r="I63" i="38"/>
  <c r="D63" i="38"/>
  <c r="J62" i="38"/>
  <c r="I62" i="38"/>
  <c r="D62" i="38"/>
  <c r="J61" i="38"/>
  <c r="I61" i="38"/>
  <c r="D61" i="38"/>
  <c r="J60" i="38"/>
  <c r="I60" i="38"/>
  <c r="D60" i="38"/>
  <c r="J59" i="38"/>
  <c r="I59" i="38"/>
  <c r="D59" i="38"/>
  <c r="J58" i="38"/>
  <c r="I58" i="38"/>
  <c r="D58" i="38"/>
  <c r="J57" i="38"/>
  <c r="I57" i="38"/>
  <c r="D57" i="38"/>
  <c r="J56" i="38"/>
  <c r="I56" i="38"/>
  <c r="D56" i="38"/>
  <c r="J55" i="38"/>
  <c r="I55" i="38"/>
  <c r="D55" i="38"/>
  <c r="J54" i="38"/>
  <c r="I54" i="38"/>
  <c r="D54" i="38"/>
  <c r="J53" i="38"/>
  <c r="I53" i="38"/>
  <c r="D53" i="38"/>
  <c r="J52" i="38"/>
  <c r="I52" i="38"/>
  <c r="D52" i="38"/>
  <c r="J51" i="38"/>
  <c r="I51" i="38"/>
  <c r="D51" i="38"/>
  <c r="J50" i="38"/>
  <c r="I50" i="38"/>
  <c r="D50" i="38"/>
  <c r="J49" i="38"/>
  <c r="I49" i="38"/>
  <c r="D49" i="38"/>
  <c r="J48" i="38"/>
  <c r="I48" i="38"/>
  <c r="D48" i="38"/>
  <c r="J47" i="38"/>
  <c r="I47" i="38"/>
  <c r="D47" i="38"/>
  <c r="J46" i="38"/>
  <c r="I46" i="38"/>
  <c r="D46" i="38"/>
  <c r="J45" i="38"/>
  <c r="I45" i="38"/>
  <c r="D45" i="38"/>
  <c r="J44" i="38"/>
  <c r="I44" i="38"/>
  <c r="D44" i="38"/>
  <c r="J43" i="38"/>
  <c r="I43" i="38"/>
  <c r="D43" i="38"/>
  <c r="J42" i="38"/>
  <c r="I42" i="38"/>
  <c r="D42" i="38"/>
  <c r="J41" i="38"/>
  <c r="I41" i="38"/>
  <c r="D41" i="38"/>
  <c r="J40" i="38"/>
  <c r="I40" i="38"/>
  <c r="D40" i="38"/>
  <c r="J39" i="38"/>
  <c r="I39" i="38"/>
  <c r="D39" i="38"/>
  <c r="J38" i="38"/>
  <c r="I38" i="38"/>
  <c r="D38" i="38"/>
  <c r="J37" i="38"/>
  <c r="I37" i="38"/>
  <c r="D37" i="38"/>
  <c r="J36" i="38"/>
  <c r="I36" i="38"/>
  <c r="D36" i="38"/>
  <c r="J35" i="38"/>
  <c r="I35" i="38"/>
  <c r="D35" i="38"/>
  <c r="J34" i="38"/>
  <c r="I34" i="38"/>
  <c r="D34" i="38"/>
  <c r="J33" i="38"/>
  <c r="I33" i="38"/>
  <c r="D33" i="38"/>
  <c r="P32" i="38"/>
  <c r="J32" i="38"/>
  <c r="I32" i="38"/>
  <c r="D32" i="38"/>
  <c r="P31" i="38"/>
  <c r="J31" i="38"/>
  <c r="I31" i="38"/>
  <c r="D31" i="38"/>
  <c r="P30" i="38"/>
  <c r="J30" i="38"/>
  <c r="I30" i="38"/>
  <c r="D30" i="38"/>
  <c r="P29" i="38"/>
  <c r="J29" i="38"/>
  <c r="I29" i="38"/>
  <c r="D29" i="38"/>
  <c r="P28" i="38"/>
  <c r="P33" i="38" s="1"/>
  <c r="J28" i="38"/>
  <c r="I28" i="38"/>
  <c r="D28" i="38"/>
  <c r="J27" i="38"/>
  <c r="I27" i="38"/>
  <c r="D27" i="38"/>
  <c r="J26" i="38"/>
  <c r="I26" i="38"/>
  <c r="D26" i="38"/>
  <c r="P25" i="38"/>
  <c r="J25" i="38"/>
  <c r="I25" i="38"/>
  <c r="D25" i="38"/>
  <c r="P24" i="38"/>
  <c r="P26" i="38" s="1"/>
  <c r="J24" i="38"/>
  <c r="I24" i="38"/>
  <c r="D24" i="38"/>
  <c r="P23" i="38"/>
  <c r="J23" i="38"/>
  <c r="I23" i="38"/>
  <c r="D23" i="38"/>
  <c r="P22" i="38"/>
  <c r="J22" i="38"/>
  <c r="I22" i="38"/>
  <c r="D22" i="38"/>
  <c r="P21" i="38"/>
  <c r="J21" i="38"/>
  <c r="I21" i="38"/>
  <c r="D21" i="38"/>
  <c r="J20" i="38"/>
  <c r="I20" i="38"/>
  <c r="D20" i="38"/>
  <c r="M19" i="38"/>
  <c r="J19" i="38"/>
  <c r="I19" i="38"/>
  <c r="D19" i="38"/>
  <c r="J18" i="38"/>
  <c r="I18" i="38"/>
  <c r="D18" i="38"/>
  <c r="J17" i="38"/>
  <c r="I17" i="38"/>
  <c r="D17" i="38"/>
  <c r="J16" i="38"/>
  <c r="I16" i="38"/>
  <c r="D16" i="38"/>
  <c r="J15" i="38"/>
  <c r="I15" i="38"/>
  <c r="D15" i="38"/>
  <c r="J14" i="38"/>
  <c r="I14" i="38"/>
  <c r="D14" i="38"/>
  <c r="J13" i="38"/>
  <c r="I13" i="38"/>
  <c r="D13" i="38"/>
  <c r="J12" i="38"/>
  <c r="I12" i="38"/>
  <c r="D12" i="38"/>
  <c r="J11" i="38"/>
  <c r="I11" i="38"/>
  <c r="D11" i="38"/>
  <c r="J10" i="38"/>
  <c r="I10" i="38"/>
  <c r="D10" i="38"/>
  <c r="J9" i="38"/>
  <c r="I9" i="38"/>
  <c r="D9" i="38"/>
  <c r="J8" i="38"/>
  <c r="I8" i="38"/>
  <c r="D8" i="38"/>
  <c r="J7" i="38"/>
  <c r="I7" i="38"/>
  <c r="D7" i="38"/>
  <c r="J6" i="38"/>
  <c r="I6" i="38"/>
  <c r="D6" i="38"/>
  <c r="B2" i="38" a="1"/>
  <c r="B2" i="38" s="1"/>
  <c r="J488" i="37"/>
  <c r="I488" i="37"/>
  <c r="D488" i="37"/>
  <c r="J487" i="37"/>
  <c r="I487" i="37"/>
  <c r="D487" i="37"/>
  <c r="J486" i="37"/>
  <c r="I486" i="37"/>
  <c r="D486" i="37"/>
  <c r="J485" i="37"/>
  <c r="I485" i="37"/>
  <c r="D485" i="37"/>
  <c r="J484" i="37"/>
  <c r="I484" i="37"/>
  <c r="D484" i="37"/>
  <c r="J483" i="37"/>
  <c r="I483" i="37"/>
  <c r="D483" i="37"/>
  <c r="J482" i="37"/>
  <c r="I482" i="37"/>
  <c r="D482" i="37"/>
  <c r="J481" i="37"/>
  <c r="I481" i="37"/>
  <c r="D481" i="37"/>
  <c r="J480" i="37"/>
  <c r="I480" i="37"/>
  <c r="D480" i="37"/>
  <c r="J479" i="37"/>
  <c r="I479" i="37"/>
  <c r="D479" i="37"/>
  <c r="J478" i="37"/>
  <c r="I478" i="37"/>
  <c r="D478" i="37"/>
  <c r="J477" i="37"/>
  <c r="I477" i="37"/>
  <c r="D477" i="37"/>
  <c r="J476" i="37"/>
  <c r="I476" i="37"/>
  <c r="D476" i="37"/>
  <c r="J475" i="37"/>
  <c r="I475" i="37"/>
  <c r="D475" i="37"/>
  <c r="J474" i="37"/>
  <c r="I474" i="37"/>
  <c r="D474" i="37"/>
  <c r="J473" i="37"/>
  <c r="I473" i="37"/>
  <c r="D473" i="37"/>
  <c r="J472" i="37"/>
  <c r="I472" i="37"/>
  <c r="D472" i="37"/>
  <c r="J471" i="37"/>
  <c r="I471" i="37"/>
  <c r="D471" i="37"/>
  <c r="J470" i="37"/>
  <c r="I470" i="37"/>
  <c r="D470" i="37"/>
  <c r="J469" i="37"/>
  <c r="I469" i="37"/>
  <c r="D469" i="37"/>
  <c r="J468" i="37"/>
  <c r="I468" i="37"/>
  <c r="D468" i="37"/>
  <c r="J467" i="37"/>
  <c r="I467" i="37"/>
  <c r="D467" i="37"/>
  <c r="J466" i="37"/>
  <c r="I466" i="37"/>
  <c r="D466" i="37"/>
  <c r="J465" i="37"/>
  <c r="I465" i="37"/>
  <c r="D465" i="37"/>
  <c r="J464" i="37"/>
  <c r="I464" i="37"/>
  <c r="D464" i="37"/>
  <c r="J463" i="37"/>
  <c r="I463" i="37"/>
  <c r="D463" i="37"/>
  <c r="J462" i="37"/>
  <c r="I462" i="37"/>
  <c r="D462" i="37"/>
  <c r="J461" i="37"/>
  <c r="I461" i="37"/>
  <c r="D461" i="37"/>
  <c r="J460" i="37"/>
  <c r="I460" i="37"/>
  <c r="D460" i="37"/>
  <c r="J459" i="37"/>
  <c r="I459" i="37"/>
  <c r="D459" i="37"/>
  <c r="J458" i="37"/>
  <c r="I458" i="37"/>
  <c r="D458" i="37"/>
  <c r="J457" i="37"/>
  <c r="I457" i="37"/>
  <c r="D457" i="37"/>
  <c r="J456" i="37"/>
  <c r="I456" i="37"/>
  <c r="D456" i="37"/>
  <c r="J455" i="37"/>
  <c r="I455" i="37"/>
  <c r="D455" i="37"/>
  <c r="J454" i="37"/>
  <c r="I454" i="37"/>
  <c r="D454" i="37"/>
  <c r="J453" i="37"/>
  <c r="I453" i="37"/>
  <c r="D453" i="37"/>
  <c r="J452" i="37"/>
  <c r="I452" i="37"/>
  <c r="D452" i="37"/>
  <c r="J451" i="37"/>
  <c r="I451" i="37"/>
  <c r="D451" i="37"/>
  <c r="J450" i="37"/>
  <c r="I450" i="37"/>
  <c r="D450" i="37"/>
  <c r="J449" i="37"/>
  <c r="I449" i="37"/>
  <c r="D449" i="37"/>
  <c r="J448" i="37"/>
  <c r="I448" i="37"/>
  <c r="D448" i="37"/>
  <c r="J447" i="37"/>
  <c r="I447" i="37"/>
  <c r="D447" i="37"/>
  <c r="J446" i="37"/>
  <c r="I446" i="37"/>
  <c r="D446" i="37"/>
  <c r="J445" i="37"/>
  <c r="I445" i="37"/>
  <c r="D445" i="37"/>
  <c r="J444" i="37"/>
  <c r="I444" i="37"/>
  <c r="D444" i="37"/>
  <c r="J443" i="37"/>
  <c r="I443" i="37"/>
  <c r="D443" i="37"/>
  <c r="J442" i="37"/>
  <c r="I442" i="37"/>
  <c r="D442" i="37"/>
  <c r="J441" i="37"/>
  <c r="I441" i="37"/>
  <c r="D441" i="37"/>
  <c r="J440" i="37"/>
  <c r="I440" i="37"/>
  <c r="D440" i="37"/>
  <c r="J439" i="37"/>
  <c r="I439" i="37"/>
  <c r="D439" i="37"/>
  <c r="J438" i="37"/>
  <c r="I438" i="37"/>
  <c r="D438" i="37"/>
  <c r="J437" i="37"/>
  <c r="I437" i="37"/>
  <c r="D437" i="37"/>
  <c r="J436" i="37"/>
  <c r="I436" i="37"/>
  <c r="D436" i="37"/>
  <c r="J435" i="37"/>
  <c r="I435" i="37"/>
  <c r="D435" i="37"/>
  <c r="J434" i="37"/>
  <c r="I434" i="37"/>
  <c r="D434" i="37"/>
  <c r="J433" i="37"/>
  <c r="I433" i="37"/>
  <c r="D433" i="37"/>
  <c r="J432" i="37"/>
  <c r="I432" i="37"/>
  <c r="D432" i="37"/>
  <c r="J431" i="37"/>
  <c r="I431" i="37"/>
  <c r="D431" i="37"/>
  <c r="J430" i="37"/>
  <c r="I430" i="37"/>
  <c r="D430" i="37"/>
  <c r="J429" i="37"/>
  <c r="I429" i="37"/>
  <c r="D429" i="37"/>
  <c r="J428" i="37"/>
  <c r="I428" i="37"/>
  <c r="D428" i="37"/>
  <c r="J427" i="37"/>
  <c r="I427" i="37"/>
  <c r="D427" i="37"/>
  <c r="J426" i="37"/>
  <c r="I426" i="37"/>
  <c r="D426" i="37"/>
  <c r="J425" i="37"/>
  <c r="I425" i="37"/>
  <c r="D425" i="37"/>
  <c r="J424" i="37"/>
  <c r="I424" i="37"/>
  <c r="D424" i="37"/>
  <c r="J423" i="37"/>
  <c r="I423" i="37"/>
  <c r="D423" i="37"/>
  <c r="J422" i="37"/>
  <c r="I422" i="37"/>
  <c r="D422" i="37"/>
  <c r="J421" i="37"/>
  <c r="I421" i="37"/>
  <c r="D421" i="37"/>
  <c r="J420" i="37"/>
  <c r="I420" i="37"/>
  <c r="D420" i="37"/>
  <c r="J419" i="37"/>
  <c r="I419" i="37"/>
  <c r="D419" i="37"/>
  <c r="J418" i="37"/>
  <c r="I418" i="37"/>
  <c r="D418" i="37"/>
  <c r="J417" i="37"/>
  <c r="I417" i="37"/>
  <c r="D417" i="37"/>
  <c r="J416" i="37"/>
  <c r="I416" i="37"/>
  <c r="D416" i="37"/>
  <c r="J415" i="37"/>
  <c r="I415" i="37"/>
  <c r="D415" i="37"/>
  <c r="J414" i="37"/>
  <c r="I414" i="37"/>
  <c r="D414" i="37"/>
  <c r="J413" i="37"/>
  <c r="I413" i="37"/>
  <c r="D413" i="37"/>
  <c r="J412" i="37"/>
  <c r="I412" i="37"/>
  <c r="D412" i="37"/>
  <c r="J411" i="37"/>
  <c r="I411" i="37"/>
  <c r="D411" i="37"/>
  <c r="J410" i="37"/>
  <c r="I410" i="37"/>
  <c r="D410" i="37"/>
  <c r="J409" i="37"/>
  <c r="I409" i="37"/>
  <c r="D409" i="37"/>
  <c r="J408" i="37"/>
  <c r="I408" i="37"/>
  <c r="D408" i="37"/>
  <c r="J407" i="37"/>
  <c r="I407" i="37"/>
  <c r="D407" i="37"/>
  <c r="J406" i="37"/>
  <c r="I406" i="37"/>
  <c r="D406" i="37"/>
  <c r="J405" i="37"/>
  <c r="I405" i="37"/>
  <c r="D405" i="37"/>
  <c r="J404" i="37"/>
  <c r="I404" i="37"/>
  <c r="D404" i="37"/>
  <c r="J403" i="37"/>
  <c r="I403" i="37"/>
  <c r="D403" i="37"/>
  <c r="J402" i="37"/>
  <c r="I402" i="37"/>
  <c r="D402" i="37"/>
  <c r="J401" i="37"/>
  <c r="I401" i="37"/>
  <c r="D401" i="37"/>
  <c r="J400" i="37"/>
  <c r="I400" i="37"/>
  <c r="D400" i="37"/>
  <c r="J399" i="37"/>
  <c r="I399" i="37"/>
  <c r="D399" i="37"/>
  <c r="J398" i="37"/>
  <c r="I398" i="37"/>
  <c r="D398" i="37"/>
  <c r="J397" i="37"/>
  <c r="I397" i="37"/>
  <c r="D397" i="37"/>
  <c r="J396" i="37"/>
  <c r="I396" i="37"/>
  <c r="D396" i="37"/>
  <c r="J395" i="37"/>
  <c r="I395" i="37"/>
  <c r="D395" i="37"/>
  <c r="J394" i="37"/>
  <c r="I394" i="37"/>
  <c r="D394" i="37"/>
  <c r="J393" i="37"/>
  <c r="I393" i="37"/>
  <c r="D393" i="37"/>
  <c r="J392" i="37"/>
  <c r="I392" i="37"/>
  <c r="D392" i="37"/>
  <c r="J391" i="37"/>
  <c r="I391" i="37"/>
  <c r="D391" i="37"/>
  <c r="J390" i="37"/>
  <c r="I390" i="37"/>
  <c r="D390" i="37"/>
  <c r="J389" i="37"/>
  <c r="I389" i="37"/>
  <c r="D389" i="37"/>
  <c r="J388" i="37"/>
  <c r="I388" i="37"/>
  <c r="D388" i="37"/>
  <c r="J387" i="37"/>
  <c r="I387" i="37"/>
  <c r="D387" i="37"/>
  <c r="J386" i="37"/>
  <c r="I386" i="37"/>
  <c r="D386" i="37"/>
  <c r="J385" i="37"/>
  <c r="I385" i="37"/>
  <c r="D385" i="37"/>
  <c r="J384" i="37"/>
  <c r="I384" i="37"/>
  <c r="D384" i="37"/>
  <c r="J383" i="37"/>
  <c r="I383" i="37"/>
  <c r="D383" i="37"/>
  <c r="J382" i="37"/>
  <c r="I382" i="37"/>
  <c r="D382" i="37"/>
  <c r="J381" i="37"/>
  <c r="I381" i="37"/>
  <c r="D381" i="37"/>
  <c r="J380" i="37"/>
  <c r="I380" i="37"/>
  <c r="D380" i="37"/>
  <c r="J379" i="37"/>
  <c r="I379" i="37"/>
  <c r="D379" i="37"/>
  <c r="J378" i="37"/>
  <c r="I378" i="37"/>
  <c r="D378" i="37"/>
  <c r="J377" i="37"/>
  <c r="I377" i="37"/>
  <c r="D377" i="37"/>
  <c r="J376" i="37"/>
  <c r="I376" i="37"/>
  <c r="D376" i="37"/>
  <c r="J375" i="37"/>
  <c r="I375" i="37"/>
  <c r="D375" i="37"/>
  <c r="J374" i="37"/>
  <c r="I374" i="37"/>
  <c r="D374" i="37"/>
  <c r="J373" i="37"/>
  <c r="I373" i="37"/>
  <c r="D373" i="37"/>
  <c r="J372" i="37"/>
  <c r="I372" i="37"/>
  <c r="D372" i="37"/>
  <c r="J371" i="37"/>
  <c r="I371" i="37"/>
  <c r="D371" i="37"/>
  <c r="J370" i="37"/>
  <c r="I370" i="37"/>
  <c r="D370" i="37"/>
  <c r="J369" i="37"/>
  <c r="I369" i="37"/>
  <c r="D369" i="37"/>
  <c r="J368" i="37"/>
  <c r="I368" i="37"/>
  <c r="D368" i="37"/>
  <c r="J367" i="37"/>
  <c r="I367" i="37"/>
  <c r="D367" i="37"/>
  <c r="J366" i="37"/>
  <c r="I366" i="37"/>
  <c r="D366" i="37"/>
  <c r="J365" i="37"/>
  <c r="I365" i="37"/>
  <c r="D365" i="37"/>
  <c r="J364" i="37"/>
  <c r="I364" i="37"/>
  <c r="D364" i="37"/>
  <c r="J363" i="37"/>
  <c r="I363" i="37"/>
  <c r="D363" i="37"/>
  <c r="J362" i="37"/>
  <c r="I362" i="37"/>
  <c r="D362" i="37"/>
  <c r="J361" i="37"/>
  <c r="I361" i="37"/>
  <c r="D361" i="37"/>
  <c r="J360" i="37"/>
  <c r="I360" i="37"/>
  <c r="D360" i="37"/>
  <c r="J359" i="37"/>
  <c r="I359" i="37"/>
  <c r="D359" i="37"/>
  <c r="J358" i="37"/>
  <c r="I358" i="37"/>
  <c r="D358" i="37"/>
  <c r="J357" i="37"/>
  <c r="I357" i="37"/>
  <c r="D357" i="37"/>
  <c r="J356" i="37"/>
  <c r="I356" i="37"/>
  <c r="D356" i="37"/>
  <c r="J355" i="37"/>
  <c r="I355" i="37"/>
  <c r="D355" i="37"/>
  <c r="J354" i="37"/>
  <c r="I354" i="37"/>
  <c r="D354" i="37"/>
  <c r="J353" i="37"/>
  <c r="I353" i="37"/>
  <c r="D353" i="37"/>
  <c r="J352" i="37"/>
  <c r="I352" i="37"/>
  <c r="D352" i="37"/>
  <c r="J351" i="37"/>
  <c r="I351" i="37"/>
  <c r="D351" i="37"/>
  <c r="J350" i="37"/>
  <c r="I350" i="37"/>
  <c r="D350" i="37"/>
  <c r="J349" i="37"/>
  <c r="I349" i="37"/>
  <c r="D349" i="37"/>
  <c r="J348" i="37"/>
  <c r="I348" i="37"/>
  <c r="D348" i="37"/>
  <c r="J347" i="37"/>
  <c r="I347" i="37"/>
  <c r="D347" i="37"/>
  <c r="J346" i="37"/>
  <c r="I346" i="37"/>
  <c r="D346" i="37"/>
  <c r="J345" i="37"/>
  <c r="I345" i="37"/>
  <c r="D345" i="37"/>
  <c r="J344" i="37"/>
  <c r="I344" i="37"/>
  <c r="D344" i="37"/>
  <c r="J343" i="37"/>
  <c r="I343" i="37"/>
  <c r="D343" i="37"/>
  <c r="J342" i="37"/>
  <c r="I342" i="37"/>
  <c r="D342" i="37"/>
  <c r="J341" i="37"/>
  <c r="I341" i="37"/>
  <c r="D341" i="37"/>
  <c r="J340" i="37"/>
  <c r="I340" i="37"/>
  <c r="D340" i="37"/>
  <c r="J339" i="37"/>
  <c r="I339" i="37"/>
  <c r="D339" i="37"/>
  <c r="J338" i="37"/>
  <c r="I338" i="37"/>
  <c r="D338" i="37"/>
  <c r="J337" i="37"/>
  <c r="I337" i="37"/>
  <c r="D337" i="37"/>
  <c r="J336" i="37"/>
  <c r="I336" i="37"/>
  <c r="D336" i="37"/>
  <c r="J335" i="37"/>
  <c r="I335" i="37"/>
  <c r="D335" i="37"/>
  <c r="J334" i="37"/>
  <c r="I334" i="37"/>
  <c r="D334" i="37"/>
  <c r="J333" i="37"/>
  <c r="I333" i="37"/>
  <c r="D333" i="37"/>
  <c r="J332" i="37"/>
  <c r="I332" i="37"/>
  <c r="D332" i="37"/>
  <c r="J331" i="37"/>
  <c r="I331" i="37"/>
  <c r="D331" i="37"/>
  <c r="J330" i="37"/>
  <c r="I330" i="37"/>
  <c r="D330" i="37"/>
  <c r="J329" i="37"/>
  <c r="I329" i="37"/>
  <c r="D329" i="37"/>
  <c r="J328" i="37"/>
  <c r="I328" i="37"/>
  <c r="D328" i="37"/>
  <c r="J327" i="37"/>
  <c r="I327" i="37"/>
  <c r="D327" i="37"/>
  <c r="J326" i="37"/>
  <c r="I326" i="37"/>
  <c r="D326" i="37"/>
  <c r="J325" i="37"/>
  <c r="I325" i="37"/>
  <c r="D325" i="37"/>
  <c r="J324" i="37"/>
  <c r="I324" i="37"/>
  <c r="D324" i="37"/>
  <c r="J323" i="37"/>
  <c r="I323" i="37"/>
  <c r="D323" i="37"/>
  <c r="J322" i="37"/>
  <c r="I322" i="37"/>
  <c r="D322" i="37"/>
  <c r="J321" i="37"/>
  <c r="I321" i="37"/>
  <c r="D321" i="37"/>
  <c r="J320" i="37"/>
  <c r="I320" i="37"/>
  <c r="D320" i="37"/>
  <c r="J319" i="37"/>
  <c r="I319" i="37"/>
  <c r="D319" i="37"/>
  <c r="J318" i="37"/>
  <c r="I318" i="37"/>
  <c r="D318" i="37"/>
  <c r="J317" i="37"/>
  <c r="I317" i="37"/>
  <c r="D317" i="37"/>
  <c r="J316" i="37"/>
  <c r="I316" i="37"/>
  <c r="D316" i="37"/>
  <c r="J315" i="37"/>
  <c r="I315" i="37"/>
  <c r="D315" i="37"/>
  <c r="J314" i="37"/>
  <c r="I314" i="37"/>
  <c r="D314" i="37"/>
  <c r="J313" i="37"/>
  <c r="I313" i="37"/>
  <c r="D313" i="37"/>
  <c r="J312" i="37"/>
  <c r="I312" i="37"/>
  <c r="D312" i="37"/>
  <c r="J311" i="37"/>
  <c r="I311" i="37"/>
  <c r="D311" i="37"/>
  <c r="J310" i="37"/>
  <c r="I310" i="37"/>
  <c r="D310" i="37"/>
  <c r="J309" i="37"/>
  <c r="I309" i="37"/>
  <c r="D309" i="37"/>
  <c r="J308" i="37"/>
  <c r="I308" i="37"/>
  <c r="D308" i="37"/>
  <c r="J307" i="37"/>
  <c r="I307" i="37"/>
  <c r="D307" i="37"/>
  <c r="J306" i="37"/>
  <c r="I306" i="37"/>
  <c r="D306" i="37"/>
  <c r="J305" i="37"/>
  <c r="I305" i="37"/>
  <c r="D305" i="37"/>
  <c r="J304" i="37"/>
  <c r="I304" i="37"/>
  <c r="D304" i="37"/>
  <c r="J303" i="37"/>
  <c r="I303" i="37"/>
  <c r="D303" i="37"/>
  <c r="J302" i="37"/>
  <c r="I302" i="37"/>
  <c r="D302" i="37"/>
  <c r="J301" i="37"/>
  <c r="I301" i="37"/>
  <c r="D301" i="37"/>
  <c r="J300" i="37"/>
  <c r="I300" i="37"/>
  <c r="D300" i="37"/>
  <c r="J299" i="37"/>
  <c r="I299" i="37"/>
  <c r="D299" i="37"/>
  <c r="J298" i="37"/>
  <c r="I298" i="37"/>
  <c r="D298" i="37"/>
  <c r="J297" i="37"/>
  <c r="I297" i="37"/>
  <c r="D297" i="37"/>
  <c r="J296" i="37"/>
  <c r="I296" i="37"/>
  <c r="D296" i="37"/>
  <c r="J295" i="37"/>
  <c r="I295" i="37"/>
  <c r="D295" i="37"/>
  <c r="J294" i="37"/>
  <c r="I294" i="37"/>
  <c r="D294" i="37"/>
  <c r="J293" i="37"/>
  <c r="I293" i="37"/>
  <c r="D293" i="37"/>
  <c r="J292" i="37"/>
  <c r="I292" i="37"/>
  <c r="D292" i="37"/>
  <c r="J291" i="37"/>
  <c r="I291" i="37"/>
  <c r="D291" i="37"/>
  <c r="J290" i="37"/>
  <c r="I290" i="37"/>
  <c r="D290" i="37"/>
  <c r="J289" i="37"/>
  <c r="I289" i="37"/>
  <c r="D289" i="37"/>
  <c r="J288" i="37"/>
  <c r="I288" i="37"/>
  <c r="D288" i="37"/>
  <c r="J287" i="37"/>
  <c r="I287" i="37"/>
  <c r="D287" i="37"/>
  <c r="J286" i="37"/>
  <c r="I286" i="37"/>
  <c r="D286" i="37"/>
  <c r="J285" i="37"/>
  <c r="I285" i="37"/>
  <c r="D285" i="37"/>
  <c r="J284" i="37"/>
  <c r="I284" i="37"/>
  <c r="D284" i="37"/>
  <c r="J283" i="37"/>
  <c r="I283" i="37"/>
  <c r="D283" i="37"/>
  <c r="J282" i="37"/>
  <c r="I282" i="37"/>
  <c r="D282" i="37"/>
  <c r="J281" i="37"/>
  <c r="I281" i="37"/>
  <c r="D281" i="37"/>
  <c r="J280" i="37"/>
  <c r="I280" i="37"/>
  <c r="D280" i="37"/>
  <c r="J279" i="37"/>
  <c r="I279" i="37"/>
  <c r="D279" i="37"/>
  <c r="J278" i="37"/>
  <c r="I278" i="37"/>
  <c r="D278" i="37"/>
  <c r="J277" i="37"/>
  <c r="I277" i="37"/>
  <c r="D277" i="37"/>
  <c r="J276" i="37"/>
  <c r="I276" i="37"/>
  <c r="D276" i="37"/>
  <c r="J275" i="37"/>
  <c r="I275" i="37"/>
  <c r="D275" i="37"/>
  <c r="J274" i="37"/>
  <c r="I274" i="37"/>
  <c r="D274" i="37"/>
  <c r="J273" i="37"/>
  <c r="I273" i="37"/>
  <c r="D273" i="37"/>
  <c r="J272" i="37"/>
  <c r="I272" i="37"/>
  <c r="D272" i="37"/>
  <c r="J271" i="37"/>
  <c r="I271" i="37"/>
  <c r="D271" i="37"/>
  <c r="J270" i="37"/>
  <c r="I270" i="37"/>
  <c r="D270" i="37"/>
  <c r="J269" i="37"/>
  <c r="I269" i="37"/>
  <c r="D269" i="37"/>
  <c r="J268" i="37"/>
  <c r="I268" i="37"/>
  <c r="D268" i="37"/>
  <c r="J267" i="37"/>
  <c r="I267" i="37"/>
  <c r="D267" i="37"/>
  <c r="J266" i="37"/>
  <c r="I266" i="37"/>
  <c r="D266" i="37"/>
  <c r="J265" i="37"/>
  <c r="I265" i="37"/>
  <c r="D265" i="37"/>
  <c r="J264" i="37"/>
  <c r="I264" i="37"/>
  <c r="D264" i="37"/>
  <c r="J263" i="37"/>
  <c r="I263" i="37"/>
  <c r="D263" i="37"/>
  <c r="J262" i="37"/>
  <c r="I262" i="37"/>
  <c r="D262" i="37"/>
  <c r="J261" i="37"/>
  <c r="I261" i="37"/>
  <c r="D261" i="37"/>
  <c r="J260" i="37"/>
  <c r="I260" i="37"/>
  <c r="D260" i="37"/>
  <c r="J259" i="37"/>
  <c r="I259" i="37"/>
  <c r="D259" i="37"/>
  <c r="J258" i="37"/>
  <c r="I258" i="37"/>
  <c r="D258" i="37"/>
  <c r="J257" i="37"/>
  <c r="I257" i="37"/>
  <c r="D257" i="37"/>
  <c r="J256" i="37"/>
  <c r="I256" i="37"/>
  <c r="D256" i="37"/>
  <c r="J255" i="37"/>
  <c r="I255" i="37"/>
  <c r="D255" i="37"/>
  <c r="J254" i="37"/>
  <c r="I254" i="37"/>
  <c r="D254" i="37"/>
  <c r="J253" i="37"/>
  <c r="I253" i="37"/>
  <c r="D253" i="37"/>
  <c r="J252" i="37"/>
  <c r="I252" i="37"/>
  <c r="D252" i="37"/>
  <c r="J251" i="37"/>
  <c r="I251" i="37"/>
  <c r="D251" i="37"/>
  <c r="J250" i="37"/>
  <c r="I250" i="37"/>
  <c r="D250" i="37"/>
  <c r="J249" i="37"/>
  <c r="I249" i="37"/>
  <c r="D249" i="37"/>
  <c r="J248" i="37"/>
  <c r="I248" i="37"/>
  <c r="D248" i="37"/>
  <c r="J247" i="37"/>
  <c r="I247" i="37"/>
  <c r="D247" i="37"/>
  <c r="J246" i="37"/>
  <c r="I246" i="37"/>
  <c r="D246" i="37"/>
  <c r="J245" i="37"/>
  <c r="I245" i="37"/>
  <c r="D245" i="37"/>
  <c r="J244" i="37"/>
  <c r="I244" i="37"/>
  <c r="D244" i="37"/>
  <c r="J243" i="37"/>
  <c r="I243" i="37"/>
  <c r="D243" i="37"/>
  <c r="J242" i="37"/>
  <c r="I242" i="37"/>
  <c r="D242" i="37"/>
  <c r="J241" i="37"/>
  <c r="I241" i="37"/>
  <c r="D241" i="37"/>
  <c r="J240" i="37"/>
  <c r="I240" i="37"/>
  <c r="D240" i="37"/>
  <c r="J239" i="37"/>
  <c r="I239" i="37"/>
  <c r="D239" i="37"/>
  <c r="J238" i="37"/>
  <c r="I238" i="37"/>
  <c r="D238" i="37"/>
  <c r="J237" i="37"/>
  <c r="I237" i="37"/>
  <c r="D237" i="37"/>
  <c r="J236" i="37"/>
  <c r="I236" i="37"/>
  <c r="D236" i="37"/>
  <c r="J235" i="37"/>
  <c r="I235" i="37"/>
  <c r="D235" i="37"/>
  <c r="J234" i="37"/>
  <c r="I234" i="37"/>
  <c r="D234" i="37"/>
  <c r="J233" i="37"/>
  <c r="I233" i="37"/>
  <c r="D233" i="37"/>
  <c r="J232" i="37"/>
  <c r="I232" i="37"/>
  <c r="D232" i="37"/>
  <c r="J231" i="37"/>
  <c r="I231" i="37"/>
  <c r="D231" i="37"/>
  <c r="J230" i="37"/>
  <c r="I230" i="37"/>
  <c r="D230" i="37"/>
  <c r="J229" i="37"/>
  <c r="I229" i="37"/>
  <c r="D229" i="37"/>
  <c r="J228" i="37"/>
  <c r="I228" i="37"/>
  <c r="D228" i="37"/>
  <c r="J227" i="37"/>
  <c r="I227" i="37"/>
  <c r="D227" i="37"/>
  <c r="J226" i="37"/>
  <c r="I226" i="37"/>
  <c r="D226" i="37"/>
  <c r="J225" i="37"/>
  <c r="I225" i="37"/>
  <c r="D225" i="37"/>
  <c r="J224" i="37"/>
  <c r="I224" i="37"/>
  <c r="D224" i="37"/>
  <c r="J223" i="37"/>
  <c r="I223" i="37"/>
  <c r="D223" i="37"/>
  <c r="J222" i="37"/>
  <c r="I222" i="37"/>
  <c r="D222" i="37"/>
  <c r="J221" i="37"/>
  <c r="I221" i="37"/>
  <c r="D221" i="37"/>
  <c r="J220" i="37"/>
  <c r="I220" i="37"/>
  <c r="D220" i="37"/>
  <c r="J219" i="37"/>
  <c r="I219" i="37"/>
  <c r="D219" i="37"/>
  <c r="J218" i="37"/>
  <c r="I218" i="37"/>
  <c r="D218" i="37"/>
  <c r="J217" i="37"/>
  <c r="I217" i="37"/>
  <c r="D217" i="37"/>
  <c r="J216" i="37"/>
  <c r="I216" i="37"/>
  <c r="D216" i="37"/>
  <c r="J215" i="37"/>
  <c r="I215" i="37"/>
  <c r="D215" i="37"/>
  <c r="J214" i="37"/>
  <c r="I214" i="37"/>
  <c r="D214" i="37"/>
  <c r="J213" i="37"/>
  <c r="I213" i="37"/>
  <c r="D213" i="37"/>
  <c r="J212" i="37"/>
  <c r="I212" i="37"/>
  <c r="D212" i="37"/>
  <c r="J211" i="37"/>
  <c r="I211" i="37"/>
  <c r="D211" i="37"/>
  <c r="J210" i="37"/>
  <c r="I210" i="37"/>
  <c r="D210" i="37"/>
  <c r="J209" i="37"/>
  <c r="I209" i="37"/>
  <c r="D209" i="37"/>
  <c r="J208" i="37"/>
  <c r="I208" i="37"/>
  <c r="D208" i="37"/>
  <c r="J207" i="37"/>
  <c r="I207" i="37"/>
  <c r="D207" i="37"/>
  <c r="J206" i="37"/>
  <c r="I206" i="37"/>
  <c r="D206" i="37"/>
  <c r="J205" i="37"/>
  <c r="I205" i="37"/>
  <c r="D205" i="37"/>
  <c r="J204" i="37"/>
  <c r="I204" i="37"/>
  <c r="D204" i="37"/>
  <c r="J203" i="37"/>
  <c r="I203" i="37"/>
  <c r="D203" i="37"/>
  <c r="J202" i="37"/>
  <c r="I202" i="37"/>
  <c r="D202" i="37"/>
  <c r="J201" i="37"/>
  <c r="I201" i="37"/>
  <c r="D201" i="37"/>
  <c r="J200" i="37"/>
  <c r="I200" i="37"/>
  <c r="D200" i="37"/>
  <c r="J199" i="37"/>
  <c r="I199" i="37"/>
  <c r="D199" i="37"/>
  <c r="J198" i="37"/>
  <c r="I198" i="37"/>
  <c r="D198" i="37"/>
  <c r="J197" i="37"/>
  <c r="I197" i="37"/>
  <c r="D197" i="37"/>
  <c r="J196" i="37"/>
  <c r="I196" i="37"/>
  <c r="D196" i="37"/>
  <c r="J195" i="37"/>
  <c r="I195" i="37"/>
  <c r="D195" i="37"/>
  <c r="J194" i="37"/>
  <c r="I194" i="37"/>
  <c r="D194" i="37"/>
  <c r="J193" i="37"/>
  <c r="I193" i="37"/>
  <c r="D193" i="37"/>
  <c r="J192" i="37"/>
  <c r="I192" i="37"/>
  <c r="D192" i="37"/>
  <c r="J191" i="37"/>
  <c r="I191" i="37"/>
  <c r="D191" i="37"/>
  <c r="J190" i="37"/>
  <c r="I190" i="37"/>
  <c r="D190" i="37"/>
  <c r="J189" i="37"/>
  <c r="I189" i="37"/>
  <c r="D189" i="37"/>
  <c r="J188" i="37"/>
  <c r="I188" i="37"/>
  <c r="D188" i="37"/>
  <c r="J187" i="37"/>
  <c r="I187" i="37"/>
  <c r="D187" i="37"/>
  <c r="J186" i="37"/>
  <c r="I186" i="37"/>
  <c r="D186" i="37"/>
  <c r="J185" i="37"/>
  <c r="I185" i="37"/>
  <c r="D185" i="37"/>
  <c r="J184" i="37"/>
  <c r="I184" i="37"/>
  <c r="D184" i="37"/>
  <c r="J183" i="37"/>
  <c r="I183" i="37"/>
  <c r="D183" i="37"/>
  <c r="J182" i="37"/>
  <c r="I182" i="37"/>
  <c r="D182" i="37"/>
  <c r="J181" i="37"/>
  <c r="I181" i="37"/>
  <c r="D181" i="37"/>
  <c r="J180" i="37"/>
  <c r="I180" i="37"/>
  <c r="D180" i="37"/>
  <c r="J179" i="37"/>
  <c r="I179" i="37"/>
  <c r="D179" i="37"/>
  <c r="J178" i="37"/>
  <c r="I178" i="37"/>
  <c r="D178" i="37"/>
  <c r="J177" i="37"/>
  <c r="I177" i="37"/>
  <c r="D177" i="37"/>
  <c r="J176" i="37"/>
  <c r="I176" i="37"/>
  <c r="D176" i="37"/>
  <c r="J175" i="37"/>
  <c r="I175" i="37"/>
  <c r="D175" i="37"/>
  <c r="J174" i="37"/>
  <c r="I174" i="37"/>
  <c r="D174" i="37"/>
  <c r="J173" i="37"/>
  <c r="I173" i="37"/>
  <c r="D173" i="37"/>
  <c r="J172" i="37"/>
  <c r="I172" i="37"/>
  <c r="D172" i="37"/>
  <c r="J171" i="37"/>
  <c r="I171" i="37"/>
  <c r="D171" i="37"/>
  <c r="J170" i="37"/>
  <c r="I170" i="37"/>
  <c r="D170" i="37"/>
  <c r="J169" i="37"/>
  <c r="I169" i="37"/>
  <c r="D169" i="37"/>
  <c r="J168" i="37"/>
  <c r="I168" i="37"/>
  <c r="D168" i="37"/>
  <c r="J167" i="37"/>
  <c r="I167" i="37"/>
  <c r="D167" i="37"/>
  <c r="J166" i="37"/>
  <c r="I166" i="37"/>
  <c r="D166" i="37"/>
  <c r="J165" i="37"/>
  <c r="I165" i="37"/>
  <c r="D165" i="37"/>
  <c r="J164" i="37"/>
  <c r="I164" i="37"/>
  <c r="D164" i="37"/>
  <c r="J163" i="37"/>
  <c r="I163" i="37"/>
  <c r="D163" i="37"/>
  <c r="J162" i="37"/>
  <c r="I162" i="37"/>
  <c r="D162" i="37"/>
  <c r="J161" i="37"/>
  <c r="I161" i="37"/>
  <c r="D161" i="37"/>
  <c r="J160" i="37"/>
  <c r="I160" i="37"/>
  <c r="D160" i="37"/>
  <c r="J159" i="37"/>
  <c r="I159" i="37"/>
  <c r="D159" i="37"/>
  <c r="J158" i="37"/>
  <c r="I158" i="37"/>
  <c r="D158" i="37"/>
  <c r="J157" i="37"/>
  <c r="I157" i="37"/>
  <c r="D157" i="37"/>
  <c r="J156" i="37"/>
  <c r="I156" i="37"/>
  <c r="D156" i="37"/>
  <c r="J155" i="37"/>
  <c r="I155" i="37"/>
  <c r="D155" i="37"/>
  <c r="J154" i="37"/>
  <c r="I154" i="37"/>
  <c r="D154" i="37"/>
  <c r="J153" i="37"/>
  <c r="I153" i="37"/>
  <c r="D153" i="37"/>
  <c r="J152" i="37"/>
  <c r="I152" i="37"/>
  <c r="D152" i="37"/>
  <c r="J151" i="37"/>
  <c r="I151" i="37"/>
  <c r="D151" i="37"/>
  <c r="J150" i="37"/>
  <c r="I150" i="37"/>
  <c r="D150" i="37"/>
  <c r="J149" i="37"/>
  <c r="I149" i="37"/>
  <c r="D149" i="37"/>
  <c r="J148" i="37"/>
  <c r="I148" i="37"/>
  <c r="D148" i="37"/>
  <c r="J147" i="37"/>
  <c r="I147" i="37"/>
  <c r="D147" i="37"/>
  <c r="J146" i="37"/>
  <c r="I146" i="37"/>
  <c r="D146" i="37"/>
  <c r="J145" i="37"/>
  <c r="I145" i="37"/>
  <c r="D145" i="37"/>
  <c r="J144" i="37"/>
  <c r="I144" i="37"/>
  <c r="D144" i="37"/>
  <c r="J143" i="37"/>
  <c r="I143" i="37"/>
  <c r="D143" i="37"/>
  <c r="J142" i="37"/>
  <c r="I142" i="37"/>
  <c r="D142" i="37"/>
  <c r="J141" i="37"/>
  <c r="I141" i="37"/>
  <c r="D141" i="37"/>
  <c r="J140" i="37"/>
  <c r="I140" i="37"/>
  <c r="D140" i="37"/>
  <c r="J139" i="37"/>
  <c r="I139" i="37"/>
  <c r="D139" i="37"/>
  <c r="J138" i="37"/>
  <c r="I138" i="37"/>
  <c r="D138" i="37"/>
  <c r="J137" i="37"/>
  <c r="I137" i="37"/>
  <c r="D137" i="37"/>
  <c r="J136" i="37"/>
  <c r="I136" i="37"/>
  <c r="D136" i="37"/>
  <c r="J135" i="37"/>
  <c r="I135" i="37"/>
  <c r="D135" i="37"/>
  <c r="J134" i="37"/>
  <c r="I134" i="37"/>
  <c r="D134" i="37"/>
  <c r="J133" i="37"/>
  <c r="I133" i="37"/>
  <c r="D133" i="37"/>
  <c r="J132" i="37"/>
  <c r="I132" i="37"/>
  <c r="D132" i="37"/>
  <c r="J131" i="37"/>
  <c r="I131" i="37"/>
  <c r="D131" i="37"/>
  <c r="J130" i="37"/>
  <c r="I130" i="37"/>
  <c r="D130" i="37"/>
  <c r="J129" i="37"/>
  <c r="I129" i="37"/>
  <c r="D129" i="37"/>
  <c r="J128" i="37"/>
  <c r="I128" i="37"/>
  <c r="D128" i="37"/>
  <c r="J127" i="37"/>
  <c r="I127" i="37"/>
  <c r="D127" i="37"/>
  <c r="J126" i="37"/>
  <c r="I126" i="37"/>
  <c r="D126" i="37"/>
  <c r="J125" i="37"/>
  <c r="I125" i="37"/>
  <c r="D125" i="37"/>
  <c r="J124" i="37"/>
  <c r="I124" i="37"/>
  <c r="D124" i="37"/>
  <c r="J123" i="37"/>
  <c r="I123" i="37"/>
  <c r="D123" i="37"/>
  <c r="J122" i="37"/>
  <c r="I122" i="37"/>
  <c r="D122" i="37"/>
  <c r="J121" i="37"/>
  <c r="I121" i="37"/>
  <c r="D121" i="37"/>
  <c r="J120" i="37"/>
  <c r="I120" i="37"/>
  <c r="D120" i="37"/>
  <c r="J119" i="37"/>
  <c r="I119" i="37"/>
  <c r="D119" i="37"/>
  <c r="J118" i="37"/>
  <c r="I118" i="37"/>
  <c r="D118" i="37"/>
  <c r="J117" i="37"/>
  <c r="I117" i="37"/>
  <c r="D117" i="37"/>
  <c r="J116" i="37"/>
  <c r="I116" i="37"/>
  <c r="D116" i="37"/>
  <c r="J115" i="37"/>
  <c r="I115" i="37"/>
  <c r="D115" i="37"/>
  <c r="J114" i="37"/>
  <c r="I114" i="37"/>
  <c r="D114" i="37"/>
  <c r="J113" i="37"/>
  <c r="I113" i="37"/>
  <c r="D113" i="37"/>
  <c r="J112" i="37"/>
  <c r="I112" i="37"/>
  <c r="D112" i="37"/>
  <c r="J111" i="37"/>
  <c r="I111" i="37"/>
  <c r="D111" i="37"/>
  <c r="J110" i="37"/>
  <c r="I110" i="37"/>
  <c r="D110" i="37"/>
  <c r="J109" i="37"/>
  <c r="I109" i="37"/>
  <c r="D109" i="37"/>
  <c r="J108" i="37"/>
  <c r="I108" i="37"/>
  <c r="D108" i="37"/>
  <c r="J107" i="37"/>
  <c r="I107" i="37"/>
  <c r="D107" i="37"/>
  <c r="J106" i="37"/>
  <c r="I106" i="37"/>
  <c r="D106" i="37"/>
  <c r="J105" i="37"/>
  <c r="I105" i="37"/>
  <c r="D105" i="37"/>
  <c r="J104" i="37"/>
  <c r="I104" i="37"/>
  <c r="D104" i="37"/>
  <c r="J103" i="37"/>
  <c r="I103" i="37"/>
  <c r="D103" i="37"/>
  <c r="J102" i="37"/>
  <c r="I102" i="37"/>
  <c r="D102" i="37"/>
  <c r="J101" i="37"/>
  <c r="I101" i="37"/>
  <c r="D101" i="37"/>
  <c r="J100" i="37"/>
  <c r="I100" i="37"/>
  <c r="D100" i="37"/>
  <c r="J99" i="37"/>
  <c r="I99" i="37"/>
  <c r="D99" i="37"/>
  <c r="J98" i="37"/>
  <c r="I98" i="37"/>
  <c r="D98" i="37"/>
  <c r="J97" i="37"/>
  <c r="I97" i="37"/>
  <c r="D97" i="37"/>
  <c r="J96" i="37"/>
  <c r="I96" i="37"/>
  <c r="D96" i="37"/>
  <c r="J95" i="37"/>
  <c r="I95" i="37"/>
  <c r="D95" i="37"/>
  <c r="J94" i="37"/>
  <c r="I94" i="37"/>
  <c r="D94" i="37"/>
  <c r="J93" i="37"/>
  <c r="I93" i="37"/>
  <c r="D93" i="37"/>
  <c r="J92" i="37"/>
  <c r="I92" i="37"/>
  <c r="D92" i="37"/>
  <c r="J91" i="37"/>
  <c r="I91" i="37"/>
  <c r="D91" i="37"/>
  <c r="J90" i="37"/>
  <c r="I90" i="37"/>
  <c r="D90" i="37"/>
  <c r="J89" i="37"/>
  <c r="I89" i="37"/>
  <c r="D89" i="37"/>
  <c r="J88" i="37"/>
  <c r="I88" i="37"/>
  <c r="D88" i="37"/>
  <c r="J87" i="37"/>
  <c r="I87" i="37"/>
  <c r="D87" i="37"/>
  <c r="J86" i="37"/>
  <c r="I86" i="37"/>
  <c r="D86" i="37"/>
  <c r="J85" i="37"/>
  <c r="I85" i="37"/>
  <c r="D85" i="37"/>
  <c r="J84" i="37"/>
  <c r="I84" i="37"/>
  <c r="D84" i="37"/>
  <c r="J83" i="37"/>
  <c r="I83" i="37"/>
  <c r="D83" i="37"/>
  <c r="J82" i="37"/>
  <c r="I82" i="37"/>
  <c r="D82" i="37"/>
  <c r="J81" i="37"/>
  <c r="I81" i="37"/>
  <c r="D81" i="37"/>
  <c r="J80" i="37"/>
  <c r="I80" i="37"/>
  <c r="D80" i="37"/>
  <c r="J79" i="37"/>
  <c r="I79" i="37"/>
  <c r="D79" i="37"/>
  <c r="J78" i="37"/>
  <c r="I78" i="37"/>
  <c r="D78" i="37"/>
  <c r="J77" i="37"/>
  <c r="I77" i="37"/>
  <c r="D77" i="37"/>
  <c r="J76" i="37"/>
  <c r="I76" i="37"/>
  <c r="D76" i="37"/>
  <c r="J75" i="37"/>
  <c r="I75" i="37"/>
  <c r="D75" i="37"/>
  <c r="J74" i="37"/>
  <c r="I74" i="37"/>
  <c r="D74" i="37"/>
  <c r="J73" i="37"/>
  <c r="I73" i="37"/>
  <c r="D73" i="37"/>
  <c r="J72" i="37"/>
  <c r="I72" i="37"/>
  <c r="D72" i="37"/>
  <c r="J71" i="37"/>
  <c r="I71" i="37"/>
  <c r="D71" i="37"/>
  <c r="J70" i="37"/>
  <c r="I70" i="37"/>
  <c r="D70" i="37"/>
  <c r="J69" i="37"/>
  <c r="I69" i="37"/>
  <c r="D69" i="37"/>
  <c r="J68" i="37"/>
  <c r="I68" i="37"/>
  <c r="D68" i="37"/>
  <c r="J67" i="37"/>
  <c r="I67" i="37"/>
  <c r="D67" i="37"/>
  <c r="J66" i="37"/>
  <c r="I66" i="37"/>
  <c r="D66" i="37"/>
  <c r="J65" i="37"/>
  <c r="I65" i="37"/>
  <c r="D65" i="37"/>
  <c r="J64" i="37"/>
  <c r="I64" i="37"/>
  <c r="D64" i="37"/>
  <c r="J63" i="37"/>
  <c r="I63" i="37"/>
  <c r="D63" i="37"/>
  <c r="J62" i="37"/>
  <c r="I62" i="37"/>
  <c r="D62" i="37"/>
  <c r="J61" i="37"/>
  <c r="I61" i="37"/>
  <c r="D61" i="37"/>
  <c r="J60" i="37"/>
  <c r="I60" i="37"/>
  <c r="D60" i="37"/>
  <c r="J59" i="37"/>
  <c r="I59" i="37"/>
  <c r="D59" i="37"/>
  <c r="J58" i="37"/>
  <c r="I58" i="37"/>
  <c r="D58" i="37"/>
  <c r="J57" i="37"/>
  <c r="I57" i="37"/>
  <c r="D57" i="37"/>
  <c r="J56" i="37"/>
  <c r="I56" i="37"/>
  <c r="D56" i="37"/>
  <c r="J55" i="37"/>
  <c r="I55" i="37"/>
  <c r="D55" i="37"/>
  <c r="J54" i="37"/>
  <c r="I54" i="37"/>
  <c r="D54" i="37"/>
  <c r="J53" i="37"/>
  <c r="I53" i="37"/>
  <c r="D53" i="37"/>
  <c r="J52" i="37"/>
  <c r="I52" i="37"/>
  <c r="D52" i="37"/>
  <c r="J51" i="37"/>
  <c r="I51" i="37"/>
  <c r="D51" i="37"/>
  <c r="J50" i="37"/>
  <c r="I50" i="37"/>
  <c r="D50" i="37"/>
  <c r="J49" i="37"/>
  <c r="I49" i="37"/>
  <c r="D49" i="37"/>
  <c r="J48" i="37"/>
  <c r="I48" i="37"/>
  <c r="D48" i="37"/>
  <c r="J47" i="37"/>
  <c r="I47" i="37"/>
  <c r="D47" i="37"/>
  <c r="J46" i="37"/>
  <c r="I46" i="37"/>
  <c r="D46" i="37"/>
  <c r="J45" i="37"/>
  <c r="I45" i="37"/>
  <c r="D45" i="37"/>
  <c r="J44" i="37"/>
  <c r="I44" i="37"/>
  <c r="D44" i="37"/>
  <c r="J43" i="37"/>
  <c r="I43" i="37"/>
  <c r="D43" i="37"/>
  <c r="J42" i="37"/>
  <c r="I42" i="37"/>
  <c r="D42" i="37"/>
  <c r="J41" i="37"/>
  <c r="I41" i="37"/>
  <c r="D41" i="37"/>
  <c r="J40" i="37"/>
  <c r="I40" i="37"/>
  <c r="D40" i="37"/>
  <c r="J39" i="37"/>
  <c r="I39" i="37"/>
  <c r="D39" i="37"/>
  <c r="J38" i="37"/>
  <c r="I38" i="37"/>
  <c r="D38" i="37"/>
  <c r="J37" i="37"/>
  <c r="I37" i="37"/>
  <c r="D37" i="37"/>
  <c r="J36" i="37"/>
  <c r="I36" i="37"/>
  <c r="D36" i="37"/>
  <c r="J35" i="37"/>
  <c r="I35" i="37"/>
  <c r="D35" i="37"/>
  <c r="J34" i="37"/>
  <c r="I34" i="37"/>
  <c r="D34" i="37"/>
  <c r="J33" i="37"/>
  <c r="I33" i="37"/>
  <c r="D33" i="37"/>
  <c r="P32" i="37"/>
  <c r="J32" i="37"/>
  <c r="I32" i="37"/>
  <c r="D32" i="37"/>
  <c r="P31" i="37"/>
  <c r="J31" i="37"/>
  <c r="I31" i="37"/>
  <c r="D31" i="37"/>
  <c r="P30" i="37"/>
  <c r="J30" i="37"/>
  <c r="I30" i="37"/>
  <c r="D30" i="37"/>
  <c r="P29" i="37"/>
  <c r="J29" i="37"/>
  <c r="I29" i="37"/>
  <c r="D29" i="37"/>
  <c r="P28" i="37"/>
  <c r="P33" i="37" s="1"/>
  <c r="J28" i="37"/>
  <c r="I28" i="37"/>
  <c r="D28" i="37"/>
  <c r="J27" i="37"/>
  <c r="I27" i="37"/>
  <c r="D27" i="37"/>
  <c r="J26" i="37"/>
  <c r="I26" i="37"/>
  <c r="D26" i="37"/>
  <c r="P25" i="37"/>
  <c r="J25" i="37"/>
  <c r="I25" i="37"/>
  <c r="D25" i="37"/>
  <c r="P24" i="37"/>
  <c r="P26" i="37" s="1"/>
  <c r="J24" i="37"/>
  <c r="I24" i="37"/>
  <c r="D24" i="37"/>
  <c r="P23" i="37"/>
  <c r="J23" i="37"/>
  <c r="I23" i="37"/>
  <c r="D23" i="37"/>
  <c r="P22" i="37"/>
  <c r="J22" i="37"/>
  <c r="I22" i="37"/>
  <c r="D22" i="37"/>
  <c r="P21" i="37"/>
  <c r="J21" i="37"/>
  <c r="I21" i="37"/>
  <c r="D21" i="37"/>
  <c r="J20" i="37"/>
  <c r="I20" i="37"/>
  <c r="D20" i="37"/>
  <c r="M19" i="37"/>
  <c r="J19" i="37"/>
  <c r="I19" i="37"/>
  <c r="D19" i="37"/>
  <c r="J18" i="37"/>
  <c r="I18" i="37"/>
  <c r="D18" i="37"/>
  <c r="J17" i="37"/>
  <c r="I17" i="37"/>
  <c r="D17" i="37"/>
  <c r="J16" i="37"/>
  <c r="I16" i="37"/>
  <c r="D16" i="37"/>
  <c r="J15" i="37"/>
  <c r="I15" i="37"/>
  <c r="D15" i="37"/>
  <c r="J14" i="37"/>
  <c r="I14" i="37"/>
  <c r="D14" i="37"/>
  <c r="J13" i="37"/>
  <c r="I13" i="37"/>
  <c r="D13" i="37"/>
  <c r="J12" i="37"/>
  <c r="I12" i="37"/>
  <c r="D12" i="37"/>
  <c r="J11" i="37"/>
  <c r="I11" i="37"/>
  <c r="D11" i="37"/>
  <c r="J10" i="37"/>
  <c r="I10" i="37"/>
  <c r="D10" i="37"/>
  <c r="J9" i="37"/>
  <c r="I9" i="37"/>
  <c r="D9" i="37"/>
  <c r="J8" i="37"/>
  <c r="I8" i="37"/>
  <c r="D8" i="37"/>
  <c r="J7" i="37"/>
  <c r="I7" i="37"/>
  <c r="D7" i="37"/>
  <c r="J6" i="37"/>
  <c r="I6" i="37"/>
  <c r="D6" i="37"/>
  <c r="B2" i="37" a="1"/>
  <c r="B2" i="37" s="1"/>
  <c r="J488" i="36"/>
  <c r="I488" i="36"/>
  <c r="D488" i="36"/>
  <c r="J487" i="36"/>
  <c r="I487" i="36"/>
  <c r="D487" i="36"/>
  <c r="J486" i="36"/>
  <c r="I486" i="36"/>
  <c r="D486" i="36"/>
  <c r="J485" i="36"/>
  <c r="I485" i="36"/>
  <c r="D485" i="36"/>
  <c r="J484" i="36"/>
  <c r="I484" i="36"/>
  <c r="D484" i="36"/>
  <c r="J483" i="36"/>
  <c r="I483" i="36"/>
  <c r="D483" i="36"/>
  <c r="J482" i="36"/>
  <c r="I482" i="36"/>
  <c r="D482" i="36"/>
  <c r="J481" i="36"/>
  <c r="I481" i="36"/>
  <c r="D481" i="36"/>
  <c r="J480" i="36"/>
  <c r="I480" i="36"/>
  <c r="D480" i="36"/>
  <c r="J479" i="36"/>
  <c r="I479" i="36"/>
  <c r="D479" i="36"/>
  <c r="J478" i="36"/>
  <c r="I478" i="36"/>
  <c r="D478" i="36"/>
  <c r="J477" i="36"/>
  <c r="I477" i="36"/>
  <c r="D477" i="36"/>
  <c r="J476" i="36"/>
  <c r="I476" i="36"/>
  <c r="D476" i="36"/>
  <c r="J475" i="36"/>
  <c r="I475" i="36"/>
  <c r="D475" i="36"/>
  <c r="J474" i="36"/>
  <c r="I474" i="36"/>
  <c r="D474" i="36"/>
  <c r="J473" i="36"/>
  <c r="I473" i="36"/>
  <c r="D473" i="36"/>
  <c r="J472" i="36"/>
  <c r="I472" i="36"/>
  <c r="D472" i="36"/>
  <c r="J471" i="36"/>
  <c r="I471" i="36"/>
  <c r="D471" i="36"/>
  <c r="J470" i="36"/>
  <c r="I470" i="36"/>
  <c r="D470" i="36"/>
  <c r="J469" i="36"/>
  <c r="I469" i="36"/>
  <c r="D469" i="36"/>
  <c r="J468" i="36"/>
  <c r="I468" i="36"/>
  <c r="D468" i="36"/>
  <c r="J467" i="36"/>
  <c r="I467" i="36"/>
  <c r="D467" i="36"/>
  <c r="J466" i="36"/>
  <c r="I466" i="36"/>
  <c r="D466" i="36"/>
  <c r="J465" i="36"/>
  <c r="I465" i="36"/>
  <c r="D465" i="36"/>
  <c r="J464" i="36"/>
  <c r="I464" i="36"/>
  <c r="D464" i="36"/>
  <c r="J463" i="36"/>
  <c r="I463" i="36"/>
  <c r="D463" i="36"/>
  <c r="J462" i="36"/>
  <c r="I462" i="36"/>
  <c r="D462" i="36"/>
  <c r="J461" i="36"/>
  <c r="I461" i="36"/>
  <c r="D461" i="36"/>
  <c r="J460" i="36"/>
  <c r="I460" i="36"/>
  <c r="D460" i="36"/>
  <c r="J459" i="36"/>
  <c r="I459" i="36"/>
  <c r="D459" i="36"/>
  <c r="J458" i="36"/>
  <c r="I458" i="36"/>
  <c r="D458" i="36"/>
  <c r="J457" i="36"/>
  <c r="I457" i="36"/>
  <c r="D457" i="36"/>
  <c r="J456" i="36"/>
  <c r="I456" i="36"/>
  <c r="D456" i="36"/>
  <c r="J455" i="36"/>
  <c r="I455" i="36"/>
  <c r="D455" i="36"/>
  <c r="J454" i="36"/>
  <c r="I454" i="36"/>
  <c r="D454" i="36"/>
  <c r="J453" i="36"/>
  <c r="I453" i="36"/>
  <c r="D453" i="36"/>
  <c r="J452" i="36"/>
  <c r="I452" i="36"/>
  <c r="D452" i="36"/>
  <c r="J451" i="36"/>
  <c r="I451" i="36"/>
  <c r="D451" i="36"/>
  <c r="J450" i="36"/>
  <c r="I450" i="36"/>
  <c r="D450" i="36"/>
  <c r="J449" i="36"/>
  <c r="I449" i="36"/>
  <c r="D449" i="36"/>
  <c r="J448" i="36"/>
  <c r="I448" i="36"/>
  <c r="D448" i="36"/>
  <c r="J447" i="36"/>
  <c r="I447" i="36"/>
  <c r="D447" i="36"/>
  <c r="J446" i="36"/>
  <c r="I446" i="36"/>
  <c r="D446" i="36"/>
  <c r="J445" i="36"/>
  <c r="I445" i="36"/>
  <c r="D445" i="36"/>
  <c r="J444" i="36"/>
  <c r="I444" i="36"/>
  <c r="D444" i="36"/>
  <c r="J443" i="36"/>
  <c r="I443" i="36"/>
  <c r="D443" i="36"/>
  <c r="J442" i="36"/>
  <c r="I442" i="36"/>
  <c r="D442" i="36"/>
  <c r="J441" i="36"/>
  <c r="I441" i="36"/>
  <c r="D441" i="36"/>
  <c r="J440" i="36"/>
  <c r="I440" i="36"/>
  <c r="D440" i="36"/>
  <c r="J439" i="36"/>
  <c r="I439" i="36"/>
  <c r="D439" i="36"/>
  <c r="J438" i="36"/>
  <c r="I438" i="36"/>
  <c r="D438" i="36"/>
  <c r="J437" i="36"/>
  <c r="I437" i="36"/>
  <c r="D437" i="36"/>
  <c r="J436" i="36"/>
  <c r="I436" i="36"/>
  <c r="D436" i="36"/>
  <c r="J435" i="36"/>
  <c r="I435" i="36"/>
  <c r="D435" i="36"/>
  <c r="J434" i="36"/>
  <c r="I434" i="36"/>
  <c r="D434" i="36"/>
  <c r="J433" i="36"/>
  <c r="I433" i="36"/>
  <c r="D433" i="36"/>
  <c r="J432" i="36"/>
  <c r="I432" i="36"/>
  <c r="D432" i="36"/>
  <c r="J431" i="36"/>
  <c r="I431" i="36"/>
  <c r="D431" i="36"/>
  <c r="J430" i="36"/>
  <c r="I430" i="36"/>
  <c r="D430" i="36"/>
  <c r="J429" i="36"/>
  <c r="I429" i="36"/>
  <c r="D429" i="36"/>
  <c r="J428" i="36"/>
  <c r="I428" i="36"/>
  <c r="D428" i="36"/>
  <c r="J427" i="36"/>
  <c r="I427" i="36"/>
  <c r="D427" i="36"/>
  <c r="J426" i="36"/>
  <c r="I426" i="36"/>
  <c r="D426" i="36"/>
  <c r="J425" i="36"/>
  <c r="I425" i="36"/>
  <c r="D425" i="36"/>
  <c r="J424" i="36"/>
  <c r="I424" i="36"/>
  <c r="D424" i="36"/>
  <c r="J423" i="36"/>
  <c r="I423" i="36"/>
  <c r="D423" i="36"/>
  <c r="J422" i="36"/>
  <c r="I422" i="36"/>
  <c r="D422" i="36"/>
  <c r="J421" i="36"/>
  <c r="I421" i="36"/>
  <c r="D421" i="36"/>
  <c r="J420" i="36"/>
  <c r="I420" i="36"/>
  <c r="D420" i="36"/>
  <c r="J419" i="36"/>
  <c r="I419" i="36"/>
  <c r="D419" i="36"/>
  <c r="J418" i="36"/>
  <c r="I418" i="36"/>
  <c r="D418" i="36"/>
  <c r="J417" i="36"/>
  <c r="I417" i="36"/>
  <c r="D417" i="36"/>
  <c r="J416" i="36"/>
  <c r="I416" i="36"/>
  <c r="D416" i="36"/>
  <c r="J415" i="36"/>
  <c r="I415" i="36"/>
  <c r="D415" i="36"/>
  <c r="J414" i="36"/>
  <c r="I414" i="36"/>
  <c r="D414" i="36"/>
  <c r="J413" i="36"/>
  <c r="I413" i="36"/>
  <c r="D413" i="36"/>
  <c r="J412" i="36"/>
  <c r="I412" i="36"/>
  <c r="D412" i="36"/>
  <c r="J411" i="36"/>
  <c r="I411" i="36"/>
  <c r="D411" i="36"/>
  <c r="J410" i="36"/>
  <c r="I410" i="36"/>
  <c r="D410" i="36"/>
  <c r="J409" i="36"/>
  <c r="I409" i="36"/>
  <c r="D409" i="36"/>
  <c r="J408" i="36"/>
  <c r="I408" i="36"/>
  <c r="D408" i="36"/>
  <c r="J407" i="36"/>
  <c r="I407" i="36"/>
  <c r="D407" i="36"/>
  <c r="J406" i="36"/>
  <c r="I406" i="36"/>
  <c r="D406" i="36"/>
  <c r="J405" i="36"/>
  <c r="I405" i="36"/>
  <c r="D405" i="36"/>
  <c r="J404" i="36"/>
  <c r="I404" i="36"/>
  <c r="D404" i="36"/>
  <c r="J403" i="36"/>
  <c r="I403" i="36"/>
  <c r="D403" i="36"/>
  <c r="J402" i="36"/>
  <c r="I402" i="36"/>
  <c r="D402" i="36"/>
  <c r="J401" i="36"/>
  <c r="I401" i="36"/>
  <c r="D401" i="36"/>
  <c r="J400" i="36"/>
  <c r="I400" i="36"/>
  <c r="D400" i="36"/>
  <c r="J399" i="36"/>
  <c r="I399" i="36"/>
  <c r="D399" i="36"/>
  <c r="J398" i="36"/>
  <c r="I398" i="36"/>
  <c r="D398" i="36"/>
  <c r="J397" i="36"/>
  <c r="I397" i="36"/>
  <c r="D397" i="36"/>
  <c r="J396" i="36"/>
  <c r="I396" i="36"/>
  <c r="D396" i="36"/>
  <c r="J395" i="36"/>
  <c r="I395" i="36"/>
  <c r="D395" i="36"/>
  <c r="J394" i="36"/>
  <c r="I394" i="36"/>
  <c r="D394" i="36"/>
  <c r="J393" i="36"/>
  <c r="I393" i="36"/>
  <c r="D393" i="36"/>
  <c r="J392" i="36"/>
  <c r="I392" i="36"/>
  <c r="D392" i="36"/>
  <c r="J391" i="36"/>
  <c r="I391" i="36"/>
  <c r="D391" i="36"/>
  <c r="J390" i="36"/>
  <c r="I390" i="36"/>
  <c r="D390" i="36"/>
  <c r="J389" i="36"/>
  <c r="I389" i="36"/>
  <c r="D389" i="36"/>
  <c r="J388" i="36"/>
  <c r="I388" i="36"/>
  <c r="D388" i="36"/>
  <c r="J387" i="36"/>
  <c r="I387" i="36"/>
  <c r="D387" i="36"/>
  <c r="J386" i="36"/>
  <c r="I386" i="36"/>
  <c r="D386" i="36"/>
  <c r="J385" i="36"/>
  <c r="I385" i="36"/>
  <c r="D385" i="36"/>
  <c r="J384" i="36"/>
  <c r="I384" i="36"/>
  <c r="D384" i="36"/>
  <c r="J383" i="36"/>
  <c r="I383" i="36"/>
  <c r="D383" i="36"/>
  <c r="J382" i="36"/>
  <c r="I382" i="36"/>
  <c r="D382" i="36"/>
  <c r="J381" i="36"/>
  <c r="I381" i="36"/>
  <c r="D381" i="36"/>
  <c r="J380" i="36"/>
  <c r="I380" i="36"/>
  <c r="D380" i="36"/>
  <c r="J379" i="36"/>
  <c r="I379" i="36"/>
  <c r="D379" i="36"/>
  <c r="J378" i="36"/>
  <c r="I378" i="36"/>
  <c r="D378" i="36"/>
  <c r="J377" i="36"/>
  <c r="I377" i="36"/>
  <c r="D377" i="36"/>
  <c r="J376" i="36"/>
  <c r="I376" i="36"/>
  <c r="D376" i="36"/>
  <c r="J375" i="36"/>
  <c r="I375" i="36"/>
  <c r="D375" i="36"/>
  <c r="J374" i="36"/>
  <c r="I374" i="36"/>
  <c r="D374" i="36"/>
  <c r="J373" i="36"/>
  <c r="I373" i="36"/>
  <c r="D373" i="36"/>
  <c r="J372" i="36"/>
  <c r="I372" i="36"/>
  <c r="D372" i="36"/>
  <c r="J371" i="36"/>
  <c r="I371" i="36"/>
  <c r="D371" i="36"/>
  <c r="J370" i="36"/>
  <c r="I370" i="36"/>
  <c r="D370" i="36"/>
  <c r="J369" i="36"/>
  <c r="I369" i="36"/>
  <c r="D369" i="36"/>
  <c r="J368" i="36"/>
  <c r="I368" i="36"/>
  <c r="D368" i="36"/>
  <c r="J367" i="36"/>
  <c r="I367" i="36"/>
  <c r="D367" i="36"/>
  <c r="J366" i="36"/>
  <c r="I366" i="36"/>
  <c r="D366" i="36"/>
  <c r="J365" i="36"/>
  <c r="I365" i="36"/>
  <c r="D365" i="36"/>
  <c r="J364" i="36"/>
  <c r="I364" i="36"/>
  <c r="D364" i="36"/>
  <c r="J363" i="36"/>
  <c r="I363" i="36"/>
  <c r="D363" i="36"/>
  <c r="J362" i="36"/>
  <c r="I362" i="36"/>
  <c r="D362" i="36"/>
  <c r="J361" i="36"/>
  <c r="I361" i="36"/>
  <c r="D361" i="36"/>
  <c r="J360" i="36"/>
  <c r="I360" i="36"/>
  <c r="D360" i="36"/>
  <c r="J359" i="36"/>
  <c r="I359" i="36"/>
  <c r="D359" i="36"/>
  <c r="J358" i="36"/>
  <c r="I358" i="36"/>
  <c r="D358" i="36"/>
  <c r="J357" i="36"/>
  <c r="I357" i="36"/>
  <c r="D357" i="36"/>
  <c r="J356" i="36"/>
  <c r="I356" i="36"/>
  <c r="D356" i="36"/>
  <c r="J355" i="36"/>
  <c r="I355" i="36"/>
  <c r="D355" i="36"/>
  <c r="J354" i="36"/>
  <c r="I354" i="36"/>
  <c r="D354" i="36"/>
  <c r="J353" i="36"/>
  <c r="I353" i="36"/>
  <c r="D353" i="36"/>
  <c r="J352" i="36"/>
  <c r="I352" i="36"/>
  <c r="D352" i="36"/>
  <c r="J351" i="36"/>
  <c r="I351" i="36"/>
  <c r="D351" i="36"/>
  <c r="J350" i="36"/>
  <c r="I350" i="36"/>
  <c r="D350" i="36"/>
  <c r="J349" i="36"/>
  <c r="I349" i="36"/>
  <c r="D349" i="36"/>
  <c r="J348" i="36"/>
  <c r="I348" i="36"/>
  <c r="D348" i="36"/>
  <c r="J347" i="36"/>
  <c r="I347" i="36"/>
  <c r="D347" i="36"/>
  <c r="J346" i="36"/>
  <c r="I346" i="36"/>
  <c r="D346" i="36"/>
  <c r="J345" i="36"/>
  <c r="I345" i="36"/>
  <c r="D345" i="36"/>
  <c r="J344" i="36"/>
  <c r="I344" i="36"/>
  <c r="D344" i="36"/>
  <c r="J343" i="36"/>
  <c r="I343" i="36"/>
  <c r="D343" i="36"/>
  <c r="J342" i="36"/>
  <c r="I342" i="36"/>
  <c r="D342" i="36"/>
  <c r="J341" i="36"/>
  <c r="I341" i="36"/>
  <c r="D341" i="36"/>
  <c r="J340" i="36"/>
  <c r="I340" i="36"/>
  <c r="D340" i="36"/>
  <c r="J339" i="36"/>
  <c r="I339" i="36"/>
  <c r="D339" i="36"/>
  <c r="J338" i="36"/>
  <c r="I338" i="36"/>
  <c r="D338" i="36"/>
  <c r="J337" i="36"/>
  <c r="I337" i="36"/>
  <c r="D337" i="36"/>
  <c r="J336" i="36"/>
  <c r="I336" i="36"/>
  <c r="D336" i="36"/>
  <c r="J335" i="36"/>
  <c r="I335" i="36"/>
  <c r="D335" i="36"/>
  <c r="J334" i="36"/>
  <c r="I334" i="36"/>
  <c r="D334" i="36"/>
  <c r="J333" i="36"/>
  <c r="I333" i="36"/>
  <c r="D333" i="36"/>
  <c r="J332" i="36"/>
  <c r="I332" i="36"/>
  <c r="D332" i="36"/>
  <c r="J331" i="36"/>
  <c r="I331" i="36"/>
  <c r="D331" i="36"/>
  <c r="J330" i="36"/>
  <c r="I330" i="36"/>
  <c r="D330" i="36"/>
  <c r="J329" i="36"/>
  <c r="I329" i="36"/>
  <c r="D329" i="36"/>
  <c r="J328" i="36"/>
  <c r="I328" i="36"/>
  <c r="D328" i="36"/>
  <c r="J327" i="36"/>
  <c r="I327" i="36"/>
  <c r="D327" i="36"/>
  <c r="J326" i="36"/>
  <c r="I326" i="36"/>
  <c r="D326" i="36"/>
  <c r="J325" i="36"/>
  <c r="I325" i="36"/>
  <c r="D325" i="36"/>
  <c r="J324" i="36"/>
  <c r="I324" i="36"/>
  <c r="D324" i="36"/>
  <c r="J323" i="36"/>
  <c r="I323" i="36"/>
  <c r="D323" i="36"/>
  <c r="J322" i="36"/>
  <c r="I322" i="36"/>
  <c r="D322" i="36"/>
  <c r="J321" i="36"/>
  <c r="I321" i="36"/>
  <c r="D321" i="36"/>
  <c r="J320" i="36"/>
  <c r="I320" i="36"/>
  <c r="D320" i="36"/>
  <c r="J319" i="36"/>
  <c r="I319" i="36"/>
  <c r="D319" i="36"/>
  <c r="J318" i="36"/>
  <c r="I318" i="36"/>
  <c r="D318" i="36"/>
  <c r="J317" i="36"/>
  <c r="I317" i="36"/>
  <c r="D317" i="36"/>
  <c r="J316" i="36"/>
  <c r="I316" i="36"/>
  <c r="D316" i="36"/>
  <c r="J315" i="36"/>
  <c r="I315" i="36"/>
  <c r="D315" i="36"/>
  <c r="J314" i="36"/>
  <c r="I314" i="36"/>
  <c r="D314" i="36"/>
  <c r="J313" i="36"/>
  <c r="I313" i="36"/>
  <c r="D313" i="36"/>
  <c r="J312" i="36"/>
  <c r="I312" i="36"/>
  <c r="D312" i="36"/>
  <c r="J311" i="36"/>
  <c r="I311" i="36"/>
  <c r="D311" i="36"/>
  <c r="J310" i="36"/>
  <c r="I310" i="36"/>
  <c r="D310" i="36"/>
  <c r="J309" i="36"/>
  <c r="I309" i="36"/>
  <c r="D309" i="36"/>
  <c r="J308" i="36"/>
  <c r="I308" i="36"/>
  <c r="D308" i="36"/>
  <c r="J307" i="36"/>
  <c r="I307" i="36"/>
  <c r="D307" i="36"/>
  <c r="J306" i="36"/>
  <c r="I306" i="36"/>
  <c r="D306" i="36"/>
  <c r="J305" i="36"/>
  <c r="I305" i="36"/>
  <c r="D305" i="36"/>
  <c r="J304" i="36"/>
  <c r="I304" i="36"/>
  <c r="D304" i="36"/>
  <c r="J303" i="36"/>
  <c r="I303" i="36"/>
  <c r="D303" i="36"/>
  <c r="J302" i="36"/>
  <c r="I302" i="36"/>
  <c r="D302" i="36"/>
  <c r="J301" i="36"/>
  <c r="I301" i="36"/>
  <c r="D301" i="36"/>
  <c r="J300" i="36"/>
  <c r="I300" i="36"/>
  <c r="D300" i="36"/>
  <c r="J299" i="36"/>
  <c r="I299" i="36"/>
  <c r="D299" i="36"/>
  <c r="J298" i="36"/>
  <c r="I298" i="36"/>
  <c r="D298" i="36"/>
  <c r="J297" i="36"/>
  <c r="I297" i="36"/>
  <c r="D297" i="36"/>
  <c r="J296" i="36"/>
  <c r="I296" i="36"/>
  <c r="D296" i="36"/>
  <c r="J295" i="36"/>
  <c r="I295" i="36"/>
  <c r="D295" i="36"/>
  <c r="J294" i="36"/>
  <c r="I294" i="36"/>
  <c r="D294" i="36"/>
  <c r="J293" i="36"/>
  <c r="I293" i="36"/>
  <c r="D293" i="36"/>
  <c r="J292" i="36"/>
  <c r="I292" i="36"/>
  <c r="D292" i="36"/>
  <c r="J291" i="36"/>
  <c r="I291" i="36"/>
  <c r="D291" i="36"/>
  <c r="J290" i="36"/>
  <c r="I290" i="36"/>
  <c r="D290" i="36"/>
  <c r="J289" i="36"/>
  <c r="I289" i="36"/>
  <c r="D289" i="36"/>
  <c r="J288" i="36"/>
  <c r="I288" i="36"/>
  <c r="D288" i="36"/>
  <c r="J287" i="36"/>
  <c r="I287" i="36"/>
  <c r="D287" i="36"/>
  <c r="J286" i="36"/>
  <c r="I286" i="36"/>
  <c r="D286" i="36"/>
  <c r="J285" i="36"/>
  <c r="I285" i="36"/>
  <c r="D285" i="36"/>
  <c r="J284" i="36"/>
  <c r="I284" i="36"/>
  <c r="D284" i="36"/>
  <c r="J283" i="36"/>
  <c r="I283" i="36"/>
  <c r="D283" i="36"/>
  <c r="J282" i="36"/>
  <c r="I282" i="36"/>
  <c r="D282" i="36"/>
  <c r="J281" i="36"/>
  <c r="I281" i="36"/>
  <c r="D281" i="36"/>
  <c r="J280" i="36"/>
  <c r="I280" i="36"/>
  <c r="D280" i="36"/>
  <c r="J279" i="36"/>
  <c r="I279" i="36"/>
  <c r="D279" i="36"/>
  <c r="J278" i="36"/>
  <c r="I278" i="36"/>
  <c r="D278" i="36"/>
  <c r="J277" i="36"/>
  <c r="I277" i="36"/>
  <c r="D277" i="36"/>
  <c r="J276" i="36"/>
  <c r="I276" i="36"/>
  <c r="D276" i="36"/>
  <c r="J275" i="36"/>
  <c r="I275" i="36"/>
  <c r="D275" i="36"/>
  <c r="J274" i="36"/>
  <c r="I274" i="36"/>
  <c r="D274" i="36"/>
  <c r="J273" i="36"/>
  <c r="I273" i="36"/>
  <c r="D273" i="36"/>
  <c r="J272" i="36"/>
  <c r="I272" i="36"/>
  <c r="D272" i="36"/>
  <c r="J271" i="36"/>
  <c r="I271" i="36"/>
  <c r="D271" i="36"/>
  <c r="J270" i="36"/>
  <c r="I270" i="36"/>
  <c r="D270" i="36"/>
  <c r="J269" i="36"/>
  <c r="I269" i="36"/>
  <c r="D269" i="36"/>
  <c r="J268" i="36"/>
  <c r="I268" i="36"/>
  <c r="D268" i="36"/>
  <c r="J267" i="36"/>
  <c r="I267" i="36"/>
  <c r="D267" i="36"/>
  <c r="J266" i="36"/>
  <c r="I266" i="36"/>
  <c r="D266" i="36"/>
  <c r="J265" i="36"/>
  <c r="I265" i="36"/>
  <c r="D265" i="36"/>
  <c r="J264" i="36"/>
  <c r="I264" i="36"/>
  <c r="D264" i="36"/>
  <c r="J263" i="36"/>
  <c r="I263" i="36"/>
  <c r="D263" i="36"/>
  <c r="J262" i="36"/>
  <c r="I262" i="36"/>
  <c r="D262" i="36"/>
  <c r="J261" i="36"/>
  <c r="I261" i="36"/>
  <c r="D261" i="36"/>
  <c r="J260" i="36"/>
  <c r="I260" i="36"/>
  <c r="D260" i="36"/>
  <c r="J259" i="36"/>
  <c r="I259" i="36"/>
  <c r="D259" i="36"/>
  <c r="J258" i="36"/>
  <c r="I258" i="36"/>
  <c r="D258" i="36"/>
  <c r="J257" i="36"/>
  <c r="I257" i="36"/>
  <c r="D257" i="36"/>
  <c r="J256" i="36"/>
  <c r="I256" i="36"/>
  <c r="D256" i="36"/>
  <c r="J255" i="36"/>
  <c r="I255" i="36"/>
  <c r="D255" i="36"/>
  <c r="J254" i="36"/>
  <c r="I254" i="36"/>
  <c r="D254" i="36"/>
  <c r="J253" i="36"/>
  <c r="I253" i="36"/>
  <c r="D253" i="36"/>
  <c r="J252" i="36"/>
  <c r="I252" i="36"/>
  <c r="D252" i="36"/>
  <c r="J251" i="36"/>
  <c r="I251" i="36"/>
  <c r="D251" i="36"/>
  <c r="J250" i="36"/>
  <c r="I250" i="36"/>
  <c r="D250" i="36"/>
  <c r="J249" i="36"/>
  <c r="I249" i="36"/>
  <c r="D249" i="36"/>
  <c r="J248" i="36"/>
  <c r="I248" i="36"/>
  <c r="D248" i="36"/>
  <c r="J247" i="36"/>
  <c r="I247" i="36"/>
  <c r="D247" i="36"/>
  <c r="J246" i="36"/>
  <c r="I246" i="36"/>
  <c r="D246" i="36"/>
  <c r="J245" i="36"/>
  <c r="I245" i="36"/>
  <c r="D245" i="36"/>
  <c r="J244" i="36"/>
  <c r="I244" i="36"/>
  <c r="D244" i="36"/>
  <c r="J243" i="36"/>
  <c r="I243" i="36"/>
  <c r="D243" i="36"/>
  <c r="J242" i="36"/>
  <c r="I242" i="36"/>
  <c r="D242" i="36"/>
  <c r="J241" i="36"/>
  <c r="I241" i="36"/>
  <c r="D241" i="36"/>
  <c r="J240" i="36"/>
  <c r="I240" i="36"/>
  <c r="D240" i="36"/>
  <c r="J239" i="36"/>
  <c r="I239" i="36"/>
  <c r="D239" i="36"/>
  <c r="J238" i="36"/>
  <c r="I238" i="36"/>
  <c r="D238" i="36"/>
  <c r="J237" i="36"/>
  <c r="I237" i="36"/>
  <c r="D237" i="36"/>
  <c r="J236" i="36"/>
  <c r="I236" i="36"/>
  <c r="D236" i="36"/>
  <c r="J235" i="36"/>
  <c r="I235" i="36"/>
  <c r="D235" i="36"/>
  <c r="J234" i="36"/>
  <c r="I234" i="36"/>
  <c r="D234" i="36"/>
  <c r="J233" i="36"/>
  <c r="I233" i="36"/>
  <c r="D233" i="36"/>
  <c r="J232" i="36"/>
  <c r="I232" i="36"/>
  <c r="D232" i="36"/>
  <c r="J231" i="36"/>
  <c r="I231" i="36"/>
  <c r="D231" i="36"/>
  <c r="J230" i="36"/>
  <c r="I230" i="36"/>
  <c r="D230" i="36"/>
  <c r="J229" i="36"/>
  <c r="I229" i="36"/>
  <c r="D229" i="36"/>
  <c r="J228" i="36"/>
  <c r="I228" i="36"/>
  <c r="D228" i="36"/>
  <c r="J227" i="36"/>
  <c r="I227" i="36"/>
  <c r="D227" i="36"/>
  <c r="J226" i="36"/>
  <c r="I226" i="36"/>
  <c r="D226" i="36"/>
  <c r="J225" i="36"/>
  <c r="I225" i="36"/>
  <c r="D225" i="36"/>
  <c r="J224" i="36"/>
  <c r="I224" i="36"/>
  <c r="D224" i="36"/>
  <c r="J223" i="36"/>
  <c r="I223" i="36"/>
  <c r="D223" i="36"/>
  <c r="J222" i="36"/>
  <c r="I222" i="36"/>
  <c r="D222" i="36"/>
  <c r="J221" i="36"/>
  <c r="I221" i="36"/>
  <c r="D221" i="36"/>
  <c r="J220" i="36"/>
  <c r="I220" i="36"/>
  <c r="D220" i="36"/>
  <c r="J219" i="36"/>
  <c r="I219" i="36"/>
  <c r="D219" i="36"/>
  <c r="J218" i="36"/>
  <c r="I218" i="36"/>
  <c r="D218" i="36"/>
  <c r="J217" i="36"/>
  <c r="I217" i="36"/>
  <c r="D217" i="36"/>
  <c r="J216" i="36"/>
  <c r="I216" i="36"/>
  <c r="D216" i="36"/>
  <c r="J215" i="36"/>
  <c r="I215" i="36"/>
  <c r="D215" i="36"/>
  <c r="J214" i="36"/>
  <c r="I214" i="36"/>
  <c r="D214" i="36"/>
  <c r="J213" i="36"/>
  <c r="I213" i="36"/>
  <c r="D213" i="36"/>
  <c r="J212" i="36"/>
  <c r="I212" i="36"/>
  <c r="D212" i="36"/>
  <c r="J211" i="36"/>
  <c r="I211" i="36"/>
  <c r="D211" i="36"/>
  <c r="J210" i="36"/>
  <c r="I210" i="36"/>
  <c r="D210" i="36"/>
  <c r="J209" i="36"/>
  <c r="I209" i="36"/>
  <c r="D209" i="36"/>
  <c r="J208" i="36"/>
  <c r="I208" i="36"/>
  <c r="D208" i="36"/>
  <c r="J207" i="36"/>
  <c r="I207" i="36"/>
  <c r="D207" i="36"/>
  <c r="J206" i="36"/>
  <c r="I206" i="36"/>
  <c r="D206" i="36"/>
  <c r="J205" i="36"/>
  <c r="I205" i="36"/>
  <c r="D205" i="36"/>
  <c r="J204" i="36"/>
  <c r="I204" i="36"/>
  <c r="D204" i="36"/>
  <c r="J203" i="36"/>
  <c r="I203" i="36"/>
  <c r="D203" i="36"/>
  <c r="J202" i="36"/>
  <c r="I202" i="36"/>
  <c r="D202" i="36"/>
  <c r="J201" i="36"/>
  <c r="I201" i="36"/>
  <c r="D201" i="36"/>
  <c r="J200" i="36"/>
  <c r="I200" i="36"/>
  <c r="D200" i="36"/>
  <c r="J199" i="36"/>
  <c r="I199" i="36"/>
  <c r="D199" i="36"/>
  <c r="J198" i="36"/>
  <c r="I198" i="36"/>
  <c r="D198" i="36"/>
  <c r="J197" i="36"/>
  <c r="I197" i="36"/>
  <c r="D197" i="36"/>
  <c r="J196" i="36"/>
  <c r="I196" i="36"/>
  <c r="D196" i="36"/>
  <c r="J195" i="36"/>
  <c r="I195" i="36"/>
  <c r="D195" i="36"/>
  <c r="J194" i="36"/>
  <c r="I194" i="36"/>
  <c r="D194" i="36"/>
  <c r="J193" i="36"/>
  <c r="I193" i="36"/>
  <c r="D193" i="36"/>
  <c r="J192" i="36"/>
  <c r="I192" i="36"/>
  <c r="D192" i="36"/>
  <c r="J191" i="36"/>
  <c r="I191" i="36"/>
  <c r="D191" i="36"/>
  <c r="J190" i="36"/>
  <c r="I190" i="36"/>
  <c r="D190" i="36"/>
  <c r="J189" i="36"/>
  <c r="I189" i="36"/>
  <c r="D189" i="36"/>
  <c r="J188" i="36"/>
  <c r="I188" i="36"/>
  <c r="D188" i="36"/>
  <c r="J187" i="36"/>
  <c r="I187" i="36"/>
  <c r="D187" i="36"/>
  <c r="J186" i="36"/>
  <c r="I186" i="36"/>
  <c r="D186" i="36"/>
  <c r="J185" i="36"/>
  <c r="I185" i="36"/>
  <c r="D185" i="36"/>
  <c r="J184" i="36"/>
  <c r="I184" i="36"/>
  <c r="D184" i="36"/>
  <c r="J183" i="36"/>
  <c r="I183" i="36"/>
  <c r="D183" i="36"/>
  <c r="J182" i="36"/>
  <c r="I182" i="36"/>
  <c r="D182" i="36"/>
  <c r="J181" i="36"/>
  <c r="I181" i="36"/>
  <c r="D181" i="36"/>
  <c r="J180" i="36"/>
  <c r="I180" i="36"/>
  <c r="D180" i="36"/>
  <c r="J179" i="36"/>
  <c r="I179" i="36"/>
  <c r="D179" i="36"/>
  <c r="J178" i="36"/>
  <c r="I178" i="36"/>
  <c r="D178" i="36"/>
  <c r="J177" i="36"/>
  <c r="I177" i="36"/>
  <c r="D177" i="36"/>
  <c r="J176" i="36"/>
  <c r="I176" i="36"/>
  <c r="D176" i="36"/>
  <c r="J175" i="36"/>
  <c r="I175" i="36"/>
  <c r="D175" i="36"/>
  <c r="J174" i="36"/>
  <c r="I174" i="36"/>
  <c r="D174" i="36"/>
  <c r="J173" i="36"/>
  <c r="I173" i="36"/>
  <c r="D173" i="36"/>
  <c r="J172" i="36"/>
  <c r="I172" i="36"/>
  <c r="D172" i="36"/>
  <c r="J171" i="36"/>
  <c r="I171" i="36"/>
  <c r="D171" i="36"/>
  <c r="J170" i="36"/>
  <c r="I170" i="36"/>
  <c r="D170" i="36"/>
  <c r="J169" i="36"/>
  <c r="I169" i="36"/>
  <c r="D169" i="36"/>
  <c r="J168" i="36"/>
  <c r="I168" i="36"/>
  <c r="D168" i="36"/>
  <c r="J167" i="36"/>
  <c r="I167" i="36"/>
  <c r="D167" i="36"/>
  <c r="J166" i="36"/>
  <c r="I166" i="36"/>
  <c r="D166" i="36"/>
  <c r="J165" i="36"/>
  <c r="I165" i="36"/>
  <c r="D165" i="36"/>
  <c r="J164" i="36"/>
  <c r="I164" i="36"/>
  <c r="D164" i="36"/>
  <c r="J163" i="36"/>
  <c r="I163" i="36"/>
  <c r="D163" i="36"/>
  <c r="J162" i="36"/>
  <c r="I162" i="36"/>
  <c r="D162" i="36"/>
  <c r="J161" i="36"/>
  <c r="I161" i="36"/>
  <c r="D161" i="36"/>
  <c r="J160" i="36"/>
  <c r="I160" i="36"/>
  <c r="D160" i="36"/>
  <c r="J159" i="36"/>
  <c r="I159" i="36"/>
  <c r="D159" i="36"/>
  <c r="J158" i="36"/>
  <c r="I158" i="36"/>
  <c r="D158" i="36"/>
  <c r="J157" i="36"/>
  <c r="I157" i="36"/>
  <c r="D157" i="36"/>
  <c r="J156" i="36"/>
  <c r="I156" i="36"/>
  <c r="D156" i="36"/>
  <c r="J155" i="36"/>
  <c r="I155" i="36"/>
  <c r="D155" i="36"/>
  <c r="J154" i="36"/>
  <c r="I154" i="36"/>
  <c r="D154" i="36"/>
  <c r="J153" i="36"/>
  <c r="I153" i="36"/>
  <c r="D153" i="36"/>
  <c r="J152" i="36"/>
  <c r="I152" i="36"/>
  <c r="D152" i="36"/>
  <c r="J151" i="36"/>
  <c r="I151" i="36"/>
  <c r="D151" i="36"/>
  <c r="J150" i="36"/>
  <c r="I150" i="36"/>
  <c r="D150" i="36"/>
  <c r="J149" i="36"/>
  <c r="I149" i="36"/>
  <c r="D149" i="36"/>
  <c r="J148" i="36"/>
  <c r="I148" i="36"/>
  <c r="D148" i="36"/>
  <c r="J147" i="36"/>
  <c r="I147" i="36"/>
  <c r="D147" i="36"/>
  <c r="J146" i="36"/>
  <c r="I146" i="36"/>
  <c r="D146" i="36"/>
  <c r="J145" i="36"/>
  <c r="I145" i="36"/>
  <c r="D145" i="36"/>
  <c r="J144" i="36"/>
  <c r="I144" i="36"/>
  <c r="D144" i="36"/>
  <c r="J143" i="36"/>
  <c r="I143" i="36"/>
  <c r="D143" i="36"/>
  <c r="J142" i="36"/>
  <c r="I142" i="36"/>
  <c r="D142" i="36"/>
  <c r="J141" i="36"/>
  <c r="I141" i="36"/>
  <c r="D141" i="36"/>
  <c r="J140" i="36"/>
  <c r="I140" i="36"/>
  <c r="D140" i="36"/>
  <c r="J139" i="36"/>
  <c r="I139" i="36"/>
  <c r="D139" i="36"/>
  <c r="J138" i="36"/>
  <c r="I138" i="36"/>
  <c r="D138" i="36"/>
  <c r="J137" i="36"/>
  <c r="I137" i="36"/>
  <c r="D137" i="36"/>
  <c r="J136" i="36"/>
  <c r="I136" i="36"/>
  <c r="D136" i="36"/>
  <c r="J135" i="36"/>
  <c r="I135" i="36"/>
  <c r="D135" i="36"/>
  <c r="J134" i="36"/>
  <c r="I134" i="36"/>
  <c r="D134" i="36"/>
  <c r="J133" i="36"/>
  <c r="I133" i="36"/>
  <c r="D133" i="36"/>
  <c r="J132" i="36"/>
  <c r="I132" i="36"/>
  <c r="D132" i="36"/>
  <c r="J131" i="36"/>
  <c r="I131" i="36"/>
  <c r="D131" i="36"/>
  <c r="J130" i="36"/>
  <c r="I130" i="36"/>
  <c r="D130" i="36"/>
  <c r="J129" i="36"/>
  <c r="I129" i="36"/>
  <c r="D129" i="36"/>
  <c r="J128" i="36"/>
  <c r="I128" i="36"/>
  <c r="D128" i="36"/>
  <c r="J127" i="36"/>
  <c r="I127" i="36"/>
  <c r="D127" i="36"/>
  <c r="J126" i="36"/>
  <c r="I126" i="36"/>
  <c r="D126" i="36"/>
  <c r="J125" i="36"/>
  <c r="I125" i="36"/>
  <c r="D125" i="36"/>
  <c r="J124" i="36"/>
  <c r="I124" i="36"/>
  <c r="D124" i="36"/>
  <c r="J123" i="36"/>
  <c r="I123" i="36"/>
  <c r="D123" i="36"/>
  <c r="J122" i="36"/>
  <c r="I122" i="36"/>
  <c r="D122" i="36"/>
  <c r="J121" i="36"/>
  <c r="I121" i="36"/>
  <c r="D121" i="36"/>
  <c r="J120" i="36"/>
  <c r="I120" i="36"/>
  <c r="D120" i="36"/>
  <c r="J119" i="36"/>
  <c r="I119" i="36"/>
  <c r="D119" i="36"/>
  <c r="J118" i="36"/>
  <c r="I118" i="36"/>
  <c r="D118" i="36"/>
  <c r="J117" i="36"/>
  <c r="I117" i="36"/>
  <c r="D117" i="36"/>
  <c r="J116" i="36"/>
  <c r="I116" i="36"/>
  <c r="D116" i="36"/>
  <c r="J115" i="36"/>
  <c r="I115" i="36"/>
  <c r="D115" i="36"/>
  <c r="J114" i="36"/>
  <c r="I114" i="36"/>
  <c r="D114" i="36"/>
  <c r="J113" i="36"/>
  <c r="I113" i="36"/>
  <c r="D113" i="36"/>
  <c r="J112" i="36"/>
  <c r="I112" i="36"/>
  <c r="D112" i="36"/>
  <c r="J111" i="36"/>
  <c r="I111" i="36"/>
  <c r="D111" i="36"/>
  <c r="J110" i="36"/>
  <c r="I110" i="36"/>
  <c r="D110" i="36"/>
  <c r="J109" i="36"/>
  <c r="I109" i="36"/>
  <c r="D109" i="36"/>
  <c r="J108" i="36"/>
  <c r="I108" i="36"/>
  <c r="D108" i="36"/>
  <c r="J107" i="36"/>
  <c r="I107" i="36"/>
  <c r="D107" i="36"/>
  <c r="J106" i="36"/>
  <c r="I106" i="36"/>
  <c r="D106" i="36"/>
  <c r="J105" i="36"/>
  <c r="I105" i="36"/>
  <c r="D105" i="36"/>
  <c r="J104" i="36"/>
  <c r="I104" i="36"/>
  <c r="D104" i="36"/>
  <c r="J103" i="36"/>
  <c r="I103" i="36"/>
  <c r="D103" i="36"/>
  <c r="J102" i="36"/>
  <c r="I102" i="36"/>
  <c r="D102" i="36"/>
  <c r="J101" i="36"/>
  <c r="I101" i="36"/>
  <c r="D101" i="36"/>
  <c r="J100" i="36"/>
  <c r="I100" i="36"/>
  <c r="D100" i="36"/>
  <c r="J99" i="36"/>
  <c r="I99" i="36"/>
  <c r="D99" i="36"/>
  <c r="J98" i="36"/>
  <c r="I98" i="36"/>
  <c r="D98" i="36"/>
  <c r="J97" i="36"/>
  <c r="I97" i="36"/>
  <c r="D97" i="36"/>
  <c r="J96" i="36"/>
  <c r="I96" i="36"/>
  <c r="D96" i="36"/>
  <c r="J95" i="36"/>
  <c r="I95" i="36"/>
  <c r="D95" i="36"/>
  <c r="J94" i="36"/>
  <c r="I94" i="36"/>
  <c r="D94" i="36"/>
  <c r="J93" i="36"/>
  <c r="I93" i="36"/>
  <c r="D93" i="36"/>
  <c r="J92" i="36"/>
  <c r="I92" i="36"/>
  <c r="D92" i="36"/>
  <c r="J91" i="36"/>
  <c r="I91" i="36"/>
  <c r="D91" i="36"/>
  <c r="J90" i="36"/>
  <c r="I90" i="36"/>
  <c r="D90" i="36"/>
  <c r="J89" i="36"/>
  <c r="I89" i="36"/>
  <c r="D89" i="36"/>
  <c r="J88" i="36"/>
  <c r="I88" i="36"/>
  <c r="D88" i="36"/>
  <c r="J87" i="36"/>
  <c r="I87" i="36"/>
  <c r="D87" i="36"/>
  <c r="J86" i="36"/>
  <c r="I86" i="36"/>
  <c r="D86" i="36"/>
  <c r="J85" i="36"/>
  <c r="I85" i="36"/>
  <c r="D85" i="36"/>
  <c r="J84" i="36"/>
  <c r="I84" i="36"/>
  <c r="D84" i="36"/>
  <c r="J83" i="36"/>
  <c r="I83" i="36"/>
  <c r="D83" i="36"/>
  <c r="J82" i="36"/>
  <c r="I82" i="36"/>
  <c r="D82" i="36"/>
  <c r="J81" i="36"/>
  <c r="I81" i="36"/>
  <c r="D81" i="36"/>
  <c r="J80" i="36"/>
  <c r="I80" i="36"/>
  <c r="D80" i="36"/>
  <c r="J79" i="36"/>
  <c r="I79" i="36"/>
  <c r="D79" i="36"/>
  <c r="J78" i="36"/>
  <c r="I78" i="36"/>
  <c r="D78" i="36"/>
  <c r="J77" i="36"/>
  <c r="I77" i="36"/>
  <c r="D77" i="36"/>
  <c r="J76" i="36"/>
  <c r="I76" i="36"/>
  <c r="D76" i="36"/>
  <c r="J75" i="36"/>
  <c r="I75" i="36"/>
  <c r="D75" i="36"/>
  <c r="J74" i="36"/>
  <c r="I74" i="36"/>
  <c r="D74" i="36"/>
  <c r="J73" i="36"/>
  <c r="I73" i="36"/>
  <c r="D73" i="36"/>
  <c r="J72" i="36"/>
  <c r="I72" i="36"/>
  <c r="D72" i="36"/>
  <c r="J71" i="36"/>
  <c r="I71" i="36"/>
  <c r="D71" i="36"/>
  <c r="J70" i="36"/>
  <c r="I70" i="36"/>
  <c r="D70" i="36"/>
  <c r="J69" i="36"/>
  <c r="I69" i="36"/>
  <c r="D69" i="36"/>
  <c r="J68" i="36"/>
  <c r="I68" i="36"/>
  <c r="D68" i="36"/>
  <c r="J67" i="36"/>
  <c r="I67" i="36"/>
  <c r="D67" i="36"/>
  <c r="J66" i="36"/>
  <c r="I66" i="36"/>
  <c r="D66" i="36"/>
  <c r="J65" i="36"/>
  <c r="I65" i="36"/>
  <c r="D65" i="36"/>
  <c r="J64" i="36"/>
  <c r="I64" i="36"/>
  <c r="D64" i="36"/>
  <c r="J63" i="36"/>
  <c r="I63" i="36"/>
  <c r="D63" i="36"/>
  <c r="J62" i="36"/>
  <c r="I62" i="36"/>
  <c r="D62" i="36"/>
  <c r="J61" i="36"/>
  <c r="I61" i="36"/>
  <c r="D61" i="36"/>
  <c r="J60" i="36"/>
  <c r="I60" i="36"/>
  <c r="D60" i="36"/>
  <c r="J59" i="36"/>
  <c r="I59" i="36"/>
  <c r="D59" i="36"/>
  <c r="J58" i="36"/>
  <c r="I58" i="36"/>
  <c r="D58" i="36"/>
  <c r="J57" i="36"/>
  <c r="I57" i="36"/>
  <c r="D57" i="36"/>
  <c r="J56" i="36"/>
  <c r="I56" i="36"/>
  <c r="D56" i="36"/>
  <c r="J55" i="36"/>
  <c r="I55" i="36"/>
  <c r="D55" i="36"/>
  <c r="J54" i="36"/>
  <c r="I54" i="36"/>
  <c r="D54" i="36"/>
  <c r="J53" i="36"/>
  <c r="I53" i="36"/>
  <c r="D53" i="36"/>
  <c r="J52" i="36"/>
  <c r="I52" i="36"/>
  <c r="D52" i="36"/>
  <c r="J51" i="36"/>
  <c r="I51" i="36"/>
  <c r="D51" i="36"/>
  <c r="J50" i="36"/>
  <c r="I50" i="36"/>
  <c r="D50" i="36"/>
  <c r="J49" i="36"/>
  <c r="I49" i="36"/>
  <c r="D49" i="36"/>
  <c r="J48" i="36"/>
  <c r="I48" i="36"/>
  <c r="D48" i="36"/>
  <c r="J47" i="36"/>
  <c r="I47" i="36"/>
  <c r="D47" i="36"/>
  <c r="J46" i="36"/>
  <c r="I46" i="36"/>
  <c r="D46" i="36"/>
  <c r="J45" i="36"/>
  <c r="I45" i="36"/>
  <c r="D45" i="36"/>
  <c r="J44" i="36"/>
  <c r="I44" i="36"/>
  <c r="D44" i="36"/>
  <c r="J43" i="36"/>
  <c r="I43" i="36"/>
  <c r="D43" i="36"/>
  <c r="J42" i="36"/>
  <c r="I42" i="36"/>
  <c r="D42" i="36"/>
  <c r="J41" i="36"/>
  <c r="I41" i="36"/>
  <c r="D41" i="36"/>
  <c r="J40" i="36"/>
  <c r="I40" i="36"/>
  <c r="D40" i="36"/>
  <c r="J39" i="36"/>
  <c r="I39" i="36"/>
  <c r="D39" i="36"/>
  <c r="J38" i="36"/>
  <c r="I38" i="36"/>
  <c r="D38" i="36"/>
  <c r="J37" i="36"/>
  <c r="I37" i="36"/>
  <c r="D37" i="36"/>
  <c r="J36" i="36"/>
  <c r="I36" i="36"/>
  <c r="D36" i="36"/>
  <c r="J35" i="36"/>
  <c r="I35" i="36"/>
  <c r="D35" i="36"/>
  <c r="J34" i="36"/>
  <c r="I34" i="36"/>
  <c r="D34" i="36"/>
  <c r="J33" i="36"/>
  <c r="I33" i="36"/>
  <c r="D33" i="36"/>
  <c r="P32" i="36"/>
  <c r="J32" i="36"/>
  <c r="I32" i="36"/>
  <c r="D32" i="36"/>
  <c r="P31" i="36"/>
  <c r="J31" i="36"/>
  <c r="I31" i="36"/>
  <c r="D31" i="36"/>
  <c r="P30" i="36"/>
  <c r="J30" i="36"/>
  <c r="I30" i="36"/>
  <c r="D30" i="36"/>
  <c r="P29" i="36"/>
  <c r="J29" i="36"/>
  <c r="I29" i="36"/>
  <c r="D29" i="36"/>
  <c r="P28" i="36"/>
  <c r="P33" i="36" s="1"/>
  <c r="J28" i="36"/>
  <c r="I28" i="36"/>
  <c r="D28" i="36"/>
  <c r="J27" i="36"/>
  <c r="I27" i="36"/>
  <c r="D27" i="36"/>
  <c r="J26" i="36"/>
  <c r="I26" i="36"/>
  <c r="D26" i="36"/>
  <c r="P25" i="36"/>
  <c r="J25" i="36"/>
  <c r="I25" i="36"/>
  <c r="D25" i="36"/>
  <c r="P24" i="36"/>
  <c r="J24" i="36"/>
  <c r="I24" i="36"/>
  <c r="D24" i="36"/>
  <c r="P23" i="36"/>
  <c r="J23" i="36"/>
  <c r="I23" i="36"/>
  <c r="D23" i="36"/>
  <c r="P22" i="36"/>
  <c r="J22" i="36"/>
  <c r="I22" i="36"/>
  <c r="D22" i="36"/>
  <c r="P21" i="36"/>
  <c r="P26" i="36" s="1"/>
  <c r="J21" i="36"/>
  <c r="I21" i="36"/>
  <c r="D21" i="36"/>
  <c r="J20" i="36"/>
  <c r="I20" i="36"/>
  <c r="D20" i="36"/>
  <c r="M19" i="36"/>
  <c r="J19" i="36"/>
  <c r="I19" i="36"/>
  <c r="D19" i="36"/>
  <c r="J18" i="36"/>
  <c r="I18" i="36"/>
  <c r="D18" i="36"/>
  <c r="J17" i="36"/>
  <c r="I17" i="36"/>
  <c r="D17" i="36"/>
  <c r="J16" i="36"/>
  <c r="I16" i="36"/>
  <c r="D16" i="36"/>
  <c r="J15" i="36"/>
  <c r="I15" i="36"/>
  <c r="D15" i="36"/>
  <c r="J14" i="36"/>
  <c r="I14" i="36"/>
  <c r="D14" i="36"/>
  <c r="J13" i="36"/>
  <c r="I13" i="36"/>
  <c r="D13" i="36"/>
  <c r="J12" i="36"/>
  <c r="I12" i="36"/>
  <c r="D12" i="36"/>
  <c r="J11" i="36"/>
  <c r="I11" i="36"/>
  <c r="D11" i="36"/>
  <c r="J10" i="36"/>
  <c r="I10" i="36"/>
  <c r="D10" i="36"/>
  <c r="J9" i="36"/>
  <c r="I9" i="36"/>
  <c r="D9" i="36"/>
  <c r="J8" i="36"/>
  <c r="I8" i="36"/>
  <c r="D8" i="36"/>
  <c r="J7" i="36"/>
  <c r="I7" i="36"/>
  <c r="D7" i="36"/>
  <c r="J6" i="36"/>
  <c r="I6" i="36"/>
  <c r="D6" i="36"/>
  <c r="B2" i="36" a="1"/>
  <c r="B2" i="36" s="1"/>
  <c r="J488" i="35"/>
  <c r="I488" i="35"/>
  <c r="D488" i="35"/>
  <c r="J487" i="35"/>
  <c r="I487" i="35"/>
  <c r="D487" i="35"/>
  <c r="J486" i="35"/>
  <c r="I486" i="35"/>
  <c r="D486" i="35"/>
  <c r="J485" i="35"/>
  <c r="I485" i="35"/>
  <c r="D485" i="35"/>
  <c r="J484" i="35"/>
  <c r="I484" i="35"/>
  <c r="D484" i="35"/>
  <c r="J483" i="35"/>
  <c r="I483" i="35"/>
  <c r="D483" i="35"/>
  <c r="J482" i="35"/>
  <c r="I482" i="35"/>
  <c r="D482" i="35"/>
  <c r="J481" i="35"/>
  <c r="I481" i="35"/>
  <c r="D481" i="35"/>
  <c r="J480" i="35"/>
  <c r="I480" i="35"/>
  <c r="D480" i="35"/>
  <c r="J479" i="35"/>
  <c r="I479" i="35"/>
  <c r="D479" i="35"/>
  <c r="J478" i="35"/>
  <c r="I478" i="35"/>
  <c r="D478" i="35"/>
  <c r="J477" i="35"/>
  <c r="I477" i="35"/>
  <c r="D477" i="35"/>
  <c r="J476" i="35"/>
  <c r="I476" i="35"/>
  <c r="D476" i="35"/>
  <c r="J475" i="35"/>
  <c r="I475" i="35"/>
  <c r="D475" i="35"/>
  <c r="J474" i="35"/>
  <c r="I474" i="35"/>
  <c r="D474" i="35"/>
  <c r="J473" i="35"/>
  <c r="I473" i="35"/>
  <c r="D473" i="35"/>
  <c r="J472" i="35"/>
  <c r="I472" i="35"/>
  <c r="D472" i="35"/>
  <c r="J471" i="35"/>
  <c r="I471" i="35"/>
  <c r="D471" i="35"/>
  <c r="J470" i="35"/>
  <c r="I470" i="35"/>
  <c r="D470" i="35"/>
  <c r="J469" i="35"/>
  <c r="I469" i="35"/>
  <c r="D469" i="35"/>
  <c r="J468" i="35"/>
  <c r="I468" i="35"/>
  <c r="D468" i="35"/>
  <c r="J467" i="35"/>
  <c r="I467" i="35"/>
  <c r="D467" i="35"/>
  <c r="J466" i="35"/>
  <c r="I466" i="35"/>
  <c r="D466" i="35"/>
  <c r="J465" i="35"/>
  <c r="I465" i="35"/>
  <c r="D465" i="35"/>
  <c r="J464" i="35"/>
  <c r="I464" i="35"/>
  <c r="D464" i="35"/>
  <c r="J463" i="35"/>
  <c r="I463" i="35"/>
  <c r="D463" i="35"/>
  <c r="J462" i="35"/>
  <c r="I462" i="35"/>
  <c r="D462" i="35"/>
  <c r="J461" i="35"/>
  <c r="I461" i="35"/>
  <c r="D461" i="35"/>
  <c r="J460" i="35"/>
  <c r="I460" i="35"/>
  <c r="D460" i="35"/>
  <c r="J459" i="35"/>
  <c r="I459" i="35"/>
  <c r="D459" i="35"/>
  <c r="J458" i="35"/>
  <c r="I458" i="35"/>
  <c r="D458" i="35"/>
  <c r="J457" i="35"/>
  <c r="I457" i="35"/>
  <c r="D457" i="35"/>
  <c r="J456" i="35"/>
  <c r="I456" i="35"/>
  <c r="D456" i="35"/>
  <c r="J455" i="35"/>
  <c r="I455" i="35"/>
  <c r="D455" i="35"/>
  <c r="J454" i="35"/>
  <c r="I454" i="35"/>
  <c r="D454" i="35"/>
  <c r="J453" i="35"/>
  <c r="I453" i="35"/>
  <c r="D453" i="35"/>
  <c r="J452" i="35"/>
  <c r="I452" i="35"/>
  <c r="D452" i="35"/>
  <c r="J451" i="35"/>
  <c r="I451" i="35"/>
  <c r="D451" i="35"/>
  <c r="J450" i="35"/>
  <c r="I450" i="35"/>
  <c r="D450" i="35"/>
  <c r="J449" i="35"/>
  <c r="I449" i="35"/>
  <c r="D449" i="35"/>
  <c r="J448" i="35"/>
  <c r="I448" i="35"/>
  <c r="D448" i="35"/>
  <c r="J447" i="35"/>
  <c r="I447" i="35"/>
  <c r="D447" i="35"/>
  <c r="J446" i="35"/>
  <c r="I446" i="35"/>
  <c r="D446" i="35"/>
  <c r="J445" i="35"/>
  <c r="I445" i="35"/>
  <c r="D445" i="35"/>
  <c r="J444" i="35"/>
  <c r="I444" i="35"/>
  <c r="D444" i="35"/>
  <c r="J443" i="35"/>
  <c r="I443" i="35"/>
  <c r="D443" i="35"/>
  <c r="J442" i="35"/>
  <c r="I442" i="35"/>
  <c r="D442" i="35"/>
  <c r="J441" i="35"/>
  <c r="I441" i="35"/>
  <c r="D441" i="35"/>
  <c r="J440" i="35"/>
  <c r="I440" i="35"/>
  <c r="D440" i="35"/>
  <c r="J439" i="35"/>
  <c r="I439" i="35"/>
  <c r="D439" i="35"/>
  <c r="J438" i="35"/>
  <c r="I438" i="35"/>
  <c r="D438" i="35"/>
  <c r="J437" i="35"/>
  <c r="I437" i="35"/>
  <c r="D437" i="35"/>
  <c r="J436" i="35"/>
  <c r="I436" i="35"/>
  <c r="D436" i="35"/>
  <c r="J435" i="35"/>
  <c r="I435" i="35"/>
  <c r="D435" i="35"/>
  <c r="J434" i="35"/>
  <c r="I434" i="35"/>
  <c r="D434" i="35"/>
  <c r="J433" i="35"/>
  <c r="I433" i="35"/>
  <c r="D433" i="35"/>
  <c r="J432" i="35"/>
  <c r="I432" i="35"/>
  <c r="D432" i="35"/>
  <c r="J431" i="35"/>
  <c r="I431" i="35"/>
  <c r="D431" i="35"/>
  <c r="J430" i="35"/>
  <c r="I430" i="35"/>
  <c r="D430" i="35"/>
  <c r="J429" i="35"/>
  <c r="I429" i="35"/>
  <c r="D429" i="35"/>
  <c r="J428" i="35"/>
  <c r="I428" i="35"/>
  <c r="D428" i="35"/>
  <c r="J427" i="35"/>
  <c r="I427" i="35"/>
  <c r="D427" i="35"/>
  <c r="J426" i="35"/>
  <c r="I426" i="35"/>
  <c r="D426" i="35"/>
  <c r="J425" i="35"/>
  <c r="I425" i="35"/>
  <c r="D425" i="35"/>
  <c r="J424" i="35"/>
  <c r="I424" i="35"/>
  <c r="D424" i="35"/>
  <c r="J423" i="35"/>
  <c r="I423" i="35"/>
  <c r="D423" i="35"/>
  <c r="J422" i="35"/>
  <c r="I422" i="35"/>
  <c r="D422" i="35"/>
  <c r="J421" i="35"/>
  <c r="I421" i="35"/>
  <c r="D421" i="35"/>
  <c r="J420" i="35"/>
  <c r="I420" i="35"/>
  <c r="D420" i="35"/>
  <c r="J419" i="35"/>
  <c r="I419" i="35"/>
  <c r="D419" i="35"/>
  <c r="J418" i="35"/>
  <c r="I418" i="35"/>
  <c r="D418" i="35"/>
  <c r="J417" i="35"/>
  <c r="I417" i="35"/>
  <c r="D417" i="35"/>
  <c r="J416" i="35"/>
  <c r="I416" i="35"/>
  <c r="D416" i="35"/>
  <c r="J415" i="35"/>
  <c r="I415" i="35"/>
  <c r="D415" i="35"/>
  <c r="J414" i="35"/>
  <c r="I414" i="35"/>
  <c r="D414" i="35"/>
  <c r="J413" i="35"/>
  <c r="I413" i="35"/>
  <c r="D413" i="35"/>
  <c r="J412" i="35"/>
  <c r="I412" i="35"/>
  <c r="D412" i="35"/>
  <c r="J411" i="35"/>
  <c r="I411" i="35"/>
  <c r="D411" i="35"/>
  <c r="J410" i="35"/>
  <c r="I410" i="35"/>
  <c r="D410" i="35"/>
  <c r="J409" i="35"/>
  <c r="I409" i="35"/>
  <c r="D409" i="35"/>
  <c r="J408" i="35"/>
  <c r="I408" i="35"/>
  <c r="D408" i="35"/>
  <c r="J407" i="35"/>
  <c r="I407" i="35"/>
  <c r="D407" i="35"/>
  <c r="J406" i="35"/>
  <c r="I406" i="35"/>
  <c r="D406" i="35"/>
  <c r="J405" i="35"/>
  <c r="I405" i="35"/>
  <c r="D405" i="35"/>
  <c r="J404" i="35"/>
  <c r="I404" i="35"/>
  <c r="D404" i="35"/>
  <c r="J403" i="35"/>
  <c r="I403" i="35"/>
  <c r="D403" i="35"/>
  <c r="J402" i="35"/>
  <c r="I402" i="35"/>
  <c r="D402" i="35"/>
  <c r="J401" i="35"/>
  <c r="I401" i="35"/>
  <c r="D401" i="35"/>
  <c r="J400" i="35"/>
  <c r="I400" i="35"/>
  <c r="D400" i="35"/>
  <c r="J399" i="35"/>
  <c r="I399" i="35"/>
  <c r="D399" i="35"/>
  <c r="J398" i="35"/>
  <c r="I398" i="35"/>
  <c r="D398" i="35"/>
  <c r="J397" i="35"/>
  <c r="I397" i="35"/>
  <c r="D397" i="35"/>
  <c r="J396" i="35"/>
  <c r="I396" i="35"/>
  <c r="D396" i="35"/>
  <c r="J395" i="35"/>
  <c r="I395" i="35"/>
  <c r="D395" i="35"/>
  <c r="J394" i="35"/>
  <c r="I394" i="35"/>
  <c r="D394" i="35"/>
  <c r="J393" i="35"/>
  <c r="I393" i="35"/>
  <c r="D393" i="35"/>
  <c r="J392" i="35"/>
  <c r="I392" i="35"/>
  <c r="D392" i="35"/>
  <c r="J391" i="35"/>
  <c r="I391" i="35"/>
  <c r="D391" i="35"/>
  <c r="J390" i="35"/>
  <c r="I390" i="35"/>
  <c r="D390" i="35"/>
  <c r="J389" i="35"/>
  <c r="I389" i="35"/>
  <c r="D389" i="35"/>
  <c r="J388" i="35"/>
  <c r="I388" i="35"/>
  <c r="D388" i="35"/>
  <c r="J387" i="35"/>
  <c r="I387" i="35"/>
  <c r="D387" i="35"/>
  <c r="J386" i="35"/>
  <c r="I386" i="35"/>
  <c r="D386" i="35"/>
  <c r="J385" i="35"/>
  <c r="I385" i="35"/>
  <c r="D385" i="35"/>
  <c r="J384" i="35"/>
  <c r="I384" i="35"/>
  <c r="D384" i="35"/>
  <c r="J383" i="35"/>
  <c r="I383" i="35"/>
  <c r="D383" i="35"/>
  <c r="J382" i="35"/>
  <c r="I382" i="35"/>
  <c r="D382" i="35"/>
  <c r="J381" i="35"/>
  <c r="I381" i="35"/>
  <c r="D381" i="35"/>
  <c r="J380" i="35"/>
  <c r="I380" i="35"/>
  <c r="D380" i="35"/>
  <c r="J379" i="35"/>
  <c r="I379" i="35"/>
  <c r="D379" i="35"/>
  <c r="J378" i="35"/>
  <c r="I378" i="35"/>
  <c r="D378" i="35"/>
  <c r="J377" i="35"/>
  <c r="I377" i="35"/>
  <c r="D377" i="35"/>
  <c r="J376" i="35"/>
  <c r="I376" i="35"/>
  <c r="D376" i="35"/>
  <c r="J375" i="35"/>
  <c r="I375" i="35"/>
  <c r="D375" i="35"/>
  <c r="J374" i="35"/>
  <c r="I374" i="35"/>
  <c r="D374" i="35"/>
  <c r="J373" i="35"/>
  <c r="I373" i="35"/>
  <c r="D373" i="35"/>
  <c r="J372" i="35"/>
  <c r="I372" i="35"/>
  <c r="D372" i="35"/>
  <c r="J371" i="35"/>
  <c r="I371" i="35"/>
  <c r="D371" i="35"/>
  <c r="J370" i="35"/>
  <c r="I370" i="35"/>
  <c r="D370" i="35"/>
  <c r="J369" i="35"/>
  <c r="I369" i="35"/>
  <c r="D369" i="35"/>
  <c r="J368" i="35"/>
  <c r="I368" i="35"/>
  <c r="D368" i="35"/>
  <c r="J367" i="35"/>
  <c r="I367" i="35"/>
  <c r="D367" i="35"/>
  <c r="J366" i="35"/>
  <c r="I366" i="35"/>
  <c r="D366" i="35"/>
  <c r="J365" i="35"/>
  <c r="I365" i="35"/>
  <c r="D365" i="35"/>
  <c r="J364" i="35"/>
  <c r="I364" i="35"/>
  <c r="D364" i="35"/>
  <c r="J363" i="35"/>
  <c r="I363" i="35"/>
  <c r="D363" i="35"/>
  <c r="J362" i="35"/>
  <c r="I362" i="35"/>
  <c r="D362" i="35"/>
  <c r="J361" i="35"/>
  <c r="I361" i="35"/>
  <c r="D361" i="35"/>
  <c r="J360" i="35"/>
  <c r="I360" i="35"/>
  <c r="D360" i="35"/>
  <c r="J359" i="35"/>
  <c r="I359" i="35"/>
  <c r="D359" i="35"/>
  <c r="J358" i="35"/>
  <c r="I358" i="35"/>
  <c r="D358" i="35"/>
  <c r="J357" i="35"/>
  <c r="I357" i="35"/>
  <c r="D357" i="35"/>
  <c r="J356" i="35"/>
  <c r="I356" i="35"/>
  <c r="D356" i="35"/>
  <c r="J355" i="35"/>
  <c r="I355" i="35"/>
  <c r="D355" i="35"/>
  <c r="J354" i="35"/>
  <c r="I354" i="35"/>
  <c r="D354" i="35"/>
  <c r="J353" i="35"/>
  <c r="I353" i="35"/>
  <c r="D353" i="35"/>
  <c r="J352" i="35"/>
  <c r="I352" i="35"/>
  <c r="D352" i="35"/>
  <c r="J351" i="35"/>
  <c r="I351" i="35"/>
  <c r="D351" i="35"/>
  <c r="J350" i="35"/>
  <c r="I350" i="35"/>
  <c r="D350" i="35"/>
  <c r="J349" i="35"/>
  <c r="I349" i="35"/>
  <c r="D349" i="35"/>
  <c r="J348" i="35"/>
  <c r="I348" i="35"/>
  <c r="D348" i="35"/>
  <c r="J347" i="35"/>
  <c r="I347" i="35"/>
  <c r="D347" i="35"/>
  <c r="J346" i="35"/>
  <c r="I346" i="35"/>
  <c r="D346" i="35"/>
  <c r="J345" i="35"/>
  <c r="I345" i="35"/>
  <c r="D345" i="35"/>
  <c r="J344" i="35"/>
  <c r="I344" i="35"/>
  <c r="D344" i="35"/>
  <c r="J343" i="35"/>
  <c r="I343" i="35"/>
  <c r="D343" i="35"/>
  <c r="J342" i="35"/>
  <c r="I342" i="35"/>
  <c r="D342" i="35"/>
  <c r="J341" i="35"/>
  <c r="I341" i="35"/>
  <c r="D341" i="35"/>
  <c r="J340" i="35"/>
  <c r="I340" i="35"/>
  <c r="D340" i="35"/>
  <c r="J339" i="35"/>
  <c r="I339" i="35"/>
  <c r="D339" i="35"/>
  <c r="J338" i="35"/>
  <c r="I338" i="35"/>
  <c r="D338" i="35"/>
  <c r="J337" i="35"/>
  <c r="I337" i="35"/>
  <c r="D337" i="35"/>
  <c r="J336" i="35"/>
  <c r="I336" i="35"/>
  <c r="D336" i="35"/>
  <c r="J335" i="35"/>
  <c r="I335" i="35"/>
  <c r="D335" i="35"/>
  <c r="J334" i="35"/>
  <c r="I334" i="35"/>
  <c r="D334" i="35"/>
  <c r="J333" i="35"/>
  <c r="I333" i="35"/>
  <c r="D333" i="35"/>
  <c r="J332" i="35"/>
  <c r="I332" i="35"/>
  <c r="D332" i="35"/>
  <c r="J331" i="35"/>
  <c r="I331" i="35"/>
  <c r="D331" i="35"/>
  <c r="J330" i="35"/>
  <c r="I330" i="35"/>
  <c r="D330" i="35"/>
  <c r="J329" i="35"/>
  <c r="I329" i="35"/>
  <c r="D329" i="35"/>
  <c r="J328" i="35"/>
  <c r="I328" i="35"/>
  <c r="D328" i="35"/>
  <c r="J327" i="35"/>
  <c r="I327" i="35"/>
  <c r="D327" i="35"/>
  <c r="J326" i="35"/>
  <c r="I326" i="35"/>
  <c r="D326" i="35"/>
  <c r="J325" i="35"/>
  <c r="I325" i="35"/>
  <c r="D325" i="35"/>
  <c r="J324" i="35"/>
  <c r="I324" i="35"/>
  <c r="D324" i="35"/>
  <c r="J323" i="35"/>
  <c r="I323" i="35"/>
  <c r="D323" i="35"/>
  <c r="J322" i="35"/>
  <c r="I322" i="35"/>
  <c r="D322" i="35"/>
  <c r="J321" i="35"/>
  <c r="I321" i="35"/>
  <c r="D321" i="35"/>
  <c r="J320" i="35"/>
  <c r="I320" i="35"/>
  <c r="D320" i="35"/>
  <c r="J319" i="35"/>
  <c r="I319" i="35"/>
  <c r="D319" i="35"/>
  <c r="J318" i="35"/>
  <c r="I318" i="35"/>
  <c r="D318" i="35"/>
  <c r="J317" i="35"/>
  <c r="I317" i="35"/>
  <c r="D317" i="35"/>
  <c r="J316" i="35"/>
  <c r="I316" i="35"/>
  <c r="D316" i="35"/>
  <c r="J315" i="35"/>
  <c r="I315" i="35"/>
  <c r="D315" i="35"/>
  <c r="J314" i="35"/>
  <c r="I314" i="35"/>
  <c r="D314" i="35"/>
  <c r="J313" i="35"/>
  <c r="I313" i="35"/>
  <c r="D313" i="35"/>
  <c r="J312" i="35"/>
  <c r="I312" i="35"/>
  <c r="D312" i="35"/>
  <c r="J311" i="35"/>
  <c r="I311" i="35"/>
  <c r="D311" i="35"/>
  <c r="J310" i="35"/>
  <c r="I310" i="35"/>
  <c r="D310" i="35"/>
  <c r="J309" i="35"/>
  <c r="I309" i="35"/>
  <c r="D309" i="35"/>
  <c r="J308" i="35"/>
  <c r="I308" i="35"/>
  <c r="D308" i="35"/>
  <c r="J307" i="35"/>
  <c r="I307" i="35"/>
  <c r="D307" i="35"/>
  <c r="J306" i="35"/>
  <c r="I306" i="35"/>
  <c r="D306" i="35"/>
  <c r="J305" i="35"/>
  <c r="I305" i="35"/>
  <c r="D305" i="35"/>
  <c r="J304" i="35"/>
  <c r="I304" i="35"/>
  <c r="D304" i="35"/>
  <c r="J303" i="35"/>
  <c r="I303" i="35"/>
  <c r="D303" i="35"/>
  <c r="J302" i="35"/>
  <c r="I302" i="35"/>
  <c r="D302" i="35"/>
  <c r="J301" i="35"/>
  <c r="I301" i="35"/>
  <c r="D301" i="35"/>
  <c r="J300" i="35"/>
  <c r="I300" i="35"/>
  <c r="D300" i="35"/>
  <c r="J299" i="35"/>
  <c r="I299" i="35"/>
  <c r="D299" i="35"/>
  <c r="J298" i="35"/>
  <c r="I298" i="35"/>
  <c r="D298" i="35"/>
  <c r="J297" i="35"/>
  <c r="I297" i="35"/>
  <c r="D297" i="35"/>
  <c r="J296" i="35"/>
  <c r="I296" i="35"/>
  <c r="D296" i="35"/>
  <c r="J295" i="35"/>
  <c r="I295" i="35"/>
  <c r="D295" i="35"/>
  <c r="J294" i="35"/>
  <c r="I294" i="35"/>
  <c r="D294" i="35"/>
  <c r="J293" i="35"/>
  <c r="I293" i="35"/>
  <c r="D293" i="35"/>
  <c r="J292" i="35"/>
  <c r="I292" i="35"/>
  <c r="D292" i="35"/>
  <c r="J291" i="35"/>
  <c r="I291" i="35"/>
  <c r="D291" i="35"/>
  <c r="J290" i="35"/>
  <c r="I290" i="35"/>
  <c r="D290" i="35"/>
  <c r="J289" i="35"/>
  <c r="I289" i="35"/>
  <c r="D289" i="35"/>
  <c r="J288" i="35"/>
  <c r="I288" i="35"/>
  <c r="D288" i="35"/>
  <c r="J287" i="35"/>
  <c r="I287" i="35"/>
  <c r="D287" i="35"/>
  <c r="J286" i="35"/>
  <c r="I286" i="35"/>
  <c r="D286" i="35"/>
  <c r="J285" i="35"/>
  <c r="I285" i="35"/>
  <c r="D285" i="35"/>
  <c r="J284" i="35"/>
  <c r="I284" i="35"/>
  <c r="D284" i="35"/>
  <c r="J283" i="35"/>
  <c r="I283" i="35"/>
  <c r="D283" i="35"/>
  <c r="J282" i="35"/>
  <c r="I282" i="35"/>
  <c r="D282" i="35"/>
  <c r="J281" i="35"/>
  <c r="I281" i="35"/>
  <c r="D281" i="35"/>
  <c r="J280" i="35"/>
  <c r="I280" i="35"/>
  <c r="D280" i="35"/>
  <c r="J279" i="35"/>
  <c r="I279" i="35"/>
  <c r="D279" i="35"/>
  <c r="J278" i="35"/>
  <c r="I278" i="35"/>
  <c r="D278" i="35"/>
  <c r="J277" i="35"/>
  <c r="I277" i="35"/>
  <c r="D277" i="35"/>
  <c r="J276" i="35"/>
  <c r="I276" i="35"/>
  <c r="D276" i="35"/>
  <c r="J275" i="35"/>
  <c r="I275" i="35"/>
  <c r="D275" i="35"/>
  <c r="J274" i="35"/>
  <c r="I274" i="35"/>
  <c r="D274" i="35"/>
  <c r="J273" i="35"/>
  <c r="I273" i="35"/>
  <c r="D273" i="35"/>
  <c r="J272" i="35"/>
  <c r="I272" i="35"/>
  <c r="D272" i="35"/>
  <c r="J271" i="35"/>
  <c r="I271" i="35"/>
  <c r="D271" i="35"/>
  <c r="J270" i="35"/>
  <c r="I270" i="35"/>
  <c r="D270" i="35"/>
  <c r="J269" i="35"/>
  <c r="I269" i="35"/>
  <c r="D269" i="35"/>
  <c r="J268" i="35"/>
  <c r="I268" i="35"/>
  <c r="D268" i="35"/>
  <c r="J267" i="35"/>
  <c r="I267" i="35"/>
  <c r="D267" i="35"/>
  <c r="J266" i="35"/>
  <c r="I266" i="35"/>
  <c r="D266" i="35"/>
  <c r="J265" i="35"/>
  <c r="I265" i="35"/>
  <c r="D265" i="35"/>
  <c r="J264" i="35"/>
  <c r="I264" i="35"/>
  <c r="D264" i="35"/>
  <c r="J263" i="35"/>
  <c r="I263" i="35"/>
  <c r="D263" i="35"/>
  <c r="J262" i="35"/>
  <c r="I262" i="35"/>
  <c r="D262" i="35"/>
  <c r="J261" i="35"/>
  <c r="I261" i="35"/>
  <c r="D261" i="35"/>
  <c r="J260" i="35"/>
  <c r="I260" i="35"/>
  <c r="D260" i="35"/>
  <c r="J259" i="35"/>
  <c r="I259" i="35"/>
  <c r="D259" i="35"/>
  <c r="J258" i="35"/>
  <c r="I258" i="35"/>
  <c r="D258" i="35"/>
  <c r="J257" i="35"/>
  <c r="I257" i="35"/>
  <c r="D257" i="35"/>
  <c r="J256" i="35"/>
  <c r="I256" i="35"/>
  <c r="D256" i="35"/>
  <c r="J255" i="35"/>
  <c r="I255" i="35"/>
  <c r="D255" i="35"/>
  <c r="J254" i="35"/>
  <c r="I254" i="35"/>
  <c r="D254" i="35"/>
  <c r="J253" i="35"/>
  <c r="I253" i="35"/>
  <c r="D253" i="35"/>
  <c r="J252" i="35"/>
  <c r="I252" i="35"/>
  <c r="D252" i="35"/>
  <c r="J251" i="35"/>
  <c r="I251" i="35"/>
  <c r="D251" i="35"/>
  <c r="J250" i="35"/>
  <c r="I250" i="35"/>
  <c r="D250" i="35"/>
  <c r="J249" i="35"/>
  <c r="I249" i="35"/>
  <c r="D249" i="35"/>
  <c r="J248" i="35"/>
  <c r="I248" i="35"/>
  <c r="D248" i="35"/>
  <c r="J247" i="35"/>
  <c r="I247" i="35"/>
  <c r="D247" i="35"/>
  <c r="J246" i="35"/>
  <c r="I246" i="35"/>
  <c r="D246" i="35"/>
  <c r="J245" i="35"/>
  <c r="I245" i="35"/>
  <c r="D245" i="35"/>
  <c r="J244" i="35"/>
  <c r="I244" i="35"/>
  <c r="D244" i="35"/>
  <c r="J243" i="35"/>
  <c r="I243" i="35"/>
  <c r="D243" i="35"/>
  <c r="J242" i="35"/>
  <c r="I242" i="35"/>
  <c r="D242" i="35"/>
  <c r="J241" i="35"/>
  <c r="I241" i="35"/>
  <c r="D241" i="35"/>
  <c r="J240" i="35"/>
  <c r="I240" i="35"/>
  <c r="D240" i="35"/>
  <c r="J239" i="35"/>
  <c r="I239" i="35"/>
  <c r="D239" i="35"/>
  <c r="J238" i="35"/>
  <c r="I238" i="35"/>
  <c r="D238" i="35"/>
  <c r="J237" i="35"/>
  <c r="I237" i="35"/>
  <c r="D237" i="35"/>
  <c r="J236" i="35"/>
  <c r="I236" i="35"/>
  <c r="D236" i="35"/>
  <c r="J235" i="35"/>
  <c r="I235" i="35"/>
  <c r="D235" i="35"/>
  <c r="J234" i="35"/>
  <c r="I234" i="35"/>
  <c r="D234" i="35"/>
  <c r="J233" i="35"/>
  <c r="I233" i="35"/>
  <c r="D233" i="35"/>
  <c r="J232" i="35"/>
  <c r="I232" i="35"/>
  <c r="D232" i="35"/>
  <c r="J231" i="35"/>
  <c r="I231" i="35"/>
  <c r="D231" i="35"/>
  <c r="J230" i="35"/>
  <c r="I230" i="35"/>
  <c r="D230" i="35"/>
  <c r="J229" i="35"/>
  <c r="I229" i="35"/>
  <c r="D229" i="35"/>
  <c r="J228" i="35"/>
  <c r="I228" i="35"/>
  <c r="D228" i="35"/>
  <c r="J227" i="35"/>
  <c r="I227" i="35"/>
  <c r="D227" i="35"/>
  <c r="J226" i="35"/>
  <c r="I226" i="35"/>
  <c r="D226" i="35"/>
  <c r="J225" i="35"/>
  <c r="I225" i="35"/>
  <c r="D225" i="35"/>
  <c r="J224" i="35"/>
  <c r="I224" i="35"/>
  <c r="D224" i="35"/>
  <c r="J223" i="35"/>
  <c r="I223" i="35"/>
  <c r="D223" i="35"/>
  <c r="J222" i="35"/>
  <c r="I222" i="35"/>
  <c r="D222" i="35"/>
  <c r="J221" i="35"/>
  <c r="I221" i="35"/>
  <c r="D221" i="35"/>
  <c r="J220" i="35"/>
  <c r="I220" i="35"/>
  <c r="D220" i="35"/>
  <c r="J219" i="35"/>
  <c r="I219" i="35"/>
  <c r="D219" i="35"/>
  <c r="J218" i="35"/>
  <c r="I218" i="35"/>
  <c r="D218" i="35"/>
  <c r="J217" i="35"/>
  <c r="I217" i="35"/>
  <c r="D217" i="35"/>
  <c r="J216" i="35"/>
  <c r="I216" i="35"/>
  <c r="D216" i="35"/>
  <c r="J215" i="35"/>
  <c r="I215" i="35"/>
  <c r="D215" i="35"/>
  <c r="J214" i="35"/>
  <c r="I214" i="35"/>
  <c r="D214" i="35"/>
  <c r="J213" i="35"/>
  <c r="I213" i="35"/>
  <c r="D213" i="35"/>
  <c r="J212" i="35"/>
  <c r="I212" i="35"/>
  <c r="D212" i="35"/>
  <c r="J211" i="35"/>
  <c r="I211" i="35"/>
  <c r="D211" i="35"/>
  <c r="J210" i="35"/>
  <c r="I210" i="35"/>
  <c r="D210" i="35"/>
  <c r="J209" i="35"/>
  <c r="I209" i="35"/>
  <c r="D209" i="35"/>
  <c r="J208" i="35"/>
  <c r="I208" i="35"/>
  <c r="D208" i="35"/>
  <c r="J207" i="35"/>
  <c r="I207" i="35"/>
  <c r="D207" i="35"/>
  <c r="J206" i="35"/>
  <c r="I206" i="35"/>
  <c r="D206" i="35"/>
  <c r="J205" i="35"/>
  <c r="I205" i="35"/>
  <c r="D205" i="35"/>
  <c r="J204" i="35"/>
  <c r="I204" i="35"/>
  <c r="D204" i="35"/>
  <c r="J203" i="35"/>
  <c r="I203" i="35"/>
  <c r="D203" i="35"/>
  <c r="J202" i="35"/>
  <c r="I202" i="35"/>
  <c r="D202" i="35"/>
  <c r="J201" i="35"/>
  <c r="I201" i="35"/>
  <c r="D201" i="35"/>
  <c r="J200" i="35"/>
  <c r="I200" i="35"/>
  <c r="D200" i="35"/>
  <c r="J199" i="35"/>
  <c r="I199" i="35"/>
  <c r="D199" i="35"/>
  <c r="J198" i="35"/>
  <c r="I198" i="35"/>
  <c r="D198" i="35"/>
  <c r="J197" i="35"/>
  <c r="I197" i="35"/>
  <c r="D197" i="35"/>
  <c r="J196" i="35"/>
  <c r="I196" i="35"/>
  <c r="D196" i="35"/>
  <c r="J195" i="35"/>
  <c r="I195" i="35"/>
  <c r="D195" i="35"/>
  <c r="J194" i="35"/>
  <c r="I194" i="35"/>
  <c r="D194" i="35"/>
  <c r="J193" i="35"/>
  <c r="I193" i="35"/>
  <c r="D193" i="35"/>
  <c r="J192" i="35"/>
  <c r="I192" i="35"/>
  <c r="D192" i="35"/>
  <c r="J191" i="35"/>
  <c r="I191" i="35"/>
  <c r="D191" i="35"/>
  <c r="J190" i="35"/>
  <c r="I190" i="35"/>
  <c r="D190" i="35"/>
  <c r="J189" i="35"/>
  <c r="I189" i="35"/>
  <c r="D189" i="35"/>
  <c r="J188" i="35"/>
  <c r="I188" i="35"/>
  <c r="D188" i="35"/>
  <c r="J187" i="35"/>
  <c r="I187" i="35"/>
  <c r="D187" i="35"/>
  <c r="J186" i="35"/>
  <c r="I186" i="35"/>
  <c r="D186" i="35"/>
  <c r="J185" i="35"/>
  <c r="I185" i="35"/>
  <c r="D185" i="35"/>
  <c r="J184" i="35"/>
  <c r="I184" i="35"/>
  <c r="D184" i="35"/>
  <c r="J183" i="35"/>
  <c r="I183" i="35"/>
  <c r="D183" i="35"/>
  <c r="J182" i="35"/>
  <c r="I182" i="35"/>
  <c r="D182" i="35"/>
  <c r="J181" i="35"/>
  <c r="I181" i="35"/>
  <c r="D181" i="35"/>
  <c r="J180" i="35"/>
  <c r="I180" i="35"/>
  <c r="D180" i="35"/>
  <c r="J179" i="35"/>
  <c r="I179" i="35"/>
  <c r="D179" i="35"/>
  <c r="J178" i="35"/>
  <c r="I178" i="35"/>
  <c r="D178" i="35"/>
  <c r="J177" i="35"/>
  <c r="I177" i="35"/>
  <c r="D177" i="35"/>
  <c r="J176" i="35"/>
  <c r="I176" i="35"/>
  <c r="D176" i="35"/>
  <c r="J175" i="35"/>
  <c r="I175" i="35"/>
  <c r="D175" i="35"/>
  <c r="J174" i="35"/>
  <c r="I174" i="35"/>
  <c r="D174" i="35"/>
  <c r="J173" i="35"/>
  <c r="I173" i="35"/>
  <c r="D173" i="35"/>
  <c r="J172" i="35"/>
  <c r="I172" i="35"/>
  <c r="D172" i="35"/>
  <c r="J171" i="35"/>
  <c r="I171" i="35"/>
  <c r="D171" i="35"/>
  <c r="J170" i="35"/>
  <c r="I170" i="35"/>
  <c r="D170" i="35"/>
  <c r="J169" i="35"/>
  <c r="I169" i="35"/>
  <c r="D169" i="35"/>
  <c r="J168" i="35"/>
  <c r="I168" i="35"/>
  <c r="D168" i="35"/>
  <c r="J167" i="35"/>
  <c r="I167" i="35"/>
  <c r="D167" i="35"/>
  <c r="J166" i="35"/>
  <c r="I166" i="35"/>
  <c r="D166" i="35"/>
  <c r="J165" i="35"/>
  <c r="I165" i="35"/>
  <c r="D165" i="35"/>
  <c r="J164" i="35"/>
  <c r="I164" i="35"/>
  <c r="D164" i="35"/>
  <c r="J163" i="35"/>
  <c r="I163" i="35"/>
  <c r="D163" i="35"/>
  <c r="J162" i="35"/>
  <c r="I162" i="35"/>
  <c r="D162" i="35"/>
  <c r="J161" i="35"/>
  <c r="I161" i="35"/>
  <c r="D161" i="35"/>
  <c r="J160" i="35"/>
  <c r="I160" i="35"/>
  <c r="D160" i="35"/>
  <c r="J159" i="35"/>
  <c r="I159" i="35"/>
  <c r="D159" i="35"/>
  <c r="J158" i="35"/>
  <c r="I158" i="35"/>
  <c r="D158" i="35"/>
  <c r="J157" i="35"/>
  <c r="I157" i="35"/>
  <c r="D157" i="35"/>
  <c r="J156" i="35"/>
  <c r="I156" i="35"/>
  <c r="D156" i="35"/>
  <c r="J155" i="35"/>
  <c r="I155" i="35"/>
  <c r="D155" i="35"/>
  <c r="J154" i="35"/>
  <c r="I154" i="35"/>
  <c r="D154" i="35"/>
  <c r="J153" i="35"/>
  <c r="I153" i="35"/>
  <c r="D153" i="35"/>
  <c r="J152" i="35"/>
  <c r="I152" i="35"/>
  <c r="D152" i="35"/>
  <c r="J151" i="35"/>
  <c r="I151" i="35"/>
  <c r="D151" i="35"/>
  <c r="J150" i="35"/>
  <c r="I150" i="35"/>
  <c r="D150" i="35"/>
  <c r="J149" i="35"/>
  <c r="I149" i="35"/>
  <c r="D149" i="35"/>
  <c r="J148" i="35"/>
  <c r="I148" i="35"/>
  <c r="D148" i="35"/>
  <c r="J147" i="35"/>
  <c r="I147" i="35"/>
  <c r="D147" i="35"/>
  <c r="J146" i="35"/>
  <c r="I146" i="35"/>
  <c r="D146" i="35"/>
  <c r="J145" i="35"/>
  <c r="I145" i="35"/>
  <c r="D145" i="35"/>
  <c r="J144" i="35"/>
  <c r="I144" i="35"/>
  <c r="D144" i="35"/>
  <c r="J143" i="35"/>
  <c r="I143" i="35"/>
  <c r="D143" i="35"/>
  <c r="J142" i="35"/>
  <c r="I142" i="35"/>
  <c r="D142" i="35"/>
  <c r="J141" i="35"/>
  <c r="I141" i="35"/>
  <c r="D141" i="35"/>
  <c r="J140" i="35"/>
  <c r="I140" i="35"/>
  <c r="D140" i="35"/>
  <c r="J139" i="35"/>
  <c r="I139" i="35"/>
  <c r="D139" i="35"/>
  <c r="J138" i="35"/>
  <c r="I138" i="35"/>
  <c r="D138" i="35"/>
  <c r="J137" i="35"/>
  <c r="I137" i="35"/>
  <c r="D137" i="35"/>
  <c r="J136" i="35"/>
  <c r="I136" i="35"/>
  <c r="D136" i="35"/>
  <c r="J135" i="35"/>
  <c r="I135" i="35"/>
  <c r="D135" i="35"/>
  <c r="J134" i="35"/>
  <c r="I134" i="35"/>
  <c r="D134" i="35"/>
  <c r="J133" i="35"/>
  <c r="I133" i="35"/>
  <c r="D133" i="35"/>
  <c r="J132" i="35"/>
  <c r="I132" i="35"/>
  <c r="D132" i="35"/>
  <c r="J131" i="35"/>
  <c r="I131" i="35"/>
  <c r="D131" i="35"/>
  <c r="J130" i="35"/>
  <c r="I130" i="35"/>
  <c r="D130" i="35"/>
  <c r="J129" i="35"/>
  <c r="I129" i="35"/>
  <c r="D129" i="35"/>
  <c r="J128" i="35"/>
  <c r="I128" i="35"/>
  <c r="D128" i="35"/>
  <c r="J127" i="35"/>
  <c r="I127" i="35"/>
  <c r="D127" i="35"/>
  <c r="J126" i="35"/>
  <c r="I126" i="35"/>
  <c r="D126" i="35"/>
  <c r="J125" i="35"/>
  <c r="I125" i="35"/>
  <c r="D125" i="35"/>
  <c r="J124" i="35"/>
  <c r="I124" i="35"/>
  <c r="D124" i="35"/>
  <c r="J123" i="35"/>
  <c r="I123" i="35"/>
  <c r="D123" i="35"/>
  <c r="J122" i="35"/>
  <c r="I122" i="35"/>
  <c r="D122" i="35"/>
  <c r="J121" i="35"/>
  <c r="I121" i="35"/>
  <c r="D121" i="35"/>
  <c r="J120" i="35"/>
  <c r="I120" i="35"/>
  <c r="D120" i="35"/>
  <c r="J119" i="35"/>
  <c r="I119" i="35"/>
  <c r="D119" i="35"/>
  <c r="J118" i="35"/>
  <c r="I118" i="35"/>
  <c r="D118" i="35"/>
  <c r="J117" i="35"/>
  <c r="I117" i="35"/>
  <c r="D117" i="35"/>
  <c r="J116" i="35"/>
  <c r="I116" i="35"/>
  <c r="D116" i="35"/>
  <c r="J115" i="35"/>
  <c r="I115" i="35"/>
  <c r="D115" i="35"/>
  <c r="J114" i="35"/>
  <c r="I114" i="35"/>
  <c r="D114" i="35"/>
  <c r="J113" i="35"/>
  <c r="I113" i="35"/>
  <c r="D113" i="35"/>
  <c r="J112" i="35"/>
  <c r="I112" i="35"/>
  <c r="D112" i="35"/>
  <c r="J111" i="35"/>
  <c r="I111" i="35"/>
  <c r="D111" i="35"/>
  <c r="J110" i="35"/>
  <c r="I110" i="35"/>
  <c r="D110" i="35"/>
  <c r="J109" i="35"/>
  <c r="I109" i="35"/>
  <c r="D109" i="35"/>
  <c r="J108" i="35"/>
  <c r="I108" i="35"/>
  <c r="D108" i="35"/>
  <c r="J107" i="35"/>
  <c r="I107" i="35"/>
  <c r="D107" i="35"/>
  <c r="J106" i="35"/>
  <c r="I106" i="35"/>
  <c r="D106" i="35"/>
  <c r="J105" i="35"/>
  <c r="I105" i="35"/>
  <c r="D105" i="35"/>
  <c r="J104" i="35"/>
  <c r="I104" i="35"/>
  <c r="D104" i="35"/>
  <c r="J103" i="35"/>
  <c r="I103" i="35"/>
  <c r="D103" i="35"/>
  <c r="J102" i="35"/>
  <c r="I102" i="35"/>
  <c r="D102" i="35"/>
  <c r="J101" i="35"/>
  <c r="I101" i="35"/>
  <c r="D101" i="35"/>
  <c r="J100" i="35"/>
  <c r="I100" i="35"/>
  <c r="D100" i="35"/>
  <c r="J99" i="35"/>
  <c r="I99" i="35"/>
  <c r="D99" i="35"/>
  <c r="J98" i="35"/>
  <c r="I98" i="35"/>
  <c r="D98" i="35"/>
  <c r="J97" i="35"/>
  <c r="I97" i="35"/>
  <c r="D97" i="35"/>
  <c r="J96" i="35"/>
  <c r="I96" i="35"/>
  <c r="D96" i="35"/>
  <c r="J95" i="35"/>
  <c r="I95" i="35"/>
  <c r="D95" i="35"/>
  <c r="J94" i="35"/>
  <c r="I94" i="35"/>
  <c r="D94" i="35"/>
  <c r="J93" i="35"/>
  <c r="I93" i="35"/>
  <c r="D93" i="35"/>
  <c r="J92" i="35"/>
  <c r="I92" i="35"/>
  <c r="D92" i="35"/>
  <c r="J91" i="35"/>
  <c r="I91" i="35"/>
  <c r="D91" i="35"/>
  <c r="J90" i="35"/>
  <c r="I90" i="35"/>
  <c r="D90" i="35"/>
  <c r="J89" i="35"/>
  <c r="I89" i="35"/>
  <c r="D89" i="35"/>
  <c r="J88" i="35"/>
  <c r="I88" i="35"/>
  <c r="D88" i="35"/>
  <c r="J87" i="35"/>
  <c r="I87" i="35"/>
  <c r="D87" i="35"/>
  <c r="J86" i="35"/>
  <c r="I86" i="35"/>
  <c r="D86" i="35"/>
  <c r="J85" i="35"/>
  <c r="I85" i="35"/>
  <c r="D85" i="35"/>
  <c r="J84" i="35"/>
  <c r="I84" i="35"/>
  <c r="D84" i="35"/>
  <c r="J83" i="35"/>
  <c r="I83" i="35"/>
  <c r="D83" i="35"/>
  <c r="J82" i="35"/>
  <c r="I82" i="35"/>
  <c r="D82" i="35"/>
  <c r="J81" i="35"/>
  <c r="I81" i="35"/>
  <c r="D81" i="35"/>
  <c r="J80" i="35"/>
  <c r="I80" i="35"/>
  <c r="D80" i="35"/>
  <c r="J79" i="35"/>
  <c r="I79" i="35"/>
  <c r="D79" i="35"/>
  <c r="J78" i="35"/>
  <c r="I78" i="35"/>
  <c r="D78" i="35"/>
  <c r="J77" i="35"/>
  <c r="I77" i="35"/>
  <c r="D77" i="35"/>
  <c r="J76" i="35"/>
  <c r="I76" i="35"/>
  <c r="D76" i="35"/>
  <c r="J75" i="35"/>
  <c r="I75" i="35"/>
  <c r="D75" i="35"/>
  <c r="J74" i="35"/>
  <c r="I74" i="35"/>
  <c r="D74" i="35"/>
  <c r="J73" i="35"/>
  <c r="I73" i="35"/>
  <c r="D73" i="35"/>
  <c r="J72" i="35"/>
  <c r="I72" i="35"/>
  <c r="D72" i="35"/>
  <c r="J71" i="35"/>
  <c r="I71" i="35"/>
  <c r="D71" i="35"/>
  <c r="J70" i="35"/>
  <c r="I70" i="35"/>
  <c r="D70" i="35"/>
  <c r="J69" i="35"/>
  <c r="I69" i="35"/>
  <c r="D69" i="35"/>
  <c r="J68" i="35"/>
  <c r="I68" i="35"/>
  <c r="D68" i="35"/>
  <c r="J67" i="35"/>
  <c r="I67" i="35"/>
  <c r="D67" i="35"/>
  <c r="J66" i="35"/>
  <c r="I66" i="35"/>
  <c r="D66" i="35"/>
  <c r="J65" i="35"/>
  <c r="I65" i="35"/>
  <c r="D65" i="35"/>
  <c r="J64" i="35"/>
  <c r="I64" i="35"/>
  <c r="D64" i="35"/>
  <c r="J63" i="35"/>
  <c r="I63" i="35"/>
  <c r="D63" i="35"/>
  <c r="J62" i="35"/>
  <c r="I62" i="35"/>
  <c r="D62" i="35"/>
  <c r="J61" i="35"/>
  <c r="I61" i="35"/>
  <c r="D61" i="35"/>
  <c r="J60" i="35"/>
  <c r="I60" i="35"/>
  <c r="D60" i="35"/>
  <c r="J59" i="35"/>
  <c r="I59" i="35"/>
  <c r="D59" i="35"/>
  <c r="J58" i="35"/>
  <c r="I58" i="35"/>
  <c r="D58" i="35"/>
  <c r="J57" i="35"/>
  <c r="I57" i="35"/>
  <c r="D57" i="35"/>
  <c r="J56" i="35"/>
  <c r="I56" i="35"/>
  <c r="D56" i="35"/>
  <c r="J55" i="35"/>
  <c r="I55" i="35"/>
  <c r="D55" i="35"/>
  <c r="J54" i="35"/>
  <c r="I54" i="35"/>
  <c r="D54" i="35"/>
  <c r="J53" i="35"/>
  <c r="I53" i="35"/>
  <c r="D53" i="35"/>
  <c r="J52" i="35"/>
  <c r="I52" i="35"/>
  <c r="D52" i="35"/>
  <c r="J51" i="35"/>
  <c r="I51" i="35"/>
  <c r="D51" i="35"/>
  <c r="J50" i="35"/>
  <c r="I50" i="35"/>
  <c r="D50" i="35"/>
  <c r="J49" i="35"/>
  <c r="I49" i="35"/>
  <c r="D49" i="35"/>
  <c r="J48" i="35"/>
  <c r="I48" i="35"/>
  <c r="D48" i="35"/>
  <c r="J47" i="35"/>
  <c r="I47" i="35"/>
  <c r="D47" i="35"/>
  <c r="J46" i="35"/>
  <c r="I46" i="35"/>
  <c r="D46" i="35"/>
  <c r="J45" i="35"/>
  <c r="I45" i="35"/>
  <c r="D45" i="35"/>
  <c r="J44" i="35"/>
  <c r="I44" i="35"/>
  <c r="D44" i="35"/>
  <c r="J43" i="35"/>
  <c r="I43" i="35"/>
  <c r="D43" i="35"/>
  <c r="J42" i="35"/>
  <c r="I42" i="35"/>
  <c r="D42" i="35"/>
  <c r="J41" i="35"/>
  <c r="I41" i="35"/>
  <c r="D41" i="35"/>
  <c r="J40" i="35"/>
  <c r="I40" i="35"/>
  <c r="D40" i="35"/>
  <c r="J39" i="35"/>
  <c r="I39" i="35"/>
  <c r="D39" i="35"/>
  <c r="J38" i="35"/>
  <c r="I38" i="35"/>
  <c r="D38" i="35"/>
  <c r="J37" i="35"/>
  <c r="I37" i="35"/>
  <c r="D37" i="35"/>
  <c r="J36" i="35"/>
  <c r="I36" i="35"/>
  <c r="D36" i="35"/>
  <c r="J35" i="35"/>
  <c r="I35" i="35"/>
  <c r="D35" i="35"/>
  <c r="J34" i="35"/>
  <c r="I34" i="35"/>
  <c r="D34" i="35"/>
  <c r="J33" i="35"/>
  <c r="I33" i="35"/>
  <c r="D33" i="35"/>
  <c r="P32" i="35"/>
  <c r="J32" i="35"/>
  <c r="I32" i="35"/>
  <c r="D32" i="35"/>
  <c r="P31" i="35"/>
  <c r="J31" i="35"/>
  <c r="I31" i="35"/>
  <c r="D31" i="35"/>
  <c r="P30" i="35"/>
  <c r="J30" i="35"/>
  <c r="I30" i="35"/>
  <c r="D30" i="35"/>
  <c r="P29" i="35"/>
  <c r="P33" i="35" s="1"/>
  <c r="J29" i="35"/>
  <c r="I29" i="35"/>
  <c r="D29" i="35"/>
  <c r="P28" i="35"/>
  <c r="J28" i="35"/>
  <c r="I28" i="35"/>
  <c r="D28" i="35"/>
  <c r="J27" i="35"/>
  <c r="I27" i="35"/>
  <c r="D27" i="35"/>
  <c r="J26" i="35"/>
  <c r="I26" i="35"/>
  <c r="D26" i="35"/>
  <c r="P25" i="35"/>
  <c r="J25" i="35"/>
  <c r="I25" i="35"/>
  <c r="D25" i="35"/>
  <c r="P24" i="35"/>
  <c r="J24" i="35"/>
  <c r="I24" i="35"/>
  <c r="D24" i="35"/>
  <c r="P23" i="35"/>
  <c r="J23" i="35"/>
  <c r="I23" i="35"/>
  <c r="D23" i="35"/>
  <c r="P22" i="35"/>
  <c r="P26" i="35" s="1"/>
  <c r="J22" i="35"/>
  <c r="I22" i="35"/>
  <c r="D22" i="35"/>
  <c r="P21" i="35"/>
  <c r="J21" i="35"/>
  <c r="I21" i="35"/>
  <c r="D21" i="35"/>
  <c r="J20" i="35"/>
  <c r="I20" i="35"/>
  <c r="D20" i="35"/>
  <c r="M19" i="35"/>
  <c r="J19" i="35"/>
  <c r="I19" i="35"/>
  <c r="D19" i="35"/>
  <c r="J18" i="35"/>
  <c r="I18" i="35"/>
  <c r="D18" i="35"/>
  <c r="J17" i="35"/>
  <c r="I17" i="35"/>
  <c r="D17" i="35"/>
  <c r="J16" i="35"/>
  <c r="I16" i="35"/>
  <c r="D16" i="35"/>
  <c r="J15" i="35"/>
  <c r="I15" i="35"/>
  <c r="D15" i="35"/>
  <c r="J14" i="35"/>
  <c r="I14" i="35"/>
  <c r="D14" i="35"/>
  <c r="J13" i="35"/>
  <c r="I13" i="35"/>
  <c r="D13" i="35"/>
  <c r="J12" i="35"/>
  <c r="I12" i="35"/>
  <c r="D12" i="35"/>
  <c r="J11" i="35"/>
  <c r="I11" i="35"/>
  <c r="D11" i="35"/>
  <c r="J10" i="35"/>
  <c r="I10" i="35"/>
  <c r="D10" i="35"/>
  <c r="J9" i="35"/>
  <c r="I9" i="35"/>
  <c r="D9" i="35"/>
  <c r="J8" i="35"/>
  <c r="I8" i="35"/>
  <c r="D8" i="35"/>
  <c r="J7" i="35"/>
  <c r="I7" i="35"/>
  <c r="D7" i="35"/>
  <c r="J6" i="35"/>
  <c r="I6" i="35"/>
  <c r="D6" i="35"/>
  <c r="B2" i="35" a="1"/>
  <c r="B2" i="35" s="1"/>
  <c r="J488" i="34"/>
  <c r="I488" i="34"/>
  <c r="D488" i="34"/>
  <c r="J487" i="34"/>
  <c r="I487" i="34"/>
  <c r="D487" i="34"/>
  <c r="J486" i="34"/>
  <c r="I486" i="34"/>
  <c r="D486" i="34"/>
  <c r="J485" i="34"/>
  <c r="I485" i="34"/>
  <c r="D485" i="34"/>
  <c r="J484" i="34"/>
  <c r="I484" i="34"/>
  <c r="D484" i="34"/>
  <c r="J483" i="34"/>
  <c r="I483" i="34"/>
  <c r="D483" i="34"/>
  <c r="J482" i="34"/>
  <c r="I482" i="34"/>
  <c r="D482" i="34"/>
  <c r="J481" i="34"/>
  <c r="I481" i="34"/>
  <c r="D481" i="34"/>
  <c r="J480" i="34"/>
  <c r="I480" i="34"/>
  <c r="D480" i="34"/>
  <c r="J479" i="34"/>
  <c r="I479" i="34"/>
  <c r="D479" i="34"/>
  <c r="J478" i="34"/>
  <c r="I478" i="34"/>
  <c r="D478" i="34"/>
  <c r="J477" i="34"/>
  <c r="I477" i="34"/>
  <c r="D477" i="34"/>
  <c r="J476" i="34"/>
  <c r="I476" i="34"/>
  <c r="D476" i="34"/>
  <c r="J475" i="34"/>
  <c r="I475" i="34"/>
  <c r="D475" i="34"/>
  <c r="J474" i="34"/>
  <c r="I474" i="34"/>
  <c r="D474" i="34"/>
  <c r="J473" i="34"/>
  <c r="I473" i="34"/>
  <c r="D473" i="34"/>
  <c r="J472" i="34"/>
  <c r="I472" i="34"/>
  <c r="D472" i="34"/>
  <c r="J471" i="34"/>
  <c r="I471" i="34"/>
  <c r="D471" i="34"/>
  <c r="J470" i="34"/>
  <c r="I470" i="34"/>
  <c r="D470" i="34"/>
  <c r="J469" i="34"/>
  <c r="I469" i="34"/>
  <c r="D469" i="34"/>
  <c r="J468" i="34"/>
  <c r="I468" i="34"/>
  <c r="D468" i="34"/>
  <c r="J467" i="34"/>
  <c r="I467" i="34"/>
  <c r="D467" i="34"/>
  <c r="J466" i="34"/>
  <c r="I466" i="34"/>
  <c r="D466" i="34"/>
  <c r="J465" i="34"/>
  <c r="I465" i="34"/>
  <c r="D465" i="34"/>
  <c r="J464" i="34"/>
  <c r="I464" i="34"/>
  <c r="D464" i="34"/>
  <c r="J463" i="34"/>
  <c r="I463" i="34"/>
  <c r="D463" i="34"/>
  <c r="J462" i="34"/>
  <c r="I462" i="34"/>
  <c r="D462" i="34"/>
  <c r="J461" i="34"/>
  <c r="I461" i="34"/>
  <c r="D461" i="34"/>
  <c r="J460" i="34"/>
  <c r="I460" i="34"/>
  <c r="D460" i="34"/>
  <c r="J459" i="34"/>
  <c r="I459" i="34"/>
  <c r="D459" i="34"/>
  <c r="J458" i="34"/>
  <c r="I458" i="34"/>
  <c r="D458" i="34"/>
  <c r="J457" i="34"/>
  <c r="I457" i="34"/>
  <c r="D457" i="34"/>
  <c r="J456" i="34"/>
  <c r="I456" i="34"/>
  <c r="D456" i="34"/>
  <c r="J455" i="34"/>
  <c r="I455" i="34"/>
  <c r="D455" i="34"/>
  <c r="J454" i="34"/>
  <c r="I454" i="34"/>
  <c r="D454" i="34"/>
  <c r="J453" i="34"/>
  <c r="I453" i="34"/>
  <c r="D453" i="34"/>
  <c r="J452" i="34"/>
  <c r="I452" i="34"/>
  <c r="D452" i="34"/>
  <c r="J451" i="34"/>
  <c r="I451" i="34"/>
  <c r="D451" i="34"/>
  <c r="J450" i="34"/>
  <c r="I450" i="34"/>
  <c r="D450" i="34"/>
  <c r="J449" i="34"/>
  <c r="I449" i="34"/>
  <c r="D449" i="34"/>
  <c r="J448" i="34"/>
  <c r="I448" i="34"/>
  <c r="D448" i="34"/>
  <c r="J447" i="34"/>
  <c r="I447" i="34"/>
  <c r="D447" i="34"/>
  <c r="J446" i="34"/>
  <c r="I446" i="34"/>
  <c r="D446" i="34"/>
  <c r="J445" i="34"/>
  <c r="I445" i="34"/>
  <c r="D445" i="34"/>
  <c r="J444" i="34"/>
  <c r="I444" i="34"/>
  <c r="D444" i="34"/>
  <c r="J443" i="34"/>
  <c r="I443" i="34"/>
  <c r="D443" i="34"/>
  <c r="J442" i="34"/>
  <c r="I442" i="34"/>
  <c r="D442" i="34"/>
  <c r="J441" i="34"/>
  <c r="I441" i="34"/>
  <c r="D441" i="34"/>
  <c r="J440" i="34"/>
  <c r="I440" i="34"/>
  <c r="D440" i="34"/>
  <c r="J439" i="34"/>
  <c r="I439" i="34"/>
  <c r="D439" i="34"/>
  <c r="J438" i="34"/>
  <c r="I438" i="34"/>
  <c r="D438" i="34"/>
  <c r="J437" i="34"/>
  <c r="I437" i="34"/>
  <c r="D437" i="34"/>
  <c r="J436" i="34"/>
  <c r="I436" i="34"/>
  <c r="D436" i="34"/>
  <c r="J435" i="34"/>
  <c r="I435" i="34"/>
  <c r="D435" i="34"/>
  <c r="J434" i="34"/>
  <c r="I434" i="34"/>
  <c r="D434" i="34"/>
  <c r="J433" i="34"/>
  <c r="I433" i="34"/>
  <c r="D433" i="34"/>
  <c r="J432" i="34"/>
  <c r="I432" i="34"/>
  <c r="D432" i="34"/>
  <c r="J431" i="34"/>
  <c r="I431" i="34"/>
  <c r="D431" i="34"/>
  <c r="J430" i="34"/>
  <c r="I430" i="34"/>
  <c r="D430" i="34"/>
  <c r="J429" i="34"/>
  <c r="I429" i="34"/>
  <c r="D429" i="34"/>
  <c r="J428" i="34"/>
  <c r="I428" i="34"/>
  <c r="D428" i="34"/>
  <c r="J427" i="34"/>
  <c r="I427" i="34"/>
  <c r="D427" i="34"/>
  <c r="J426" i="34"/>
  <c r="I426" i="34"/>
  <c r="D426" i="34"/>
  <c r="J425" i="34"/>
  <c r="I425" i="34"/>
  <c r="D425" i="34"/>
  <c r="J424" i="34"/>
  <c r="I424" i="34"/>
  <c r="D424" i="34"/>
  <c r="J423" i="34"/>
  <c r="I423" i="34"/>
  <c r="D423" i="34"/>
  <c r="J422" i="34"/>
  <c r="I422" i="34"/>
  <c r="D422" i="34"/>
  <c r="J421" i="34"/>
  <c r="I421" i="34"/>
  <c r="D421" i="34"/>
  <c r="J420" i="34"/>
  <c r="I420" i="34"/>
  <c r="D420" i="34"/>
  <c r="J419" i="34"/>
  <c r="I419" i="34"/>
  <c r="D419" i="34"/>
  <c r="J418" i="34"/>
  <c r="I418" i="34"/>
  <c r="D418" i="34"/>
  <c r="J417" i="34"/>
  <c r="I417" i="34"/>
  <c r="D417" i="34"/>
  <c r="J416" i="34"/>
  <c r="I416" i="34"/>
  <c r="D416" i="34"/>
  <c r="J415" i="34"/>
  <c r="I415" i="34"/>
  <c r="D415" i="34"/>
  <c r="J414" i="34"/>
  <c r="I414" i="34"/>
  <c r="D414" i="34"/>
  <c r="J413" i="34"/>
  <c r="I413" i="34"/>
  <c r="D413" i="34"/>
  <c r="J412" i="34"/>
  <c r="I412" i="34"/>
  <c r="D412" i="34"/>
  <c r="J411" i="34"/>
  <c r="I411" i="34"/>
  <c r="D411" i="34"/>
  <c r="J410" i="34"/>
  <c r="I410" i="34"/>
  <c r="D410" i="34"/>
  <c r="J409" i="34"/>
  <c r="I409" i="34"/>
  <c r="D409" i="34"/>
  <c r="J408" i="34"/>
  <c r="I408" i="34"/>
  <c r="D408" i="34"/>
  <c r="J407" i="34"/>
  <c r="I407" i="34"/>
  <c r="D407" i="34"/>
  <c r="J406" i="34"/>
  <c r="I406" i="34"/>
  <c r="D406" i="34"/>
  <c r="J405" i="34"/>
  <c r="I405" i="34"/>
  <c r="D405" i="34"/>
  <c r="J404" i="34"/>
  <c r="I404" i="34"/>
  <c r="D404" i="34"/>
  <c r="J403" i="34"/>
  <c r="I403" i="34"/>
  <c r="D403" i="34"/>
  <c r="J402" i="34"/>
  <c r="I402" i="34"/>
  <c r="D402" i="34"/>
  <c r="J401" i="34"/>
  <c r="I401" i="34"/>
  <c r="D401" i="34"/>
  <c r="J400" i="34"/>
  <c r="I400" i="34"/>
  <c r="D400" i="34"/>
  <c r="J399" i="34"/>
  <c r="I399" i="34"/>
  <c r="D399" i="34"/>
  <c r="J398" i="34"/>
  <c r="I398" i="34"/>
  <c r="D398" i="34"/>
  <c r="J397" i="34"/>
  <c r="I397" i="34"/>
  <c r="D397" i="34"/>
  <c r="J396" i="34"/>
  <c r="I396" i="34"/>
  <c r="D396" i="34"/>
  <c r="J395" i="34"/>
  <c r="I395" i="34"/>
  <c r="D395" i="34"/>
  <c r="J394" i="34"/>
  <c r="I394" i="34"/>
  <c r="D394" i="34"/>
  <c r="J393" i="34"/>
  <c r="I393" i="34"/>
  <c r="D393" i="34"/>
  <c r="J392" i="34"/>
  <c r="I392" i="34"/>
  <c r="D392" i="34"/>
  <c r="J391" i="34"/>
  <c r="I391" i="34"/>
  <c r="D391" i="34"/>
  <c r="J390" i="34"/>
  <c r="I390" i="34"/>
  <c r="D390" i="34"/>
  <c r="J389" i="34"/>
  <c r="I389" i="34"/>
  <c r="D389" i="34"/>
  <c r="J388" i="34"/>
  <c r="I388" i="34"/>
  <c r="D388" i="34"/>
  <c r="J387" i="34"/>
  <c r="I387" i="34"/>
  <c r="D387" i="34"/>
  <c r="J386" i="34"/>
  <c r="I386" i="34"/>
  <c r="D386" i="34"/>
  <c r="J385" i="34"/>
  <c r="I385" i="34"/>
  <c r="D385" i="34"/>
  <c r="J384" i="34"/>
  <c r="I384" i="34"/>
  <c r="D384" i="34"/>
  <c r="J383" i="34"/>
  <c r="I383" i="34"/>
  <c r="D383" i="34"/>
  <c r="J382" i="34"/>
  <c r="I382" i="34"/>
  <c r="D382" i="34"/>
  <c r="J381" i="34"/>
  <c r="I381" i="34"/>
  <c r="D381" i="34"/>
  <c r="J380" i="34"/>
  <c r="I380" i="34"/>
  <c r="D380" i="34"/>
  <c r="J379" i="34"/>
  <c r="I379" i="34"/>
  <c r="D379" i="34"/>
  <c r="J378" i="34"/>
  <c r="I378" i="34"/>
  <c r="D378" i="34"/>
  <c r="J377" i="34"/>
  <c r="I377" i="34"/>
  <c r="D377" i="34"/>
  <c r="J376" i="34"/>
  <c r="I376" i="34"/>
  <c r="D376" i="34"/>
  <c r="J375" i="34"/>
  <c r="I375" i="34"/>
  <c r="D375" i="34"/>
  <c r="J374" i="34"/>
  <c r="I374" i="34"/>
  <c r="D374" i="34"/>
  <c r="J373" i="34"/>
  <c r="I373" i="34"/>
  <c r="D373" i="34"/>
  <c r="J372" i="34"/>
  <c r="I372" i="34"/>
  <c r="D372" i="34"/>
  <c r="J371" i="34"/>
  <c r="I371" i="34"/>
  <c r="D371" i="34"/>
  <c r="J370" i="34"/>
  <c r="I370" i="34"/>
  <c r="D370" i="34"/>
  <c r="J369" i="34"/>
  <c r="I369" i="34"/>
  <c r="D369" i="34"/>
  <c r="J368" i="34"/>
  <c r="I368" i="34"/>
  <c r="D368" i="34"/>
  <c r="J367" i="34"/>
  <c r="I367" i="34"/>
  <c r="D367" i="34"/>
  <c r="J366" i="34"/>
  <c r="I366" i="34"/>
  <c r="D366" i="34"/>
  <c r="J365" i="34"/>
  <c r="I365" i="34"/>
  <c r="D365" i="34"/>
  <c r="J364" i="34"/>
  <c r="I364" i="34"/>
  <c r="D364" i="34"/>
  <c r="J363" i="34"/>
  <c r="I363" i="34"/>
  <c r="D363" i="34"/>
  <c r="J362" i="34"/>
  <c r="I362" i="34"/>
  <c r="D362" i="34"/>
  <c r="J361" i="34"/>
  <c r="I361" i="34"/>
  <c r="D361" i="34"/>
  <c r="J360" i="34"/>
  <c r="I360" i="34"/>
  <c r="D360" i="34"/>
  <c r="J359" i="34"/>
  <c r="I359" i="34"/>
  <c r="D359" i="34"/>
  <c r="J358" i="34"/>
  <c r="I358" i="34"/>
  <c r="D358" i="34"/>
  <c r="J357" i="34"/>
  <c r="I357" i="34"/>
  <c r="D357" i="34"/>
  <c r="J356" i="34"/>
  <c r="I356" i="34"/>
  <c r="D356" i="34"/>
  <c r="J355" i="34"/>
  <c r="I355" i="34"/>
  <c r="D355" i="34"/>
  <c r="J354" i="34"/>
  <c r="I354" i="34"/>
  <c r="D354" i="34"/>
  <c r="J353" i="34"/>
  <c r="I353" i="34"/>
  <c r="D353" i="34"/>
  <c r="J352" i="34"/>
  <c r="I352" i="34"/>
  <c r="D352" i="34"/>
  <c r="J351" i="34"/>
  <c r="I351" i="34"/>
  <c r="D351" i="34"/>
  <c r="J350" i="34"/>
  <c r="I350" i="34"/>
  <c r="D350" i="34"/>
  <c r="J349" i="34"/>
  <c r="I349" i="34"/>
  <c r="D349" i="34"/>
  <c r="J348" i="34"/>
  <c r="I348" i="34"/>
  <c r="D348" i="34"/>
  <c r="J347" i="34"/>
  <c r="I347" i="34"/>
  <c r="D347" i="34"/>
  <c r="J346" i="34"/>
  <c r="I346" i="34"/>
  <c r="D346" i="34"/>
  <c r="J345" i="34"/>
  <c r="I345" i="34"/>
  <c r="D345" i="34"/>
  <c r="J344" i="34"/>
  <c r="I344" i="34"/>
  <c r="D344" i="34"/>
  <c r="J343" i="34"/>
  <c r="I343" i="34"/>
  <c r="D343" i="34"/>
  <c r="J342" i="34"/>
  <c r="I342" i="34"/>
  <c r="D342" i="34"/>
  <c r="J341" i="34"/>
  <c r="I341" i="34"/>
  <c r="D341" i="34"/>
  <c r="J340" i="34"/>
  <c r="I340" i="34"/>
  <c r="D340" i="34"/>
  <c r="J339" i="34"/>
  <c r="I339" i="34"/>
  <c r="D339" i="34"/>
  <c r="J338" i="34"/>
  <c r="I338" i="34"/>
  <c r="D338" i="34"/>
  <c r="J337" i="34"/>
  <c r="I337" i="34"/>
  <c r="D337" i="34"/>
  <c r="J336" i="34"/>
  <c r="I336" i="34"/>
  <c r="D336" i="34"/>
  <c r="J335" i="34"/>
  <c r="I335" i="34"/>
  <c r="D335" i="34"/>
  <c r="J334" i="34"/>
  <c r="I334" i="34"/>
  <c r="D334" i="34"/>
  <c r="J333" i="34"/>
  <c r="I333" i="34"/>
  <c r="D333" i="34"/>
  <c r="J332" i="34"/>
  <c r="I332" i="34"/>
  <c r="D332" i="34"/>
  <c r="J331" i="34"/>
  <c r="I331" i="34"/>
  <c r="D331" i="34"/>
  <c r="J330" i="34"/>
  <c r="I330" i="34"/>
  <c r="D330" i="34"/>
  <c r="J329" i="34"/>
  <c r="I329" i="34"/>
  <c r="D329" i="34"/>
  <c r="J328" i="34"/>
  <c r="I328" i="34"/>
  <c r="D328" i="34"/>
  <c r="J327" i="34"/>
  <c r="I327" i="34"/>
  <c r="D327" i="34"/>
  <c r="J326" i="34"/>
  <c r="I326" i="34"/>
  <c r="D326" i="34"/>
  <c r="J325" i="34"/>
  <c r="I325" i="34"/>
  <c r="D325" i="34"/>
  <c r="J324" i="34"/>
  <c r="I324" i="34"/>
  <c r="D324" i="34"/>
  <c r="J323" i="34"/>
  <c r="I323" i="34"/>
  <c r="D323" i="34"/>
  <c r="J322" i="34"/>
  <c r="I322" i="34"/>
  <c r="D322" i="34"/>
  <c r="J321" i="34"/>
  <c r="I321" i="34"/>
  <c r="D321" i="34"/>
  <c r="J320" i="34"/>
  <c r="I320" i="34"/>
  <c r="D320" i="34"/>
  <c r="J319" i="34"/>
  <c r="I319" i="34"/>
  <c r="D319" i="34"/>
  <c r="J318" i="34"/>
  <c r="I318" i="34"/>
  <c r="D318" i="34"/>
  <c r="J317" i="34"/>
  <c r="I317" i="34"/>
  <c r="D317" i="34"/>
  <c r="J316" i="34"/>
  <c r="I316" i="34"/>
  <c r="D316" i="34"/>
  <c r="J315" i="34"/>
  <c r="I315" i="34"/>
  <c r="D315" i="34"/>
  <c r="J314" i="34"/>
  <c r="I314" i="34"/>
  <c r="D314" i="34"/>
  <c r="J313" i="34"/>
  <c r="I313" i="34"/>
  <c r="D313" i="34"/>
  <c r="J312" i="34"/>
  <c r="I312" i="34"/>
  <c r="D312" i="34"/>
  <c r="J311" i="34"/>
  <c r="I311" i="34"/>
  <c r="D311" i="34"/>
  <c r="J310" i="34"/>
  <c r="I310" i="34"/>
  <c r="D310" i="34"/>
  <c r="J309" i="34"/>
  <c r="I309" i="34"/>
  <c r="D309" i="34"/>
  <c r="J308" i="34"/>
  <c r="I308" i="34"/>
  <c r="D308" i="34"/>
  <c r="J307" i="34"/>
  <c r="I307" i="34"/>
  <c r="D307" i="34"/>
  <c r="J306" i="34"/>
  <c r="I306" i="34"/>
  <c r="D306" i="34"/>
  <c r="J305" i="34"/>
  <c r="I305" i="34"/>
  <c r="D305" i="34"/>
  <c r="J304" i="34"/>
  <c r="I304" i="34"/>
  <c r="D304" i="34"/>
  <c r="J303" i="34"/>
  <c r="I303" i="34"/>
  <c r="D303" i="34"/>
  <c r="J302" i="34"/>
  <c r="I302" i="34"/>
  <c r="D302" i="34"/>
  <c r="J301" i="34"/>
  <c r="I301" i="34"/>
  <c r="D301" i="34"/>
  <c r="J300" i="34"/>
  <c r="I300" i="34"/>
  <c r="D300" i="34"/>
  <c r="J299" i="34"/>
  <c r="I299" i="34"/>
  <c r="D299" i="34"/>
  <c r="J298" i="34"/>
  <c r="I298" i="34"/>
  <c r="D298" i="34"/>
  <c r="J297" i="34"/>
  <c r="I297" i="34"/>
  <c r="D297" i="34"/>
  <c r="J296" i="34"/>
  <c r="I296" i="34"/>
  <c r="D296" i="34"/>
  <c r="J295" i="34"/>
  <c r="I295" i="34"/>
  <c r="D295" i="34"/>
  <c r="J294" i="34"/>
  <c r="I294" i="34"/>
  <c r="D294" i="34"/>
  <c r="J293" i="34"/>
  <c r="I293" i="34"/>
  <c r="D293" i="34"/>
  <c r="J292" i="34"/>
  <c r="I292" i="34"/>
  <c r="D292" i="34"/>
  <c r="J291" i="34"/>
  <c r="I291" i="34"/>
  <c r="D291" i="34"/>
  <c r="J290" i="34"/>
  <c r="I290" i="34"/>
  <c r="D290" i="34"/>
  <c r="J289" i="34"/>
  <c r="I289" i="34"/>
  <c r="D289" i="34"/>
  <c r="J288" i="34"/>
  <c r="I288" i="34"/>
  <c r="D288" i="34"/>
  <c r="J287" i="34"/>
  <c r="I287" i="34"/>
  <c r="D287" i="34"/>
  <c r="J286" i="34"/>
  <c r="I286" i="34"/>
  <c r="D286" i="34"/>
  <c r="J285" i="34"/>
  <c r="I285" i="34"/>
  <c r="D285" i="34"/>
  <c r="J284" i="34"/>
  <c r="I284" i="34"/>
  <c r="D284" i="34"/>
  <c r="J283" i="34"/>
  <c r="I283" i="34"/>
  <c r="D283" i="34"/>
  <c r="J282" i="34"/>
  <c r="I282" i="34"/>
  <c r="D282" i="34"/>
  <c r="J281" i="34"/>
  <c r="I281" i="34"/>
  <c r="D281" i="34"/>
  <c r="J280" i="34"/>
  <c r="I280" i="34"/>
  <c r="D280" i="34"/>
  <c r="J279" i="34"/>
  <c r="I279" i="34"/>
  <c r="D279" i="34"/>
  <c r="J278" i="34"/>
  <c r="I278" i="34"/>
  <c r="D278" i="34"/>
  <c r="J277" i="34"/>
  <c r="I277" i="34"/>
  <c r="D277" i="34"/>
  <c r="J276" i="34"/>
  <c r="I276" i="34"/>
  <c r="D276" i="34"/>
  <c r="J275" i="34"/>
  <c r="I275" i="34"/>
  <c r="D275" i="34"/>
  <c r="J274" i="34"/>
  <c r="I274" i="34"/>
  <c r="D274" i="34"/>
  <c r="J273" i="34"/>
  <c r="I273" i="34"/>
  <c r="D273" i="34"/>
  <c r="J272" i="34"/>
  <c r="I272" i="34"/>
  <c r="D272" i="34"/>
  <c r="J271" i="34"/>
  <c r="I271" i="34"/>
  <c r="D271" i="34"/>
  <c r="J270" i="34"/>
  <c r="I270" i="34"/>
  <c r="D270" i="34"/>
  <c r="J269" i="34"/>
  <c r="I269" i="34"/>
  <c r="D269" i="34"/>
  <c r="J268" i="34"/>
  <c r="I268" i="34"/>
  <c r="D268" i="34"/>
  <c r="J267" i="34"/>
  <c r="I267" i="34"/>
  <c r="D267" i="34"/>
  <c r="J266" i="34"/>
  <c r="I266" i="34"/>
  <c r="D266" i="34"/>
  <c r="J265" i="34"/>
  <c r="I265" i="34"/>
  <c r="D265" i="34"/>
  <c r="J264" i="34"/>
  <c r="I264" i="34"/>
  <c r="D264" i="34"/>
  <c r="J263" i="34"/>
  <c r="I263" i="34"/>
  <c r="D263" i="34"/>
  <c r="J262" i="34"/>
  <c r="I262" i="34"/>
  <c r="D262" i="34"/>
  <c r="J261" i="34"/>
  <c r="I261" i="34"/>
  <c r="D261" i="34"/>
  <c r="J260" i="34"/>
  <c r="I260" i="34"/>
  <c r="D260" i="34"/>
  <c r="J259" i="34"/>
  <c r="I259" i="34"/>
  <c r="D259" i="34"/>
  <c r="J258" i="34"/>
  <c r="I258" i="34"/>
  <c r="D258" i="34"/>
  <c r="J257" i="34"/>
  <c r="I257" i="34"/>
  <c r="D257" i="34"/>
  <c r="J256" i="34"/>
  <c r="I256" i="34"/>
  <c r="D256" i="34"/>
  <c r="J255" i="34"/>
  <c r="I255" i="34"/>
  <c r="D255" i="34"/>
  <c r="J254" i="34"/>
  <c r="I254" i="34"/>
  <c r="D254" i="34"/>
  <c r="J253" i="34"/>
  <c r="I253" i="34"/>
  <c r="D253" i="34"/>
  <c r="J252" i="34"/>
  <c r="I252" i="34"/>
  <c r="D252" i="34"/>
  <c r="J251" i="34"/>
  <c r="I251" i="34"/>
  <c r="D251" i="34"/>
  <c r="J250" i="34"/>
  <c r="I250" i="34"/>
  <c r="D250" i="34"/>
  <c r="J249" i="34"/>
  <c r="I249" i="34"/>
  <c r="D249" i="34"/>
  <c r="J248" i="34"/>
  <c r="I248" i="34"/>
  <c r="D248" i="34"/>
  <c r="J247" i="34"/>
  <c r="I247" i="34"/>
  <c r="D247" i="34"/>
  <c r="J246" i="34"/>
  <c r="I246" i="34"/>
  <c r="D246" i="34"/>
  <c r="J245" i="34"/>
  <c r="I245" i="34"/>
  <c r="D245" i="34"/>
  <c r="J244" i="34"/>
  <c r="I244" i="34"/>
  <c r="D244" i="34"/>
  <c r="J243" i="34"/>
  <c r="I243" i="34"/>
  <c r="D243" i="34"/>
  <c r="J242" i="34"/>
  <c r="I242" i="34"/>
  <c r="D242" i="34"/>
  <c r="J241" i="34"/>
  <c r="I241" i="34"/>
  <c r="D241" i="34"/>
  <c r="J240" i="34"/>
  <c r="I240" i="34"/>
  <c r="D240" i="34"/>
  <c r="J239" i="34"/>
  <c r="I239" i="34"/>
  <c r="D239" i="34"/>
  <c r="J238" i="34"/>
  <c r="I238" i="34"/>
  <c r="D238" i="34"/>
  <c r="J237" i="34"/>
  <c r="I237" i="34"/>
  <c r="D237" i="34"/>
  <c r="J236" i="34"/>
  <c r="I236" i="34"/>
  <c r="D236" i="34"/>
  <c r="J235" i="34"/>
  <c r="I235" i="34"/>
  <c r="D235" i="34"/>
  <c r="J234" i="34"/>
  <c r="I234" i="34"/>
  <c r="D234" i="34"/>
  <c r="J233" i="34"/>
  <c r="I233" i="34"/>
  <c r="D233" i="34"/>
  <c r="J232" i="34"/>
  <c r="I232" i="34"/>
  <c r="D232" i="34"/>
  <c r="J231" i="34"/>
  <c r="I231" i="34"/>
  <c r="D231" i="34"/>
  <c r="J230" i="34"/>
  <c r="I230" i="34"/>
  <c r="D230" i="34"/>
  <c r="J229" i="34"/>
  <c r="I229" i="34"/>
  <c r="D229" i="34"/>
  <c r="J228" i="34"/>
  <c r="I228" i="34"/>
  <c r="D228" i="34"/>
  <c r="J227" i="34"/>
  <c r="I227" i="34"/>
  <c r="D227" i="34"/>
  <c r="J226" i="34"/>
  <c r="I226" i="34"/>
  <c r="D226" i="34"/>
  <c r="J225" i="34"/>
  <c r="I225" i="34"/>
  <c r="D225" i="34"/>
  <c r="J224" i="34"/>
  <c r="I224" i="34"/>
  <c r="D224" i="34"/>
  <c r="J223" i="34"/>
  <c r="I223" i="34"/>
  <c r="D223" i="34"/>
  <c r="J222" i="34"/>
  <c r="I222" i="34"/>
  <c r="D222" i="34"/>
  <c r="J221" i="34"/>
  <c r="I221" i="34"/>
  <c r="D221" i="34"/>
  <c r="J220" i="34"/>
  <c r="I220" i="34"/>
  <c r="D220" i="34"/>
  <c r="J219" i="34"/>
  <c r="I219" i="34"/>
  <c r="D219" i="34"/>
  <c r="J218" i="34"/>
  <c r="I218" i="34"/>
  <c r="D218" i="34"/>
  <c r="J217" i="34"/>
  <c r="I217" i="34"/>
  <c r="D217" i="34"/>
  <c r="J216" i="34"/>
  <c r="I216" i="34"/>
  <c r="D216" i="34"/>
  <c r="J215" i="34"/>
  <c r="I215" i="34"/>
  <c r="D215" i="34"/>
  <c r="J214" i="34"/>
  <c r="I214" i="34"/>
  <c r="D214" i="34"/>
  <c r="J213" i="34"/>
  <c r="I213" i="34"/>
  <c r="D213" i="34"/>
  <c r="J212" i="34"/>
  <c r="I212" i="34"/>
  <c r="D212" i="34"/>
  <c r="J211" i="34"/>
  <c r="I211" i="34"/>
  <c r="D211" i="34"/>
  <c r="J210" i="34"/>
  <c r="I210" i="34"/>
  <c r="D210" i="34"/>
  <c r="J209" i="34"/>
  <c r="I209" i="34"/>
  <c r="D209" i="34"/>
  <c r="J208" i="34"/>
  <c r="I208" i="34"/>
  <c r="D208" i="34"/>
  <c r="J207" i="34"/>
  <c r="I207" i="34"/>
  <c r="D207" i="34"/>
  <c r="J206" i="34"/>
  <c r="I206" i="34"/>
  <c r="D206" i="34"/>
  <c r="J205" i="34"/>
  <c r="I205" i="34"/>
  <c r="D205" i="34"/>
  <c r="J204" i="34"/>
  <c r="I204" i="34"/>
  <c r="D204" i="34"/>
  <c r="J203" i="34"/>
  <c r="I203" i="34"/>
  <c r="D203" i="34"/>
  <c r="J202" i="34"/>
  <c r="I202" i="34"/>
  <c r="D202" i="34"/>
  <c r="J201" i="34"/>
  <c r="I201" i="34"/>
  <c r="D201" i="34"/>
  <c r="J200" i="34"/>
  <c r="I200" i="34"/>
  <c r="D200" i="34"/>
  <c r="J199" i="34"/>
  <c r="I199" i="34"/>
  <c r="D199" i="34"/>
  <c r="J198" i="34"/>
  <c r="I198" i="34"/>
  <c r="D198" i="34"/>
  <c r="J197" i="34"/>
  <c r="I197" i="34"/>
  <c r="D197" i="34"/>
  <c r="J196" i="34"/>
  <c r="I196" i="34"/>
  <c r="D196" i="34"/>
  <c r="J195" i="34"/>
  <c r="I195" i="34"/>
  <c r="D195" i="34"/>
  <c r="J194" i="34"/>
  <c r="I194" i="34"/>
  <c r="D194" i="34"/>
  <c r="J193" i="34"/>
  <c r="I193" i="34"/>
  <c r="D193" i="34"/>
  <c r="J192" i="34"/>
  <c r="I192" i="34"/>
  <c r="D192" i="34"/>
  <c r="J191" i="34"/>
  <c r="I191" i="34"/>
  <c r="D191" i="34"/>
  <c r="J190" i="34"/>
  <c r="I190" i="34"/>
  <c r="D190" i="34"/>
  <c r="J189" i="34"/>
  <c r="I189" i="34"/>
  <c r="D189" i="34"/>
  <c r="J188" i="34"/>
  <c r="I188" i="34"/>
  <c r="D188" i="34"/>
  <c r="J187" i="34"/>
  <c r="I187" i="34"/>
  <c r="D187" i="34"/>
  <c r="J186" i="34"/>
  <c r="I186" i="34"/>
  <c r="D186" i="34"/>
  <c r="J185" i="34"/>
  <c r="I185" i="34"/>
  <c r="D185" i="34"/>
  <c r="J184" i="34"/>
  <c r="I184" i="34"/>
  <c r="D184" i="34"/>
  <c r="J183" i="34"/>
  <c r="I183" i="34"/>
  <c r="D183" i="34"/>
  <c r="J182" i="34"/>
  <c r="I182" i="34"/>
  <c r="D182" i="34"/>
  <c r="J181" i="34"/>
  <c r="I181" i="34"/>
  <c r="D181" i="34"/>
  <c r="J180" i="34"/>
  <c r="I180" i="34"/>
  <c r="D180" i="34"/>
  <c r="J179" i="34"/>
  <c r="I179" i="34"/>
  <c r="D179" i="34"/>
  <c r="J178" i="34"/>
  <c r="I178" i="34"/>
  <c r="D178" i="34"/>
  <c r="J177" i="34"/>
  <c r="I177" i="34"/>
  <c r="D177" i="34"/>
  <c r="J176" i="34"/>
  <c r="I176" i="34"/>
  <c r="D176" i="34"/>
  <c r="J175" i="34"/>
  <c r="I175" i="34"/>
  <c r="D175" i="34"/>
  <c r="J174" i="34"/>
  <c r="I174" i="34"/>
  <c r="D174" i="34"/>
  <c r="J173" i="34"/>
  <c r="I173" i="34"/>
  <c r="D173" i="34"/>
  <c r="J172" i="34"/>
  <c r="I172" i="34"/>
  <c r="D172" i="34"/>
  <c r="J171" i="34"/>
  <c r="I171" i="34"/>
  <c r="D171" i="34"/>
  <c r="J170" i="34"/>
  <c r="I170" i="34"/>
  <c r="D170" i="34"/>
  <c r="J169" i="34"/>
  <c r="I169" i="34"/>
  <c r="D169" i="34"/>
  <c r="J168" i="34"/>
  <c r="I168" i="34"/>
  <c r="D168" i="34"/>
  <c r="J167" i="34"/>
  <c r="I167" i="34"/>
  <c r="D167" i="34"/>
  <c r="J166" i="34"/>
  <c r="I166" i="34"/>
  <c r="D166" i="34"/>
  <c r="J165" i="34"/>
  <c r="I165" i="34"/>
  <c r="D165" i="34"/>
  <c r="J164" i="34"/>
  <c r="I164" i="34"/>
  <c r="D164" i="34"/>
  <c r="J163" i="34"/>
  <c r="I163" i="34"/>
  <c r="D163" i="34"/>
  <c r="J162" i="34"/>
  <c r="I162" i="34"/>
  <c r="D162" i="34"/>
  <c r="J161" i="34"/>
  <c r="I161" i="34"/>
  <c r="D161" i="34"/>
  <c r="J160" i="34"/>
  <c r="I160" i="34"/>
  <c r="D160" i="34"/>
  <c r="J159" i="34"/>
  <c r="I159" i="34"/>
  <c r="D159" i="34"/>
  <c r="J158" i="34"/>
  <c r="I158" i="34"/>
  <c r="D158" i="34"/>
  <c r="J157" i="34"/>
  <c r="I157" i="34"/>
  <c r="D157" i="34"/>
  <c r="J156" i="34"/>
  <c r="I156" i="34"/>
  <c r="D156" i="34"/>
  <c r="J155" i="34"/>
  <c r="I155" i="34"/>
  <c r="D155" i="34"/>
  <c r="J154" i="34"/>
  <c r="I154" i="34"/>
  <c r="D154" i="34"/>
  <c r="J153" i="34"/>
  <c r="I153" i="34"/>
  <c r="D153" i="34"/>
  <c r="J152" i="34"/>
  <c r="I152" i="34"/>
  <c r="D152" i="34"/>
  <c r="J151" i="34"/>
  <c r="I151" i="34"/>
  <c r="D151" i="34"/>
  <c r="J150" i="34"/>
  <c r="I150" i="34"/>
  <c r="D150" i="34"/>
  <c r="J149" i="34"/>
  <c r="I149" i="34"/>
  <c r="D149" i="34"/>
  <c r="J148" i="34"/>
  <c r="I148" i="34"/>
  <c r="D148" i="34"/>
  <c r="J147" i="34"/>
  <c r="I147" i="34"/>
  <c r="D147" i="34"/>
  <c r="J146" i="34"/>
  <c r="I146" i="34"/>
  <c r="D146" i="34"/>
  <c r="J145" i="34"/>
  <c r="I145" i="34"/>
  <c r="D145" i="34"/>
  <c r="J144" i="34"/>
  <c r="I144" i="34"/>
  <c r="D144" i="34"/>
  <c r="J143" i="34"/>
  <c r="I143" i="34"/>
  <c r="D143" i="34"/>
  <c r="J142" i="34"/>
  <c r="I142" i="34"/>
  <c r="D142" i="34"/>
  <c r="J141" i="34"/>
  <c r="I141" i="34"/>
  <c r="D141" i="34"/>
  <c r="J140" i="34"/>
  <c r="I140" i="34"/>
  <c r="D140" i="34"/>
  <c r="J139" i="34"/>
  <c r="I139" i="34"/>
  <c r="D139" i="34"/>
  <c r="J138" i="34"/>
  <c r="I138" i="34"/>
  <c r="D138" i="34"/>
  <c r="J137" i="34"/>
  <c r="I137" i="34"/>
  <c r="D137" i="34"/>
  <c r="J136" i="34"/>
  <c r="I136" i="34"/>
  <c r="D136" i="34"/>
  <c r="J135" i="34"/>
  <c r="I135" i="34"/>
  <c r="D135" i="34"/>
  <c r="J134" i="34"/>
  <c r="I134" i="34"/>
  <c r="D134" i="34"/>
  <c r="J133" i="34"/>
  <c r="I133" i="34"/>
  <c r="D133" i="34"/>
  <c r="J132" i="34"/>
  <c r="I132" i="34"/>
  <c r="D132" i="34"/>
  <c r="J131" i="34"/>
  <c r="I131" i="34"/>
  <c r="D131" i="34"/>
  <c r="J130" i="34"/>
  <c r="I130" i="34"/>
  <c r="D130" i="34"/>
  <c r="J129" i="34"/>
  <c r="I129" i="34"/>
  <c r="D129" i="34"/>
  <c r="J128" i="34"/>
  <c r="I128" i="34"/>
  <c r="D128" i="34"/>
  <c r="J127" i="34"/>
  <c r="I127" i="34"/>
  <c r="D127" i="34"/>
  <c r="J126" i="34"/>
  <c r="I126" i="34"/>
  <c r="D126" i="34"/>
  <c r="J125" i="34"/>
  <c r="I125" i="34"/>
  <c r="D125" i="34"/>
  <c r="J124" i="34"/>
  <c r="I124" i="34"/>
  <c r="D124" i="34"/>
  <c r="J123" i="34"/>
  <c r="I123" i="34"/>
  <c r="D123" i="34"/>
  <c r="J122" i="34"/>
  <c r="I122" i="34"/>
  <c r="D122" i="34"/>
  <c r="J121" i="34"/>
  <c r="I121" i="34"/>
  <c r="D121" i="34"/>
  <c r="J120" i="34"/>
  <c r="I120" i="34"/>
  <c r="D120" i="34"/>
  <c r="J119" i="34"/>
  <c r="I119" i="34"/>
  <c r="D119" i="34"/>
  <c r="J118" i="34"/>
  <c r="I118" i="34"/>
  <c r="D118" i="34"/>
  <c r="J117" i="34"/>
  <c r="I117" i="34"/>
  <c r="D117" i="34"/>
  <c r="J116" i="34"/>
  <c r="I116" i="34"/>
  <c r="D116" i="34"/>
  <c r="J115" i="34"/>
  <c r="I115" i="34"/>
  <c r="D115" i="34"/>
  <c r="J114" i="34"/>
  <c r="I114" i="34"/>
  <c r="D114" i="34"/>
  <c r="J113" i="34"/>
  <c r="I113" i="34"/>
  <c r="D113" i="34"/>
  <c r="J112" i="34"/>
  <c r="I112" i="34"/>
  <c r="D112" i="34"/>
  <c r="J111" i="34"/>
  <c r="I111" i="34"/>
  <c r="D111" i="34"/>
  <c r="J110" i="34"/>
  <c r="I110" i="34"/>
  <c r="D110" i="34"/>
  <c r="J109" i="34"/>
  <c r="I109" i="34"/>
  <c r="D109" i="34"/>
  <c r="J108" i="34"/>
  <c r="I108" i="34"/>
  <c r="D108" i="34"/>
  <c r="J107" i="34"/>
  <c r="I107" i="34"/>
  <c r="D107" i="34"/>
  <c r="J106" i="34"/>
  <c r="I106" i="34"/>
  <c r="D106" i="34"/>
  <c r="J105" i="34"/>
  <c r="I105" i="34"/>
  <c r="D105" i="34"/>
  <c r="J104" i="34"/>
  <c r="I104" i="34"/>
  <c r="D104" i="34"/>
  <c r="J103" i="34"/>
  <c r="I103" i="34"/>
  <c r="D103" i="34"/>
  <c r="J102" i="34"/>
  <c r="I102" i="34"/>
  <c r="D102" i="34"/>
  <c r="J101" i="34"/>
  <c r="I101" i="34"/>
  <c r="D101" i="34"/>
  <c r="J100" i="34"/>
  <c r="I100" i="34"/>
  <c r="D100" i="34"/>
  <c r="J99" i="34"/>
  <c r="I99" i="34"/>
  <c r="D99" i="34"/>
  <c r="J98" i="34"/>
  <c r="I98" i="34"/>
  <c r="D98" i="34"/>
  <c r="J97" i="34"/>
  <c r="I97" i="34"/>
  <c r="D97" i="34"/>
  <c r="J96" i="34"/>
  <c r="I96" i="34"/>
  <c r="D96" i="34"/>
  <c r="J95" i="34"/>
  <c r="I95" i="34"/>
  <c r="D95" i="34"/>
  <c r="J94" i="34"/>
  <c r="I94" i="34"/>
  <c r="D94" i="34"/>
  <c r="J93" i="34"/>
  <c r="I93" i="34"/>
  <c r="D93" i="34"/>
  <c r="J92" i="34"/>
  <c r="I92" i="34"/>
  <c r="D92" i="34"/>
  <c r="J91" i="34"/>
  <c r="I91" i="34"/>
  <c r="D91" i="34"/>
  <c r="J90" i="34"/>
  <c r="I90" i="34"/>
  <c r="D90" i="34"/>
  <c r="J89" i="34"/>
  <c r="I89" i="34"/>
  <c r="D89" i="34"/>
  <c r="J88" i="34"/>
  <c r="I88" i="34"/>
  <c r="D88" i="34"/>
  <c r="J87" i="34"/>
  <c r="I87" i="34"/>
  <c r="D87" i="34"/>
  <c r="J86" i="34"/>
  <c r="I86" i="34"/>
  <c r="D86" i="34"/>
  <c r="J85" i="34"/>
  <c r="I85" i="34"/>
  <c r="D85" i="34"/>
  <c r="J84" i="34"/>
  <c r="I84" i="34"/>
  <c r="D84" i="34"/>
  <c r="J83" i="34"/>
  <c r="I83" i="34"/>
  <c r="D83" i="34"/>
  <c r="J82" i="34"/>
  <c r="I82" i="34"/>
  <c r="D82" i="34"/>
  <c r="J81" i="34"/>
  <c r="I81" i="34"/>
  <c r="D81" i="34"/>
  <c r="J80" i="34"/>
  <c r="I80" i="34"/>
  <c r="D80" i="34"/>
  <c r="J79" i="34"/>
  <c r="I79" i="34"/>
  <c r="D79" i="34"/>
  <c r="J78" i="34"/>
  <c r="I78" i="34"/>
  <c r="D78" i="34"/>
  <c r="J77" i="34"/>
  <c r="I77" i="34"/>
  <c r="D77" i="34"/>
  <c r="J76" i="34"/>
  <c r="I76" i="34"/>
  <c r="D76" i="34"/>
  <c r="J75" i="34"/>
  <c r="I75" i="34"/>
  <c r="D75" i="34"/>
  <c r="J74" i="34"/>
  <c r="I74" i="34"/>
  <c r="D74" i="34"/>
  <c r="J73" i="34"/>
  <c r="I73" i="34"/>
  <c r="D73" i="34"/>
  <c r="J72" i="34"/>
  <c r="I72" i="34"/>
  <c r="D72" i="34"/>
  <c r="J71" i="34"/>
  <c r="I71" i="34"/>
  <c r="D71" i="34"/>
  <c r="J70" i="34"/>
  <c r="I70" i="34"/>
  <c r="D70" i="34"/>
  <c r="J69" i="34"/>
  <c r="I69" i="34"/>
  <c r="D69" i="34"/>
  <c r="J68" i="34"/>
  <c r="I68" i="34"/>
  <c r="D68" i="34"/>
  <c r="J67" i="34"/>
  <c r="I67" i="34"/>
  <c r="D67" i="34"/>
  <c r="J66" i="34"/>
  <c r="I66" i="34"/>
  <c r="D66" i="34"/>
  <c r="J65" i="34"/>
  <c r="I65" i="34"/>
  <c r="D65" i="34"/>
  <c r="J64" i="34"/>
  <c r="I64" i="34"/>
  <c r="D64" i="34"/>
  <c r="J63" i="34"/>
  <c r="I63" i="34"/>
  <c r="D63" i="34"/>
  <c r="J62" i="34"/>
  <c r="I62" i="34"/>
  <c r="D62" i="34"/>
  <c r="J61" i="34"/>
  <c r="I61" i="34"/>
  <c r="D61" i="34"/>
  <c r="J60" i="34"/>
  <c r="I60" i="34"/>
  <c r="D60" i="34"/>
  <c r="J59" i="34"/>
  <c r="I59" i="34"/>
  <c r="D59" i="34"/>
  <c r="J58" i="34"/>
  <c r="I58" i="34"/>
  <c r="D58" i="34"/>
  <c r="J57" i="34"/>
  <c r="I57" i="34"/>
  <c r="D57" i="34"/>
  <c r="J56" i="34"/>
  <c r="I56" i="34"/>
  <c r="D56" i="34"/>
  <c r="J55" i="34"/>
  <c r="I55" i="34"/>
  <c r="D55" i="34"/>
  <c r="J54" i="34"/>
  <c r="I54" i="34"/>
  <c r="D54" i="34"/>
  <c r="J53" i="34"/>
  <c r="I53" i="34"/>
  <c r="D53" i="34"/>
  <c r="J52" i="34"/>
  <c r="I52" i="34"/>
  <c r="D52" i="34"/>
  <c r="J51" i="34"/>
  <c r="I51" i="34"/>
  <c r="D51" i="34"/>
  <c r="J50" i="34"/>
  <c r="I50" i="34"/>
  <c r="D50" i="34"/>
  <c r="J49" i="34"/>
  <c r="I49" i="34"/>
  <c r="D49" i="34"/>
  <c r="J48" i="34"/>
  <c r="I48" i="34"/>
  <c r="D48" i="34"/>
  <c r="J47" i="34"/>
  <c r="I47" i="34"/>
  <c r="D47" i="34"/>
  <c r="J46" i="34"/>
  <c r="I46" i="34"/>
  <c r="D46" i="34"/>
  <c r="J45" i="34"/>
  <c r="I45" i="34"/>
  <c r="D45" i="34"/>
  <c r="J44" i="34"/>
  <c r="I44" i="34"/>
  <c r="D44" i="34"/>
  <c r="J43" i="34"/>
  <c r="I43" i="34"/>
  <c r="D43" i="34"/>
  <c r="J42" i="34"/>
  <c r="I42" i="34"/>
  <c r="D42" i="34"/>
  <c r="J41" i="34"/>
  <c r="I41" i="34"/>
  <c r="D41" i="34"/>
  <c r="J40" i="34"/>
  <c r="I40" i="34"/>
  <c r="D40" i="34"/>
  <c r="J39" i="34"/>
  <c r="I39" i="34"/>
  <c r="D39" i="34"/>
  <c r="J38" i="34"/>
  <c r="I38" i="34"/>
  <c r="D38" i="34"/>
  <c r="J37" i="34"/>
  <c r="I37" i="34"/>
  <c r="D37" i="34"/>
  <c r="J36" i="34"/>
  <c r="I36" i="34"/>
  <c r="D36" i="34"/>
  <c r="J35" i="34"/>
  <c r="I35" i="34"/>
  <c r="D35" i="34"/>
  <c r="J34" i="34"/>
  <c r="I34" i="34"/>
  <c r="D34" i="34"/>
  <c r="J33" i="34"/>
  <c r="I33" i="34"/>
  <c r="D33" i="34"/>
  <c r="P32" i="34"/>
  <c r="J32" i="34"/>
  <c r="I32" i="34"/>
  <c r="D32" i="34"/>
  <c r="P31" i="34"/>
  <c r="J31" i="34"/>
  <c r="I31" i="34"/>
  <c r="D31" i="34"/>
  <c r="P30" i="34"/>
  <c r="J30" i="34"/>
  <c r="I30" i="34"/>
  <c r="D30" i="34"/>
  <c r="P29" i="34"/>
  <c r="J29" i="34"/>
  <c r="I29" i="34"/>
  <c r="D29" i="34"/>
  <c r="P28" i="34"/>
  <c r="P33" i="34" s="1"/>
  <c r="J28" i="34"/>
  <c r="I28" i="34"/>
  <c r="D28" i="34"/>
  <c r="J27" i="34"/>
  <c r="I27" i="34"/>
  <c r="D27" i="34"/>
  <c r="J26" i="34"/>
  <c r="I26" i="34"/>
  <c r="D26" i="34"/>
  <c r="P25" i="34"/>
  <c r="J25" i="34"/>
  <c r="I25" i="34"/>
  <c r="D25" i="34"/>
  <c r="P24" i="34"/>
  <c r="J24" i="34"/>
  <c r="I24" i="34"/>
  <c r="D24" i="34"/>
  <c r="P23" i="34"/>
  <c r="J23" i="34"/>
  <c r="I23" i="34"/>
  <c r="D23" i="34"/>
  <c r="P22" i="34"/>
  <c r="P26" i="34" s="1"/>
  <c r="J22" i="34"/>
  <c r="I22" i="34"/>
  <c r="D22" i="34"/>
  <c r="P21" i="34"/>
  <c r="J21" i="34"/>
  <c r="I21" i="34"/>
  <c r="D21" i="34"/>
  <c r="J20" i="34"/>
  <c r="I20" i="34"/>
  <c r="D20" i="34"/>
  <c r="M19" i="34"/>
  <c r="J19" i="34"/>
  <c r="I19" i="34"/>
  <c r="D19" i="34"/>
  <c r="J18" i="34"/>
  <c r="I18" i="34"/>
  <c r="D18" i="34"/>
  <c r="J17" i="34"/>
  <c r="I17" i="34"/>
  <c r="D17" i="34"/>
  <c r="J16" i="34"/>
  <c r="I16" i="34"/>
  <c r="D16" i="34"/>
  <c r="J15" i="34"/>
  <c r="I15" i="34"/>
  <c r="D15" i="34"/>
  <c r="J14" i="34"/>
  <c r="I14" i="34"/>
  <c r="D14" i="34"/>
  <c r="J13" i="34"/>
  <c r="I13" i="34"/>
  <c r="D13" i="34"/>
  <c r="J12" i="34"/>
  <c r="I12" i="34"/>
  <c r="D12" i="34"/>
  <c r="J11" i="34"/>
  <c r="I11" i="34"/>
  <c r="D11" i="34"/>
  <c r="J10" i="34"/>
  <c r="I10" i="34"/>
  <c r="D10" i="34"/>
  <c r="J9" i="34"/>
  <c r="I9" i="34"/>
  <c r="D9" i="34"/>
  <c r="J8" i="34"/>
  <c r="I8" i="34"/>
  <c r="D8" i="34"/>
  <c r="I7" i="34"/>
  <c r="J7" i="34" s="1"/>
  <c r="D7" i="34"/>
  <c r="J6" i="34"/>
  <c r="I6" i="34"/>
  <c r="D6" i="34"/>
  <c r="B2" i="34" a="1"/>
  <c r="B2" i="34" s="1"/>
  <c r="J488" i="33"/>
  <c r="I488" i="33"/>
  <c r="D488" i="33"/>
  <c r="J487" i="33"/>
  <c r="I487" i="33"/>
  <c r="D487" i="33"/>
  <c r="J486" i="33"/>
  <c r="I486" i="33"/>
  <c r="D486" i="33"/>
  <c r="J485" i="33"/>
  <c r="I485" i="33"/>
  <c r="D485" i="33"/>
  <c r="J484" i="33"/>
  <c r="I484" i="33"/>
  <c r="D484" i="33"/>
  <c r="J483" i="33"/>
  <c r="I483" i="33"/>
  <c r="D483" i="33"/>
  <c r="J482" i="33"/>
  <c r="I482" i="33"/>
  <c r="D482" i="33"/>
  <c r="J481" i="33"/>
  <c r="I481" i="33"/>
  <c r="D481" i="33"/>
  <c r="J480" i="33"/>
  <c r="I480" i="33"/>
  <c r="D480" i="33"/>
  <c r="J479" i="33"/>
  <c r="I479" i="33"/>
  <c r="D479" i="33"/>
  <c r="J478" i="33"/>
  <c r="I478" i="33"/>
  <c r="D478" i="33"/>
  <c r="J477" i="33"/>
  <c r="I477" i="33"/>
  <c r="D477" i="33"/>
  <c r="J476" i="33"/>
  <c r="I476" i="33"/>
  <c r="D476" i="33"/>
  <c r="J475" i="33"/>
  <c r="I475" i="33"/>
  <c r="D475" i="33"/>
  <c r="J474" i="33"/>
  <c r="I474" i="33"/>
  <c r="D474" i="33"/>
  <c r="J473" i="33"/>
  <c r="I473" i="33"/>
  <c r="D473" i="33"/>
  <c r="J472" i="33"/>
  <c r="I472" i="33"/>
  <c r="D472" i="33"/>
  <c r="J471" i="33"/>
  <c r="I471" i="33"/>
  <c r="D471" i="33"/>
  <c r="J470" i="33"/>
  <c r="I470" i="33"/>
  <c r="D470" i="33"/>
  <c r="J469" i="33"/>
  <c r="I469" i="33"/>
  <c r="D469" i="33"/>
  <c r="J468" i="33"/>
  <c r="I468" i="33"/>
  <c r="D468" i="33"/>
  <c r="J467" i="33"/>
  <c r="I467" i="33"/>
  <c r="D467" i="33"/>
  <c r="J466" i="33"/>
  <c r="I466" i="33"/>
  <c r="D466" i="33"/>
  <c r="J465" i="33"/>
  <c r="I465" i="33"/>
  <c r="D465" i="33"/>
  <c r="J464" i="33"/>
  <c r="I464" i="33"/>
  <c r="D464" i="33"/>
  <c r="J463" i="33"/>
  <c r="I463" i="33"/>
  <c r="D463" i="33"/>
  <c r="J462" i="33"/>
  <c r="I462" i="33"/>
  <c r="D462" i="33"/>
  <c r="J461" i="33"/>
  <c r="I461" i="33"/>
  <c r="D461" i="33"/>
  <c r="J460" i="33"/>
  <c r="I460" i="33"/>
  <c r="D460" i="33"/>
  <c r="J459" i="33"/>
  <c r="I459" i="33"/>
  <c r="D459" i="33"/>
  <c r="J458" i="33"/>
  <c r="I458" i="33"/>
  <c r="D458" i="33"/>
  <c r="J457" i="33"/>
  <c r="I457" i="33"/>
  <c r="D457" i="33"/>
  <c r="J456" i="33"/>
  <c r="I456" i="33"/>
  <c r="D456" i="33"/>
  <c r="J455" i="33"/>
  <c r="I455" i="33"/>
  <c r="D455" i="33"/>
  <c r="J454" i="33"/>
  <c r="I454" i="33"/>
  <c r="D454" i="33"/>
  <c r="J453" i="33"/>
  <c r="I453" i="33"/>
  <c r="D453" i="33"/>
  <c r="J452" i="33"/>
  <c r="I452" i="33"/>
  <c r="D452" i="33"/>
  <c r="J451" i="33"/>
  <c r="I451" i="33"/>
  <c r="D451" i="33"/>
  <c r="J450" i="33"/>
  <c r="I450" i="33"/>
  <c r="D450" i="33"/>
  <c r="J449" i="33"/>
  <c r="I449" i="33"/>
  <c r="D449" i="33"/>
  <c r="J448" i="33"/>
  <c r="I448" i="33"/>
  <c r="D448" i="33"/>
  <c r="J447" i="33"/>
  <c r="I447" i="33"/>
  <c r="D447" i="33"/>
  <c r="J446" i="33"/>
  <c r="I446" i="33"/>
  <c r="D446" i="33"/>
  <c r="J445" i="33"/>
  <c r="I445" i="33"/>
  <c r="D445" i="33"/>
  <c r="J444" i="33"/>
  <c r="I444" i="33"/>
  <c r="D444" i="33"/>
  <c r="J443" i="33"/>
  <c r="I443" i="33"/>
  <c r="D443" i="33"/>
  <c r="J442" i="33"/>
  <c r="I442" i="33"/>
  <c r="D442" i="33"/>
  <c r="J441" i="33"/>
  <c r="I441" i="33"/>
  <c r="D441" i="33"/>
  <c r="J440" i="33"/>
  <c r="I440" i="33"/>
  <c r="D440" i="33"/>
  <c r="J439" i="33"/>
  <c r="I439" i="33"/>
  <c r="D439" i="33"/>
  <c r="J438" i="33"/>
  <c r="I438" i="33"/>
  <c r="D438" i="33"/>
  <c r="J437" i="33"/>
  <c r="I437" i="33"/>
  <c r="D437" i="33"/>
  <c r="J436" i="33"/>
  <c r="I436" i="33"/>
  <c r="D436" i="33"/>
  <c r="J435" i="33"/>
  <c r="I435" i="33"/>
  <c r="D435" i="33"/>
  <c r="J434" i="33"/>
  <c r="I434" i="33"/>
  <c r="D434" i="33"/>
  <c r="J433" i="33"/>
  <c r="I433" i="33"/>
  <c r="D433" i="33"/>
  <c r="J432" i="33"/>
  <c r="I432" i="33"/>
  <c r="D432" i="33"/>
  <c r="J431" i="33"/>
  <c r="I431" i="33"/>
  <c r="D431" i="33"/>
  <c r="J430" i="33"/>
  <c r="I430" i="33"/>
  <c r="D430" i="33"/>
  <c r="J429" i="33"/>
  <c r="I429" i="33"/>
  <c r="D429" i="33"/>
  <c r="J428" i="33"/>
  <c r="I428" i="33"/>
  <c r="D428" i="33"/>
  <c r="J427" i="33"/>
  <c r="I427" i="33"/>
  <c r="D427" i="33"/>
  <c r="J426" i="33"/>
  <c r="I426" i="33"/>
  <c r="D426" i="33"/>
  <c r="J425" i="33"/>
  <c r="I425" i="33"/>
  <c r="D425" i="33"/>
  <c r="J424" i="33"/>
  <c r="I424" i="33"/>
  <c r="D424" i="33"/>
  <c r="J423" i="33"/>
  <c r="I423" i="33"/>
  <c r="D423" i="33"/>
  <c r="J422" i="33"/>
  <c r="I422" i="33"/>
  <c r="D422" i="33"/>
  <c r="J421" i="33"/>
  <c r="I421" i="33"/>
  <c r="D421" i="33"/>
  <c r="J420" i="33"/>
  <c r="I420" i="33"/>
  <c r="D420" i="33"/>
  <c r="J419" i="33"/>
  <c r="I419" i="33"/>
  <c r="D419" i="33"/>
  <c r="J418" i="33"/>
  <c r="I418" i="33"/>
  <c r="D418" i="33"/>
  <c r="J417" i="33"/>
  <c r="I417" i="33"/>
  <c r="D417" i="33"/>
  <c r="J416" i="33"/>
  <c r="I416" i="33"/>
  <c r="D416" i="33"/>
  <c r="J415" i="33"/>
  <c r="I415" i="33"/>
  <c r="D415" i="33"/>
  <c r="J414" i="33"/>
  <c r="I414" i="33"/>
  <c r="D414" i="33"/>
  <c r="J413" i="33"/>
  <c r="I413" i="33"/>
  <c r="D413" i="33"/>
  <c r="J412" i="33"/>
  <c r="I412" i="33"/>
  <c r="D412" i="33"/>
  <c r="J411" i="33"/>
  <c r="I411" i="33"/>
  <c r="D411" i="33"/>
  <c r="J410" i="33"/>
  <c r="I410" i="33"/>
  <c r="D410" i="33"/>
  <c r="J409" i="33"/>
  <c r="I409" i="33"/>
  <c r="D409" i="33"/>
  <c r="J408" i="33"/>
  <c r="I408" i="33"/>
  <c r="D408" i="33"/>
  <c r="J407" i="33"/>
  <c r="I407" i="33"/>
  <c r="D407" i="33"/>
  <c r="J406" i="33"/>
  <c r="I406" i="33"/>
  <c r="D406" i="33"/>
  <c r="J405" i="33"/>
  <c r="I405" i="33"/>
  <c r="D405" i="33"/>
  <c r="J404" i="33"/>
  <c r="I404" i="33"/>
  <c r="D404" i="33"/>
  <c r="J403" i="33"/>
  <c r="I403" i="33"/>
  <c r="D403" i="33"/>
  <c r="J402" i="33"/>
  <c r="I402" i="33"/>
  <c r="D402" i="33"/>
  <c r="J401" i="33"/>
  <c r="I401" i="33"/>
  <c r="D401" i="33"/>
  <c r="J400" i="33"/>
  <c r="I400" i="33"/>
  <c r="D400" i="33"/>
  <c r="J399" i="33"/>
  <c r="I399" i="33"/>
  <c r="D399" i="33"/>
  <c r="J398" i="33"/>
  <c r="I398" i="33"/>
  <c r="D398" i="33"/>
  <c r="J397" i="33"/>
  <c r="I397" i="33"/>
  <c r="D397" i="33"/>
  <c r="J396" i="33"/>
  <c r="I396" i="33"/>
  <c r="D396" i="33"/>
  <c r="J395" i="33"/>
  <c r="I395" i="33"/>
  <c r="D395" i="33"/>
  <c r="J394" i="33"/>
  <c r="I394" i="33"/>
  <c r="D394" i="33"/>
  <c r="J393" i="33"/>
  <c r="I393" i="33"/>
  <c r="D393" i="33"/>
  <c r="J392" i="33"/>
  <c r="I392" i="33"/>
  <c r="D392" i="33"/>
  <c r="J391" i="33"/>
  <c r="I391" i="33"/>
  <c r="D391" i="33"/>
  <c r="J390" i="33"/>
  <c r="I390" i="33"/>
  <c r="D390" i="33"/>
  <c r="J389" i="33"/>
  <c r="I389" i="33"/>
  <c r="D389" i="33"/>
  <c r="J388" i="33"/>
  <c r="I388" i="33"/>
  <c r="D388" i="33"/>
  <c r="J387" i="33"/>
  <c r="I387" i="33"/>
  <c r="D387" i="33"/>
  <c r="J386" i="33"/>
  <c r="I386" i="33"/>
  <c r="D386" i="33"/>
  <c r="J385" i="33"/>
  <c r="I385" i="33"/>
  <c r="D385" i="33"/>
  <c r="J384" i="33"/>
  <c r="I384" i="33"/>
  <c r="D384" i="33"/>
  <c r="J383" i="33"/>
  <c r="I383" i="33"/>
  <c r="D383" i="33"/>
  <c r="J382" i="33"/>
  <c r="I382" i="33"/>
  <c r="D382" i="33"/>
  <c r="J381" i="33"/>
  <c r="I381" i="33"/>
  <c r="D381" i="33"/>
  <c r="J380" i="33"/>
  <c r="I380" i="33"/>
  <c r="D380" i="33"/>
  <c r="J379" i="33"/>
  <c r="I379" i="33"/>
  <c r="D379" i="33"/>
  <c r="J378" i="33"/>
  <c r="I378" i="33"/>
  <c r="D378" i="33"/>
  <c r="J377" i="33"/>
  <c r="I377" i="33"/>
  <c r="D377" i="33"/>
  <c r="J376" i="33"/>
  <c r="I376" i="33"/>
  <c r="D376" i="33"/>
  <c r="J375" i="33"/>
  <c r="I375" i="33"/>
  <c r="D375" i="33"/>
  <c r="J374" i="33"/>
  <c r="I374" i="33"/>
  <c r="D374" i="33"/>
  <c r="J373" i="33"/>
  <c r="I373" i="33"/>
  <c r="D373" i="33"/>
  <c r="J372" i="33"/>
  <c r="I372" i="33"/>
  <c r="D372" i="33"/>
  <c r="J371" i="33"/>
  <c r="I371" i="33"/>
  <c r="D371" i="33"/>
  <c r="J370" i="33"/>
  <c r="I370" i="33"/>
  <c r="D370" i="33"/>
  <c r="J369" i="33"/>
  <c r="I369" i="33"/>
  <c r="D369" i="33"/>
  <c r="J368" i="33"/>
  <c r="I368" i="33"/>
  <c r="D368" i="33"/>
  <c r="J367" i="33"/>
  <c r="I367" i="33"/>
  <c r="D367" i="33"/>
  <c r="J366" i="33"/>
  <c r="I366" i="33"/>
  <c r="D366" i="33"/>
  <c r="J365" i="33"/>
  <c r="I365" i="33"/>
  <c r="D365" i="33"/>
  <c r="J364" i="33"/>
  <c r="I364" i="33"/>
  <c r="D364" i="33"/>
  <c r="J363" i="33"/>
  <c r="I363" i="33"/>
  <c r="D363" i="33"/>
  <c r="J362" i="33"/>
  <c r="I362" i="33"/>
  <c r="D362" i="33"/>
  <c r="J361" i="33"/>
  <c r="I361" i="33"/>
  <c r="D361" i="33"/>
  <c r="J360" i="33"/>
  <c r="I360" i="33"/>
  <c r="D360" i="33"/>
  <c r="J359" i="33"/>
  <c r="I359" i="33"/>
  <c r="D359" i="33"/>
  <c r="J358" i="33"/>
  <c r="I358" i="33"/>
  <c r="D358" i="33"/>
  <c r="J357" i="33"/>
  <c r="I357" i="33"/>
  <c r="D357" i="33"/>
  <c r="J356" i="33"/>
  <c r="I356" i="33"/>
  <c r="D356" i="33"/>
  <c r="J355" i="33"/>
  <c r="I355" i="33"/>
  <c r="D355" i="33"/>
  <c r="J354" i="33"/>
  <c r="I354" i="33"/>
  <c r="D354" i="33"/>
  <c r="J353" i="33"/>
  <c r="I353" i="33"/>
  <c r="D353" i="33"/>
  <c r="J352" i="33"/>
  <c r="I352" i="33"/>
  <c r="D352" i="33"/>
  <c r="J351" i="33"/>
  <c r="I351" i="33"/>
  <c r="D351" i="33"/>
  <c r="J350" i="33"/>
  <c r="I350" i="33"/>
  <c r="D350" i="33"/>
  <c r="J349" i="33"/>
  <c r="I349" i="33"/>
  <c r="D349" i="33"/>
  <c r="J348" i="33"/>
  <c r="I348" i="33"/>
  <c r="D348" i="33"/>
  <c r="J347" i="33"/>
  <c r="I347" i="33"/>
  <c r="D347" i="33"/>
  <c r="J346" i="33"/>
  <c r="I346" i="33"/>
  <c r="D346" i="33"/>
  <c r="J345" i="33"/>
  <c r="I345" i="33"/>
  <c r="D345" i="33"/>
  <c r="J344" i="33"/>
  <c r="I344" i="33"/>
  <c r="D344" i="33"/>
  <c r="J343" i="33"/>
  <c r="I343" i="33"/>
  <c r="D343" i="33"/>
  <c r="J342" i="33"/>
  <c r="I342" i="33"/>
  <c r="D342" i="33"/>
  <c r="J341" i="33"/>
  <c r="I341" i="33"/>
  <c r="D341" i="33"/>
  <c r="J340" i="33"/>
  <c r="I340" i="33"/>
  <c r="D340" i="33"/>
  <c r="J339" i="33"/>
  <c r="I339" i="33"/>
  <c r="D339" i="33"/>
  <c r="J338" i="33"/>
  <c r="I338" i="33"/>
  <c r="D338" i="33"/>
  <c r="J337" i="33"/>
  <c r="I337" i="33"/>
  <c r="D337" i="33"/>
  <c r="J336" i="33"/>
  <c r="I336" i="33"/>
  <c r="D336" i="33"/>
  <c r="J335" i="33"/>
  <c r="I335" i="33"/>
  <c r="D335" i="33"/>
  <c r="J334" i="33"/>
  <c r="I334" i="33"/>
  <c r="D334" i="33"/>
  <c r="J333" i="33"/>
  <c r="I333" i="33"/>
  <c r="D333" i="33"/>
  <c r="J332" i="33"/>
  <c r="I332" i="33"/>
  <c r="D332" i="33"/>
  <c r="J331" i="33"/>
  <c r="I331" i="33"/>
  <c r="D331" i="33"/>
  <c r="J330" i="33"/>
  <c r="I330" i="33"/>
  <c r="D330" i="33"/>
  <c r="J329" i="33"/>
  <c r="I329" i="33"/>
  <c r="D329" i="33"/>
  <c r="J328" i="33"/>
  <c r="I328" i="33"/>
  <c r="D328" i="33"/>
  <c r="J327" i="33"/>
  <c r="I327" i="33"/>
  <c r="D327" i="33"/>
  <c r="J326" i="33"/>
  <c r="I326" i="33"/>
  <c r="D326" i="33"/>
  <c r="J325" i="33"/>
  <c r="I325" i="33"/>
  <c r="D325" i="33"/>
  <c r="J324" i="33"/>
  <c r="I324" i="33"/>
  <c r="D324" i="33"/>
  <c r="J323" i="33"/>
  <c r="I323" i="33"/>
  <c r="D323" i="33"/>
  <c r="J322" i="33"/>
  <c r="I322" i="33"/>
  <c r="D322" i="33"/>
  <c r="J321" i="33"/>
  <c r="I321" i="33"/>
  <c r="D321" i="33"/>
  <c r="J320" i="33"/>
  <c r="I320" i="33"/>
  <c r="D320" i="33"/>
  <c r="J319" i="33"/>
  <c r="I319" i="33"/>
  <c r="D319" i="33"/>
  <c r="J318" i="33"/>
  <c r="I318" i="33"/>
  <c r="D318" i="33"/>
  <c r="J317" i="33"/>
  <c r="I317" i="33"/>
  <c r="D317" i="33"/>
  <c r="J316" i="33"/>
  <c r="I316" i="33"/>
  <c r="D316" i="33"/>
  <c r="J315" i="33"/>
  <c r="I315" i="33"/>
  <c r="D315" i="33"/>
  <c r="J314" i="33"/>
  <c r="I314" i="33"/>
  <c r="D314" i="33"/>
  <c r="J313" i="33"/>
  <c r="I313" i="33"/>
  <c r="D313" i="33"/>
  <c r="J312" i="33"/>
  <c r="I312" i="33"/>
  <c r="D312" i="33"/>
  <c r="J311" i="33"/>
  <c r="I311" i="33"/>
  <c r="D311" i="33"/>
  <c r="J310" i="33"/>
  <c r="I310" i="33"/>
  <c r="D310" i="33"/>
  <c r="J309" i="33"/>
  <c r="I309" i="33"/>
  <c r="D309" i="33"/>
  <c r="J308" i="33"/>
  <c r="I308" i="33"/>
  <c r="D308" i="33"/>
  <c r="J307" i="33"/>
  <c r="I307" i="33"/>
  <c r="D307" i="33"/>
  <c r="J306" i="33"/>
  <c r="I306" i="33"/>
  <c r="D306" i="33"/>
  <c r="J305" i="33"/>
  <c r="I305" i="33"/>
  <c r="D305" i="33"/>
  <c r="J304" i="33"/>
  <c r="I304" i="33"/>
  <c r="D304" i="33"/>
  <c r="J303" i="33"/>
  <c r="I303" i="33"/>
  <c r="D303" i="33"/>
  <c r="J302" i="33"/>
  <c r="I302" i="33"/>
  <c r="D302" i="33"/>
  <c r="J301" i="33"/>
  <c r="I301" i="33"/>
  <c r="D301" i="33"/>
  <c r="J300" i="33"/>
  <c r="I300" i="33"/>
  <c r="D300" i="33"/>
  <c r="J299" i="33"/>
  <c r="I299" i="33"/>
  <c r="D299" i="33"/>
  <c r="J298" i="33"/>
  <c r="I298" i="33"/>
  <c r="D298" i="33"/>
  <c r="J297" i="33"/>
  <c r="I297" i="33"/>
  <c r="D297" i="33"/>
  <c r="J296" i="33"/>
  <c r="I296" i="33"/>
  <c r="D296" i="33"/>
  <c r="J295" i="33"/>
  <c r="I295" i="33"/>
  <c r="D295" i="33"/>
  <c r="J294" i="33"/>
  <c r="I294" i="33"/>
  <c r="D294" i="33"/>
  <c r="J293" i="33"/>
  <c r="I293" i="33"/>
  <c r="D293" i="33"/>
  <c r="J292" i="33"/>
  <c r="I292" i="33"/>
  <c r="D292" i="33"/>
  <c r="J291" i="33"/>
  <c r="I291" i="33"/>
  <c r="D291" i="33"/>
  <c r="J290" i="33"/>
  <c r="I290" i="33"/>
  <c r="D290" i="33"/>
  <c r="J289" i="33"/>
  <c r="I289" i="33"/>
  <c r="D289" i="33"/>
  <c r="J288" i="33"/>
  <c r="I288" i="33"/>
  <c r="D288" i="33"/>
  <c r="J287" i="33"/>
  <c r="I287" i="33"/>
  <c r="D287" i="33"/>
  <c r="J286" i="33"/>
  <c r="I286" i="33"/>
  <c r="D286" i="33"/>
  <c r="J285" i="33"/>
  <c r="I285" i="33"/>
  <c r="D285" i="33"/>
  <c r="J284" i="33"/>
  <c r="I284" i="33"/>
  <c r="D284" i="33"/>
  <c r="J283" i="33"/>
  <c r="I283" i="33"/>
  <c r="D283" i="33"/>
  <c r="J282" i="33"/>
  <c r="I282" i="33"/>
  <c r="D282" i="33"/>
  <c r="J281" i="33"/>
  <c r="I281" i="33"/>
  <c r="D281" i="33"/>
  <c r="J280" i="33"/>
  <c r="I280" i="33"/>
  <c r="D280" i="33"/>
  <c r="J279" i="33"/>
  <c r="I279" i="33"/>
  <c r="D279" i="33"/>
  <c r="J278" i="33"/>
  <c r="I278" i="33"/>
  <c r="D278" i="33"/>
  <c r="J277" i="33"/>
  <c r="I277" i="33"/>
  <c r="D277" i="33"/>
  <c r="J276" i="33"/>
  <c r="I276" i="33"/>
  <c r="D276" i="33"/>
  <c r="J275" i="33"/>
  <c r="I275" i="33"/>
  <c r="D275" i="33"/>
  <c r="J274" i="33"/>
  <c r="I274" i="33"/>
  <c r="D274" i="33"/>
  <c r="J273" i="33"/>
  <c r="I273" i="33"/>
  <c r="D273" i="33"/>
  <c r="J272" i="33"/>
  <c r="I272" i="33"/>
  <c r="D272" i="33"/>
  <c r="J271" i="33"/>
  <c r="I271" i="33"/>
  <c r="D271" i="33"/>
  <c r="J270" i="33"/>
  <c r="I270" i="33"/>
  <c r="D270" i="33"/>
  <c r="J269" i="33"/>
  <c r="I269" i="33"/>
  <c r="D269" i="33"/>
  <c r="J268" i="33"/>
  <c r="I268" i="33"/>
  <c r="D268" i="33"/>
  <c r="J267" i="33"/>
  <c r="I267" i="33"/>
  <c r="D267" i="33"/>
  <c r="J266" i="33"/>
  <c r="I266" i="33"/>
  <c r="D266" i="33"/>
  <c r="J265" i="33"/>
  <c r="I265" i="33"/>
  <c r="D265" i="33"/>
  <c r="J264" i="33"/>
  <c r="I264" i="33"/>
  <c r="D264" i="33"/>
  <c r="J263" i="33"/>
  <c r="I263" i="33"/>
  <c r="D263" i="33"/>
  <c r="J262" i="33"/>
  <c r="I262" i="33"/>
  <c r="D262" i="33"/>
  <c r="J261" i="33"/>
  <c r="I261" i="33"/>
  <c r="D261" i="33"/>
  <c r="J260" i="33"/>
  <c r="I260" i="33"/>
  <c r="D260" i="33"/>
  <c r="J259" i="33"/>
  <c r="I259" i="33"/>
  <c r="D259" i="33"/>
  <c r="J258" i="33"/>
  <c r="I258" i="33"/>
  <c r="D258" i="33"/>
  <c r="J257" i="33"/>
  <c r="I257" i="33"/>
  <c r="D257" i="33"/>
  <c r="J256" i="33"/>
  <c r="I256" i="33"/>
  <c r="D256" i="33"/>
  <c r="J255" i="33"/>
  <c r="I255" i="33"/>
  <c r="D255" i="33"/>
  <c r="J254" i="33"/>
  <c r="I254" i="33"/>
  <c r="D254" i="33"/>
  <c r="J253" i="33"/>
  <c r="I253" i="33"/>
  <c r="D253" i="33"/>
  <c r="J252" i="33"/>
  <c r="I252" i="33"/>
  <c r="D252" i="33"/>
  <c r="J251" i="33"/>
  <c r="I251" i="33"/>
  <c r="D251" i="33"/>
  <c r="J250" i="33"/>
  <c r="I250" i="33"/>
  <c r="D250" i="33"/>
  <c r="J249" i="33"/>
  <c r="I249" i="33"/>
  <c r="D249" i="33"/>
  <c r="J248" i="33"/>
  <c r="I248" i="33"/>
  <c r="D248" i="33"/>
  <c r="J247" i="33"/>
  <c r="I247" i="33"/>
  <c r="D247" i="33"/>
  <c r="J246" i="33"/>
  <c r="I246" i="33"/>
  <c r="D246" i="33"/>
  <c r="J245" i="33"/>
  <c r="I245" i="33"/>
  <c r="D245" i="33"/>
  <c r="J244" i="33"/>
  <c r="I244" i="33"/>
  <c r="D244" i="33"/>
  <c r="J243" i="33"/>
  <c r="I243" i="33"/>
  <c r="D243" i="33"/>
  <c r="J242" i="33"/>
  <c r="I242" i="33"/>
  <c r="D242" i="33"/>
  <c r="J241" i="33"/>
  <c r="I241" i="33"/>
  <c r="D241" i="33"/>
  <c r="J240" i="33"/>
  <c r="I240" i="33"/>
  <c r="D240" i="33"/>
  <c r="J239" i="33"/>
  <c r="I239" i="33"/>
  <c r="D239" i="33"/>
  <c r="J238" i="33"/>
  <c r="I238" i="33"/>
  <c r="D238" i="33"/>
  <c r="J237" i="33"/>
  <c r="I237" i="33"/>
  <c r="D237" i="33"/>
  <c r="J236" i="33"/>
  <c r="I236" i="33"/>
  <c r="D236" i="33"/>
  <c r="J235" i="33"/>
  <c r="I235" i="33"/>
  <c r="D235" i="33"/>
  <c r="J234" i="33"/>
  <c r="I234" i="33"/>
  <c r="D234" i="33"/>
  <c r="J233" i="33"/>
  <c r="I233" i="33"/>
  <c r="D233" i="33"/>
  <c r="J232" i="33"/>
  <c r="I232" i="33"/>
  <c r="D232" i="33"/>
  <c r="J231" i="33"/>
  <c r="I231" i="33"/>
  <c r="D231" i="33"/>
  <c r="J230" i="33"/>
  <c r="I230" i="33"/>
  <c r="D230" i="33"/>
  <c r="J229" i="33"/>
  <c r="I229" i="33"/>
  <c r="D229" i="33"/>
  <c r="J228" i="33"/>
  <c r="I228" i="33"/>
  <c r="D228" i="33"/>
  <c r="J227" i="33"/>
  <c r="I227" i="33"/>
  <c r="D227" i="33"/>
  <c r="J226" i="33"/>
  <c r="I226" i="33"/>
  <c r="D226" i="33"/>
  <c r="J225" i="33"/>
  <c r="I225" i="33"/>
  <c r="D225" i="33"/>
  <c r="J224" i="33"/>
  <c r="I224" i="33"/>
  <c r="D224" i="33"/>
  <c r="J223" i="33"/>
  <c r="I223" i="33"/>
  <c r="D223" i="33"/>
  <c r="J222" i="33"/>
  <c r="I222" i="33"/>
  <c r="D222" i="33"/>
  <c r="J221" i="33"/>
  <c r="I221" i="33"/>
  <c r="D221" i="33"/>
  <c r="J220" i="33"/>
  <c r="I220" i="33"/>
  <c r="D220" i="33"/>
  <c r="J219" i="33"/>
  <c r="I219" i="33"/>
  <c r="D219" i="33"/>
  <c r="J218" i="33"/>
  <c r="I218" i="33"/>
  <c r="D218" i="33"/>
  <c r="J217" i="33"/>
  <c r="I217" i="33"/>
  <c r="D217" i="33"/>
  <c r="J216" i="33"/>
  <c r="I216" i="33"/>
  <c r="D216" i="33"/>
  <c r="J215" i="33"/>
  <c r="I215" i="33"/>
  <c r="D215" i="33"/>
  <c r="J214" i="33"/>
  <c r="I214" i="33"/>
  <c r="D214" i="33"/>
  <c r="J213" i="33"/>
  <c r="I213" i="33"/>
  <c r="D213" i="33"/>
  <c r="J212" i="33"/>
  <c r="I212" i="33"/>
  <c r="D212" i="33"/>
  <c r="J211" i="33"/>
  <c r="I211" i="33"/>
  <c r="D211" i="33"/>
  <c r="J210" i="33"/>
  <c r="I210" i="33"/>
  <c r="D210" i="33"/>
  <c r="J209" i="33"/>
  <c r="I209" i="33"/>
  <c r="D209" i="33"/>
  <c r="J208" i="33"/>
  <c r="I208" i="33"/>
  <c r="D208" i="33"/>
  <c r="J207" i="33"/>
  <c r="I207" i="33"/>
  <c r="D207" i="33"/>
  <c r="J206" i="33"/>
  <c r="I206" i="33"/>
  <c r="D206" i="33"/>
  <c r="J205" i="33"/>
  <c r="I205" i="33"/>
  <c r="D205" i="33"/>
  <c r="J204" i="33"/>
  <c r="I204" i="33"/>
  <c r="D204" i="33"/>
  <c r="J203" i="33"/>
  <c r="I203" i="33"/>
  <c r="D203" i="33"/>
  <c r="J202" i="33"/>
  <c r="I202" i="33"/>
  <c r="D202" i="33"/>
  <c r="J201" i="33"/>
  <c r="I201" i="33"/>
  <c r="D201" i="33"/>
  <c r="J200" i="33"/>
  <c r="I200" i="33"/>
  <c r="D200" i="33"/>
  <c r="J199" i="33"/>
  <c r="I199" i="33"/>
  <c r="D199" i="33"/>
  <c r="J198" i="33"/>
  <c r="I198" i="33"/>
  <c r="D198" i="33"/>
  <c r="J197" i="33"/>
  <c r="I197" i="33"/>
  <c r="D197" i="33"/>
  <c r="J196" i="33"/>
  <c r="I196" i="33"/>
  <c r="D196" i="33"/>
  <c r="J195" i="33"/>
  <c r="I195" i="33"/>
  <c r="D195" i="33"/>
  <c r="J194" i="33"/>
  <c r="I194" i="33"/>
  <c r="D194" i="33"/>
  <c r="J193" i="33"/>
  <c r="I193" i="33"/>
  <c r="D193" i="33"/>
  <c r="J192" i="33"/>
  <c r="I192" i="33"/>
  <c r="D192" i="33"/>
  <c r="J191" i="33"/>
  <c r="I191" i="33"/>
  <c r="D191" i="33"/>
  <c r="J190" i="33"/>
  <c r="I190" i="33"/>
  <c r="D190" i="33"/>
  <c r="J189" i="33"/>
  <c r="I189" i="33"/>
  <c r="D189" i="33"/>
  <c r="J188" i="33"/>
  <c r="I188" i="33"/>
  <c r="D188" i="33"/>
  <c r="J187" i="33"/>
  <c r="I187" i="33"/>
  <c r="D187" i="33"/>
  <c r="J186" i="33"/>
  <c r="I186" i="33"/>
  <c r="D186" i="33"/>
  <c r="J185" i="33"/>
  <c r="I185" i="33"/>
  <c r="D185" i="33"/>
  <c r="J184" i="33"/>
  <c r="I184" i="33"/>
  <c r="D184" i="33"/>
  <c r="J183" i="33"/>
  <c r="I183" i="33"/>
  <c r="D183" i="33"/>
  <c r="J182" i="33"/>
  <c r="I182" i="33"/>
  <c r="D182" i="33"/>
  <c r="J181" i="33"/>
  <c r="I181" i="33"/>
  <c r="D181" i="33"/>
  <c r="J180" i="33"/>
  <c r="I180" i="33"/>
  <c r="D180" i="33"/>
  <c r="J179" i="33"/>
  <c r="I179" i="33"/>
  <c r="D179" i="33"/>
  <c r="J178" i="33"/>
  <c r="I178" i="33"/>
  <c r="D178" i="33"/>
  <c r="J177" i="33"/>
  <c r="I177" i="33"/>
  <c r="D177" i="33"/>
  <c r="J176" i="33"/>
  <c r="I176" i="33"/>
  <c r="D176" i="33"/>
  <c r="J175" i="33"/>
  <c r="I175" i="33"/>
  <c r="D175" i="33"/>
  <c r="J174" i="33"/>
  <c r="I174" i="33"/>
  <c r="D174" i="33"/>
  <c r="J173" i="33"/>
  <c r="I173" i="33"/>
  <c r="D173" i="33"/>
  <c r="J172" i="33"/>
  <c r="I172" i="33"/>
  <c r="D172" i="33"/>
  <c r="J171" i="33"/>
  <c r="I171" i="33"/>
  <c r="D171" i="33"/>
  <c r="J170" i="33"/>
  <c r="I170" i="33"/>
  <c r="D170" i="33"/>
  <c r="J169" i="33"/>
  <c r="I169" i="33"/>
  <c r="D169" i="33"/>
  <c r="J168" i="33"/>
  <c r="I168" i="33"/>
  <c r="D168" i="33"/>
  <c r="J167" i="33"/>
  <c r="I167" i="33"/>
  <c r="D167" i="33"/>
  <c r="J166" i="33"/>
  <c r="I166" i="33"/>
  <c r="D166" i="33"/>
  <c r="J165" i="33"/>
  <c r="I165" i="33"/>
  <c r="D165" i="33"/>
  <c r="J164" i="33"/>
  <c r="I164" i="33"/>
  <c r="D164" i="33"/>
  <c r="J163" i="33"/>
  <c r="I163" i="33"/>
  <c r="D163" i="33"/>
  <c r="J162" i="33"/>
  <c r="I162" i="33"/>
  <c r="D162" i="33"/>
  <c r="J161" i="33"/>
  <c r="I161" i="33"/>
  <c r="D161" i="33"/>
  <c r="J160" i="33"/>
  <c r="I160" i="33"/>
  <c r="D160" i="33"/>
  <c r="J159" i="33"/>
  <c r="I159" i="33"/>
  <c r="D159" i="33"/>
  <c r="J158" i="33"/>
  <c r="I158" i="33"/>
  <c r="D158" i="33"/>
  <c r="J157" i="33"/>
  <c r="I157" i="33"/>
  <c r="D157" i="33"/>
  <c r="J156" i="33"/>
  <c r="I156" i="33"/>
  <c r="D156" i="33"/>
  <c r="J155" i="33"/>
  <c r="I155" i="33"/>
  <c r="D155" i="33"/>
  <c r="J154" i="33"/>
  <c r="I154" i="33"/>
  <c r="D154" i="33"/>
  <c r="J153" i="33"/>
  <c r="I153" i="33"/>
  <c r="D153" i="33"/>
  <c r="J152" i="33"/>
  <c r="I152" i="33"/>
  <c r="D152" i="33"/>
  <c r="J151" i="33"/>
  <c r="I151" i="33"/>
  <c r="D151" i="33"/>
  <c r="J150" i="33"/>
  <c r="I150" i="33"/>
  <c r="D150" i="33"/>
  <c r="J149" i="33"/>
  <c r="I149" i="33"/>
  <c r="D149" i="33"/>
  <c r="J148" i="33"/>
  <c r="I148" i="33"/>
  <c r="D148" i="33"/>
  <c r="J147" i="33"/>
  <c r="I147" i="33"/>
  <c r="D147" i="33"/>
  <c r="J146" i="33"/>
  <c r="I146" i="33"/>
  <c r="D146" i="33"/>
  <c r="J145" i="33"/>
  <c r="I145" i="33"/>
  <c r="D145" i="33"/>
  <c r="J144" i="33"/>
  <c r="I144" i="33"/>
  <c r="D144" i="33"/>
  <c r="J143" i="33"/>
  <c r="I143" i="33"/>
  <c r="D143" i="33"/>
  <c r="J142" i="33"/>
  <c r="I142" i="33"/>
  <c r="D142" i="33"/>
  <c r="J141" i="33"/>
  <c r="I141" i="33"/>
  <c r="D141" i="33"/>
  <c r="J140" i="33"/>
  <c r="I140" i="33"/>
  <c r="D140" i="33"/>
  <c r="J139" i="33"/>
  <c r="I139" i="33"/>
  <c r="D139" i="33"/>
  <c r="J138" i="33"/>
  <c r="I138" i="33"/>
  <c r="D138" i="33"/>
  <c r="J137" i="33"/>
  <c r="I137" i="33"/>
  <c r="D137" i="33"/>
  <c r="J136" i="33"/>
  <c r="I136" i="33"/>
  <c r="D136" i="33"/>
  <c r="J135" i="33"/>
  <c r="I135" i="33"/>
  <c r="D135" i="33"/>
  <c r="J134" i="33"/>
  <c r="I134" i="33"/>
  <c r="D134" i="33"/>
  <c r="J133" i="33"/>
  <c r="I133" i="33"/>
  <c r="D133" i="33"/>
  <c r="J132" i="33"/>
  <c r="I132" i="33"/>
  <c r="D132" i="33"/>
  <c r="J131" i="33"/>
  <c r="I131" i="33"/>
  <c r="D131" i="33"/>
  <c r="J130" i="33"/>
  <c r="I130" i="33"/>
  <c r="D130" i="33"/>
  <c r="J129" i="33"/>
  <c r="I129" i="33"/>
  <c r="D129" i="33"/>
  <c r="J128" i="33"/>
  <c r="I128" i="33"/>
  <c r="D128" i="33"/>
  <c r="J127" i="33"/>
  <c r="I127" i="33"/>
  <c r="D127" i="33"/>
  <c r="J126" i="33"/>
  <c r="I126" i="33"/>
  <c r="D126" i="33"/>
  <c r="J125" i="33"/>
  <c r="I125" i="33"/>
  <c r="D125" i="33"/>
  <c r="J124" i="33"/>
  <c r="I124" i="33"/>
  <c r="D124" i="33"/>
  <c r="J123" i="33"/>
  <c r="I123" i="33"/>
  <c r="D123" i="33"/>
  <c r="J122" i="33"/>
  <c r="I122" i="33"/>
  <c r="D122" i="33"/>
  <c r="J121" i="33"/>
  <c r="I121" i="33"/>
  <c r="D121" i="33"/>
  <c r="J120" i="33"/>
  <c r="I120" i="33"/>
  <c r="D120" i="33"/>
  <c r="J119" i="33"/>
  <c r="I119" i="33"/>
  <c r="D119" i="33"/>
  <c r="J118" i="33"/>
  <c r="I118" i="33"/>
  <c r="D118" i="33"/>
  <c r="J117" i="33"/>
  <c r="I117" i="33"/>
  <c r="D117" i="33"/>
  <c r="J116" i="33"/>
  <c r="I116" i="33"/>
  <c r="D116" i="33"/>
  <c r="J115" i="33"/>
  <c r="I115" i="33"/>
  <c r="D115" i="33"/>
  <c r="J114" i="33"/>
  <c r="I114" i="33"/>
  <c r="D114" i="33"/>
  <c r="J113" i="33"/>
  <c r="I113" i="33"/>
  <c r="D113" i="33"/>
  <c r="J112" i="33"/>
  <c r="I112" i="33"/>
  <c r="D112" i="33"/>
  <c r="J111" i="33"/>
  <c r="I111" i="33"/>
  <c r="D111" i="33"/>
  <c r="J110" i="33"/>
  <c r="I110" i="33"/>
  <c r="D110" i="33"/>
  <c r="J109" i="33"/>
  <c r="I109" i="33"/>
  <c r="D109" i="33"/>
  <c r="J108" i="33"/>
  <c r="I108" i="33"/>
  <c r="D108" i="33"/>
  <c r="J107" i="33"/>
  <c r="I107" i="33"/>
  <c r="D107" i="33"/>
  <c r="J106" i="33"/>
  <c r="I106" i="33"/>
  <c r="D106" i="33"/>
  <c r="J105" i="33"/>
  <c r="I105" i="33"/>
  <c r="D105" i="33"/>
  <c r="J104" i="33"/>
  <c r="I104" i="33"/>
  <c r="D104" i="33"/>
  <c r="J103" i="33"/>
  <c r="I103" i="33"/>
  <c r="D103" i="33"/>
  <c r="J102" i="33"/>
  <c r="I102" i="33"/>
  <c r="D102" i="33"/>
  <c r="J101" i="33"/>
  <c r="I101" i="33"/>
  <c r="D101" i="33"/>
  <c r="J100" i="33"/>
  <c r="I100" i="33"/>
  <c r="D100" i="33"/>
  <c r="J99" i="33"/>
  <c r="I99" i="33"/>
  <c r="D99" i="33"/>
  <c r="J98" i="33"/>
  <c r="I98" i="33"/>
  <c r="D98" i="33"/>
  <c r="J97" i="33"/>
  <c r="I97" i="33"/>
  <c r="D97" i="33"/>
  <c r="J96" i="33"/>
  <c r="I96" i="33"/>
  <c r="D96" i="33"/>
  <c r="J95" i="33"/>
  <c r="I95" i="33"/>
  <c r="D95" i="33"/>
  <c r="J94" i="33"/>
  <c r="I94" i="33"/>
  <c r="D94" i="33"/>
  <c r="J93" i="33"/>
  <c r="I93" i="33"/>
  <c r="D93" i="33"/>
  <c r="J92" i="33"/>
  <c r="I92" i="33"/>
  <c r="D92" i="33"/>
  <c r="J91" i="33"/>
  <c r="I91" i="33"/>
  <c r="D91" i="33"/>
  <c r="J90" i="33"/>
  <c r="I90" i="33"/>
  <c r="D90" i="33"/>
  <c r="J89" i="33"/>
  <c r="I89" i="33"/>
  <c r="D89" i="33"/>
  <c r="J88" i="33"/>
  <c r="I88" i="33"/>
  <c r="D88" i="33"/>
  <c r="J87" i="33"/>
  <c r="I87" i="33"/>
  <c r="D87" i="33"/>
  <c r="J86" i="33"/>
  <c r="I86" i="33"/>
  <c r="D86" i="33"/>
  <c r="J85" i="33"/>
  <c r="I85" i="33"/>
  <c r="D85" i="33"/>
  <c r="J84" i="33"/>
  <c r="I84" i="33"/>
  <c r="D84" i="33"/>
  <c r="J83" i="33"/>
  <c r="I83" i="33"/>
  <c r="D83" i="33"/>
  <c r="J82" i="33"/>
  <c r="I82" i="33"/>
  <c r="D82" i="33"/>
  <c r="J81" i="33"/>
  <c r="I81" i="33"/>
  <c r="D81" i="33"/>
  <c r="J80" i="33"/>
  <c r="I80" i="33"/>
  <c r="D80" i="33"/>
  <c r="J79" i="33"/>
  <c r="I79" i="33"/>
  <c r="D79" i="33"/>
  <c r="J78" i="33"/>
  <c r="I78" i="33"/>
  <c r="D78" i="33"/>
  <c r="J77" i="33"/>
  <c r="I77" i="33"/>
  <c r="D77" i="33"/>
  <c r="J76" i="33"/>
  <c r="I76" i="33"/>
  <c r="D76" i="33"/>
  <c r="J75" i="33"/>
  <c r="I75" i="33"/>
  <c r="D75" i="33"/>
  <c r="J74" i="33"/>
  <c r="I74" i="33"/>
  <c r="D74" i="33"/>
  <c r="J73" i="33"/>
  <c r="I73" i="33"/>
  <c r="D73" i="33"/>
  <c r="J72" i="33"/>
  <c r="I72" i="33"/>
  <c r="D72" i="33"/>
  <c r="J71" i="33"/>
  <c r="I71" i="33"/>
  <c r="D71" i="33"/>
  <c r="J70" i="33"/>
  <c r="I70" i="33"/>
  <c r="D70" i="33"/>
  <c r="J69" i="33"/>
  <c r="I69" i="33"/>
  <c r="D69" i="33"/>
  <c r="J68" i="33"/>
  <c r="I68" i="33"/>
  <c r="D68" i="33"/>
  <c r="J67" i="33"/>
  <c r="I67" i="33"/>
  <c r="D67" i="33"/>
  <c r="J66" i="33"/>
  <c r="I66" i="33"/>
  <c r="D66" i="33"/>
  <c r="J65" i="33"/>
  <c r="I65" i="33"/>
  <c r="D65" i="33"/>
  <c r="J64" i="33"/>
  <c r="I64" i="33"/>
  <c r="D64" i="33"/>
  <c r="J63" i="33"/>
  <c r="I63" i="33"/>
  <c r="D63" i="33"/>
  <c r="J62" i="33"/>
  <c r="I62" i="33"/>
  <c r="D62" i="33"/>
  <c r="J61" i="33"/>
  <c r="I61" i="33"/>
  <c r="D61" i="33"/>
  <c r="J60" i="33"/>
  <c r="I60" i="33"/>
  <c r="D60" i="33"/>
  <c r="J59" i="33"/>
  <c r="I59" i="33"/>
  <c r="D59" i="33"/>
  <c r="J58" i="33"/>
  <c r="I58" i="33"/>
  <c r="D58" i="33"/>
  <c r="J57" i="33"/>
  <c r="I57" i="33"/>
  <c r="D57" i="33"/>
  <c r="J56" i="33"/>
  <c r="I56" i="33"/>
  <c r="D56" i="33"/>
  <c r="J55" i="33"/>
  <c r="I55" i="33"/>
  <c r="D55" i="33"/>
  <c r="J54" i="33"/>
  <c r="I54" i="33"/>
  <c r="D54" i="33"/>
  <c r="J53" i="33"/>
  <c r="I53" i="33"/>
  <c r="D53" i="33"/>
  <c r="J52" i="33"/>
  <c r="I52" i="33"/>
  <c r="D52" i="33"/>
  <c r="J51" i="33"/>
  <c r="I51" i="33"/>
  <c r="D51" i="33"/>
  <c r="J50" i="33"/>
  <c r="I50" i="33"/>
  <c r="D50" i="33"/>
  <c r="J49" i="33"/>
  <c r="I49" i="33"/>
  <c r="D49" i="33"/>
  <c r="J48" i="33"/>
  <c r="I48" i="33"/>
  <c r="D48" i="33"/>
  <c r="J47" i="33"/>
  <c r="I47" i="33"/>
  <c r="D47" i="33"/>
  <c r="J46" i="33"/>
  <c r="I46" i="33"/>
  <c r="D46" i="33"/>
  <c r="J45" i="33"/>
  <c r="I45" i="33"/>
  <c r="D45" i="33"/>
  <c r="J44" i="33"/>
  <c r="I44" i="33"/>
  <c r="D44" i="33"/>
  <c r="J43" i="33"/>
  <c r="I43" i="33"/>
  <c r="D43" i="33"/>
  <c r="J42" i="33"/>
  <c r="I42" i="33"/>
  <c r="D42" i="33"/>
  <c r="J41" i="33"/>
  <c r="I41" i="33"/>
  <c r="D41" i="33"/>
  <c r="J40" i="33"/>
  <c r="I40" i="33"/>
  <c r="D40" i="33"/>
  <c r="J39" i="33"/>
  <c r="I39" i="33"/>
  <c r="D39" i="33"/>
  <c r="J38" i="33"/>
  <c r="I38" i="33"/>
  <c r="D38" i="33"/>
  <c r="J37" i="33"/>
  <c r="I37" i="33"/>
  <c r="D37" i="33"/>
  <c r="J36" i="33"/>
  <c r="I36" i="33"/>
  <c r="D36" i="33"/>
  <c r="J35" i="33"/>
  <c r="I35" i="33"/>
  <c r="D35" i="33"/>
  <c r="J34" i="33"/>
  <c r="I34" i="33"/>
  <c r="D34" i="33"/>
  <c r="J33" i="33"/>
  <c r="I33" i="33"/>
  <c r="D33" i="33"/>
  <c r="P32" i="33"/>
  <c r="J32" i="33"/>
  <c r="I32" i="33"/>
  <c r="D32" i="33"/>
  <c r="P31" i="33"/>
  <c r="J31" i="33"/>
  <c r="I31" i="33"/>
  <c r="D31" i="33"/>
  <c r="P30" i="33"/>
  <c r="J30" i="33"/>
  <c r="I30" i="33"/>
  <c r="D30" i="33"/>
  <c r="P29" i="33"/>
  <c r="J29" i="33"/>
  <c r="I29" i="33"/>
  <c r="D29" i="33"/>
  <c r="P28" i="33"/>
  <c r="P33" i="33" s="1"/>
  <c r="J28" i="33"/>
  <c r="I28" i="33"/>
  <c r="D28" i="33"/>
  <c r="J27" i="33"/>
  <c r="I27" i="33"/>
  <c r="D27" i="33"/>
  <c r="J26" i="33"/>
  <c r="I26" i="33"/>
  <c r="D26" i="33"/>
  <c r="P25" i="33"/>
  <c r="J25" i="33"/>
  <c r="I25" i="33"/>
  <c r="D25" i="33"/>
  <c r="P24" i="33"/>
  <c r="J24" i="33"/>
  <c r="I24" i="33"/>
  <c r="D24" i="33"/>
  <c r="P23" i="33"/>
  <c r="P26" i="33" s="1"/>
  <c r="J23" i="33"/>
  <c r="I23" i="33"/>
  <c r="D23" i="33"/>
  <c r="P22" i="33"/>
  <c r="J22" i="33"/>
  <c r="I22" i="33"/>
  <c r="D22" i="33"/>
  <c r="P21" i="33"/>
  <c r="J21" i="33"/>
  <c r="I21" i="33"/>
  <c r="D21" i="33"/>
  <c r="J20" i="33"/>
  <c r="I20" i="33"/>
  <c r="D20" i="33"/>
  <c r="M19" i="33"/>
  <c r="J19" i="33"/>
  <c r="I19" i="33"/>
  <c r="D19" i="33"/>
  <c r="J18" i="33"/>
  <c r="I18" i="33"/>
  <c r="D18" i="33"/>
  <c r="J17" i="33"/>
  <c r="I17" i="33"/>
  <c r="D17" i="33"/>
  <c r="J16" i="33"/>
  <c r="I16" i="33"/>
  <c r="D16" i="33"/>
  <c r="J15" i="33"/>
  <c r="I15" i="33"/>
  <c r="D15" i="33"/>
  <c r="J14" i="33"/>
  <c r="I14" i="33"/>
  <c r="D14" i="33"/>
  <c r="J13" i="33"/>
  <c r="I13" i="33"/>
  <c r="D13" i="33"/>
  <c r="J12" i="33"/>
  <c r="I12" i="33"/>
  <c r="D12" i="33"/>
  <c r="J11" i="33"/>
  <c r="I11" i="33"/>
  <c r="D11" i="33"/>
  <c r="J10" i="33"/>
  <c r="I10" i="33"/>
  <c r="D10" i="33"/>
  <c r="J9" i="33"/>
  <c r="I9" i="33"/>
  <c r="D9" i="33"/>
  <c r="I8" i="33"/>
  <c r="J8" i="33" s="1"/>
  <c r="D8" i="33"/>
  <c r="I7" i="33"/>
  <c r="J7" i="33" s="1"/>
  <c r="D7" i="33"/>
  <c r="J6" i="33"/>
  <c r="I6" i="33"/>
  <c r="D6" i="33"/>
  <c r="B2" i="33" a="1"/>
  <c r="B2" i="33" s="1"/>
  <c r="J488" i="32"/>
  <c r="I488" i="32"/>
  <c r="D488" i="32"/>
  <c r="J487" i="32"/>
  <c r="I487" i="32"/>
  <c r="D487" i="32"/>
  <c r="J486" i="32"/>
  <c r="I486" i="32"/>
  <c r="D486" i="32"/>
  <c r="J485" i="32"/>
  <c r="I485" i="32"/>
  <c r="D485" i="32"/>
  <c r="J484" i="32"/>
  <c r="I484" i="32"/>
  <c r="D484" i="32"/>
  <c r="J483" i="32"/>
  <c r="I483" i="32"/>
  <c r="D483" i="32"/>
  <c r="J482" i="32"/>
  <c r="I482" i="32"/>
  <c r="D482" i="32"/>
  <c r="J481" i="32"/>
  <c r="I481" i="32"/>
  <c r="D481" i="32"/>
  <c r="J480" i="32"/>
  <c r="I480" i="32"/>
  <c r="D480" i="32"/>
  <c r="J479" i="32"/>
  <c r="I479" i="32"/>
  <c r="D479" i="32"/>
  <c r="J478" i="32"/>
  <c r="I478" i="32"/>
  <c r="D478" i="32"/>
  <c r="J477" i="32"/>
  <c r="I477" i="32"/>
  <c r="D477" i="32"/>
  <c r="J476" i="32"/>
  <c r="I476" i="32"/>
  <c r="D476" i="32"/>
  <c r="J475" i="32"/>
  <c r="I475" i="32"/>
  <c r="D475" i="32"/>
  <c r="J474" i="32"/>
  <c r="I474" i="32"/>
  <c r="D474" i="32"/>
  <c r="J473" i="32"/>
  <c r="I473" i="32"/>
  <c r="D473" i="32"/>
  <c r="J472" i="32"/>
  <c r="I472" i="32"/>
  <c r="D472" i="32"/>
  <c r="J471" i="32"/>
  <c r="I471" i="32"/>
  <c r="D471" i="32"/>
  <c r="J470" i="32"/>
  <c r="I470" i="32"/>
  <c r="D470" i="32"/>
  <c r="J469" i="32"/>
  <c r="I469" i="32"/>
  <c r="D469" i="32"/>
  <c r="J468" i="32"/>
  <c r="I468" i="32"/>
  <c r="D468" i="32"/>
  <c r="J467" i="32"/>
  <c r="I467" i="32"/>
  <c r="D467" i="32"/>
  <c r="J466" i="32"/>
  <c r="I466" i="32"/>
  <c r="D466" i="32"/>
  <c r="J465" i="32"/>
  <c r="I465" i="32"/>
  <c r="D465" i="32"/>
  <c r="J464" i="32"/>
  <c r="I464" i="32"/>
  <c r="D464" i="32"/>
  <c r="J463" i="32"/>
  <c r="I463" i="32"/>
  <c r="D463" i="32"/>
  <c r="J462" i="32"/>
  <c r="I462" i="32"/>
  <c r="D462" i="32"/>
  <c r="J461" i="32"/>
  <c r="I461" i="32"/>
  <c r="D461" i="32"/>
  <c r="J460" i="32"/>
  <c r="I460" i="32"/>
  <c r="D460" i="32"/>
  <c r="J459" i="32"/>
  <c r="I459" i="32"/>
  <c r="D459" i="32"/>
  <c r="J458" i="32"/>
  <c r="I458" i="32"/>
  <c r="D458" i="32"/>
  <c r="J457" i="32"/>
  <c r="I457" i="32"/>
  <c r="D457" i="32"/>
  <c r="J456" i="32"/>
  <c r="I456" i="32"/>
  <c r="D456" i="32"/>
  <c r="J455" i="32"/>
  <c r="I455" i="32"/>
  <c r="D455" i="32"/>
  <c r="J454" i="32"/>
  <c r="I454" i="32"/>
  <c r="D454" i="32"/>
  <c r="J453" i="32"/>
  <c r="I453" i="32"/>
  <c r="D453" i="32"/>
  <c r="J452" i="32"/>
  <c r="I452" i="32"/>
  <c r="D452" i="32"/>
  <c r="J451" i="32"/>
  <c r="I451" i="32"/>
  <c r="D451" i="32"/>
  <c r="J450" i="32"/>
  <c r="I450" i="32"/>
  <c r="D450" i="32"/>
  <c r="J449" i="32"/>
  <c r="I449" i="32"/>
  <c r="D449" i="32"/>
  <c r="J448" i="32"/>
  <c r="I448" i="32"/>
  <c r="D448" i="32"/>
  <c r="J447" i="32"/>
  <c r="I447" i="32"/>
  <c r="D447" i="32"/>
  <c r="J446" i="32"/>
  <c r="I446" i="32"/>
  <c r="D446" i="32"/>
  <c r="J445" i="32"/>
  <c r="I445" i="32"/>
  <c r="D445" i="32"/>
  <c r="J444" i="32"/>
  <c r="I444" i="32"/>
  <c r="D444" i="32"/>
  <c r="J443" i="32"/>
  <c r="I443" i="32"/>
  <c r="D443" i="32"/>
  <c r="J442" i="32"/>
  <c r="I442" i="32"/>
  <c r="D442" i="32"/>
  <c r="J441" i="32"/>
  <c r="I441" i="32"/>
  <c r="D441" i="32"/>
  <c r="J440" i="32"/>
  <c r="I440" i="32"/>
  <c r="D440" i="32"/>
  <c r="J439" i="32"/>
  <c r="I439" i="32"/>
  <c r="D439" i="32"/>
  <c r="J438" i="32"/>
  <c r="I438" i="32"/>
  <c r="D438" i="32"/>
  <c r="J437" i="32"/>
  <c r="I437" i="32"/>
  <c r="D437" i="32"/>
  <c r="J436" i="32"/>
  <c r="I436" i="32"/>
  <c r="D436" i="32"/>
  <c r="J435" i="32"/>
  <c r="I435" i="32"/>
  <c r="D435" i="32"/>
  <c r="J434" i="32"/>
  <c r="I434" i="32"/>
  <c r="D434" i="32"/>
  <c r="J433" i="32"/>
  <c r="I433" i="32"/>
  <c r="D433" i="32"/>
  <c r="J432" i="32"/>
  <c r="I432" i="32"/>
  <c r="D432" i="32"/>
  <c r="J431" i="32"/>
  <c r="I431" i="32"/>
  <c r="D431" i="32"/>
  <c r="J430" i="32"/>
  <c r="I430" i="32"/>
  <c r="D430" i="32"/>
  <c r="J429" i="32"/>
  <c r="I429" i="32"/>
  <c r="D429" i="32"/>
  <c r="J428" i="32"/>
  <c r="I428" i="32"/>
  <c r="D428" i="32"/>
  <c r="J427" i="32"/>
  <c r="I427" i="32"/>
  <c r="D427" i="32"/>
  <c r="J426" i="32"/>
  <c r="I426" i="32"/>
  <c r="D426" i="32"/>
  <c r="J425" i="32"/>
  <c r="I425" i="32"/>
  <c r="D425" i="32"/>
  <c r="J424" i="32"/>
  <c r="I424" i="32"/>
  <c r="D424" i="32"/>
  <c r="J423" i="32"/>
  <c r="I423" i="32"/>
  <c r="D423" i="32"/>
  <c r="J422" i="32"/>
  <c r="I422" i="32"/>
  <c r="D422" i="32"/>
  <c r="J421" i="32"/>
  <c r="I421" i="32"/>
  <c r="D421" i="32"/>
  <c r="J420" i="32"/>
  <c r="I420" i="32"/>
  <c r="D420" i="32"/>
  <c r="J419" i="32"/>
  <c r="I419" i="32"/>
  <c r="D419" i="32"/>
  <c r="J418" i="32"/>
  <c r="I418" i="32"/>
  <c r="D418" i="32"/>
  <c r="J417" i="32"/>
  <c r="I417" i="32"/>
  <c r="D417" i="32"/>
  <c r="J416" i="32"/>
  <c r="I416" i="32"/>
  <c r="D416" i="32"/>
  <c r="J415" i="32"/>
  <c r="I415" i="32"/>
  <c r="D415" i="32"/>
  <c r="J414" i="32"/>
  <c r="I414" i="32"/>
  <c r="D414" i="32"/>
  <c r="J413" i="32"/>
  <c r="I413" i="32"/>
  <c r="D413" i="32"/>
  <c r="J412" i="32"/>
  <c r="I412" i="32"/>
  <c r="D412" i="32"/>
  <c r="J411" i="32"/>
  <c r="I411" i="32"/>
  <c r="D411" i="32"/>
  <c r="J410" i="32"/>
  <c r="I410" i="32"/>
  <c r="D410" i="32"/>
  <c r="J409" i="32"/>
  <c r="I409" i="32"/>
  <c r="D409" i="32"/>
  <c r="J408" i="32"/>
  <c r="I408" i="32"/>
  <c r="D408" i="32"/>
  <c r="J407" i="32"/>
  <c r="I407" i="32"/>
  <c r="D407" i="32"/>
  <c r="J406" i="32"/>
  <c r="I406" i="32"/>
  <c r="D406" i="32"/>
  <c r="J405" i="32"/>
  <c r="I405" i="32"/>
  <c r="D405" i="32"/>
  <c r="J404" i="32"/>
  <c r="I404" i="32"/>
  <c r="D404" i="32"/>
  <c r="J403" i="32"/>
  <c r="I403" i="32"/>
  <c r="D403" i="32"/>
  <c r="J402" i="32"/>
  <c r="I402" i="32"/>
  <c r="D402" i="32"/>
  <c r="J401" i="32"/>
  <c r="I401" i="32"/>
  <c r="D401" i="32"/>
  <c r="J400" i="32"/>
  <c r="I400" i="32"/>
  <c r="D400" i="32"/>
  <c r="J399" i="32"/>
  <c r="I399" i="32"/>
  <c r="D399" i="32"/>
  <c r="J398" i="32"/>
  <c r="I398" i="32"/>
  <c r="D398" i="32"/>
  <c r="J397" i="32"/>
  <c r="I397" i="32"/>
  <c r="D397" i="32"/>
  <c r="J396" i="32"/>
  <c r="I396" i="32"/>
  <c r="D396" i="32"/>
  <c r="J395" i="32"/>
  <c r="I395" i="32"/>
  <c r="D395" i="32"/>
  <c r="J394" i="32"/>
  <c r="I394" i="32"/>
  <c r="D394" i="32"/>
  <c r="J393" i="32"/>
  <c r="I393" i="32"/>
  <c r="D393" i="32"/>
  <c r="J392" i="32"/>
  <c r="I392" i="32"/>
  <c r="D392" i="32"/>
  <c r="J391" i="32"/>
  <c r="I391" i="32"/>
  <c r="D391" i="32"/>
  <c r="J390" i="32"/>
  <c r="I390" i="32"/>
  <c r="D390" i="32"/>
  <c r="J389" i="32"/>
  <c r="I389" i="32"/>
  <c r="D389" i="32"/>
  <c r="J388" i="32"/>
  <c r="I388" i="32"/>
  <c r="D388" i="32"/>
  <c r="J387" i="32"/>
  <c r="I387" i="32"/>
  <c r="D387" i="32"/>
  <c r="J386" i="32"/>
  <c r="I386" i="32"/>
  <c r="D386" i="32"/>
  <c r="J385" i="32"/>
  <c r="I385" i="32"/>
  <c r="D385" i="32"/>
  <c r="J384" i="32"/>
  <c r="I384" i="32"/>
  <c r="D384" i="32"/>
  <c r="J383" i="32"/>
  <c r="I383" i="32"/>
  <c r="D383" i="32"/>
  <c r="J382" i="32"/>
  <c r="I382" i="32"/>
  <c r="D382" i="32"/>
  <c r="J381" i="32"/>
  <c r="I381" i="32"/>
  <c r="D381" i="32"/>
  <c r="J380" i="32"/>
  <c r="I380" i="32"/>
  <c r="D380" i="32"/>
  <c r="J379" i="32"/>
  <c r="I379" i="32"/>
  <c r="D379" i="32"/>
  <c r="J378" i="32"/>
  <c r="I378" i="32"/>
  <c r="D378" i="32"/>
  <c r="J377" i="32"/>
  <c r="I377" i="32"/>
  <c r="D377" i="32"/>
  <c r="J376" i="32"/>
  <c r="I376" i="32"/>
  <c r="D376" i="32"/>
  <c r="J375" i="32"/>
  <c r="I375" i="32"/>
  <c r="D375" i="32"/>
  <c r="J374" i="32"/>
  <c r="I374" i="32"/>
  <c r="D374" i="32"/>
  <c r="J373" i="32"/>
  <c r="I373" i="32"/>
  <c r="D373" i="32"/>
  <c r="J372" i="32"/>
  <c r="I372" i="32"/>
  <c r="D372" i="32"/>
  <c r="J371" i="32"/>
  <c r="I371" i="32"/>
  <c r="D371" i="32"/>
  <c r="J370" i="32"/>
  <c r="I370" i="32"/>
  <c r="D370" i="32"/>
  <c r="J369" i="32"/>
  <c r="I369" i="32"/>
  <c r="D369" i="32"/>
  <c r="J368" i="32"/>
  <c r="I368" i="32"/>
  <c r="D368" i="32"/>
  <c r="J367" i="32"/>
  <c r="I367" i="32"/>
  <c r="D367" i="32"/>
  <c r="J366" i="32"/>
  <c r="I366" i="32"/>
  <c r="D366" i="32"/>
  <c r="J365" i="32"/>
  <c r="I365" i="32"/>
  <c r="D365" i="32"/>
  <c r="J364" i="32"/>
  <c r="I364" i="32"/>
  <c r="D364" i="32"/>
  <c r="J363" i="32"/>
  <c r="I363" i="32"/>
  <c r="D363" i="32"/>
  <c r="J362" i="32"/>
  <c r="I362" i="32"/>
  <c r="D362" i="32"/>
  <c r="J361" i="32"/>
  <c r="I361" i="32"/>
  <c r="D361" i="32"/>
  <c r="J360" i="32"/>
  <c r="I360" i="32"/>
  <c r="D360" i="32"/>
  <c r="J359" i="32"/>
  <c r="I359" i="32"/>
  <c r="D359" i="32"/>
  <c r="J358" i="32"/>
  <c r="I358" i="32"/>
  <c r="D358" i="32"/>
  <c r="J357" i="32"/>
  <c r="I357" i="32"/>
  <c r="D357" i="32"/>
  <c r="J356" i="32"/>
  <c r="I356" i="32"/>
  <c r="D356" i="32"/>
  <c r="J355" i="32"/>
  <c r="I355" i="32"/>
  <c r="D355" i="32"/>
  <c r="J354" i="32"/>
  <c r="I354" i="32"/>
  <c r="D354" i="32"/>
  <c r="J353" i="32"/>
  <c r="I353" i="32"/>
  <c r="D353" i="32"/>
  <c r="J352" i="32"/>
  <c r="I352" i="32"/>
  <c r="D352" i="32"/>
  <c r="J351" i="32"/>
  <c r="I351" i="32"/>
  <c r="D351" i="32"/>
  <c r="J350" i="32"/>
  <c r="I350" i="32"/>
  <c r="D350" i="32"/>
  <c r="J349" i="32"/>
  <c r="I349" i="32"/>
  <c r="D349" i="32"/>
  <c r="J348" i="32"/>
  <c r="I348" i="32"/>
  <c r="D348" i="32"/>
  <c r="J347" i="32"/>
  <c r="I347" i="32"/>
  <c r="D347" i="32"/>
  <c r="J346" i="32"/>
  <c r="I346" i="32"/>
  <c r="D346" i="32"/>
  <c r="J345" i="32"/>
  <c r="I345" i="32"/>
  <c r="D345" i="32"/>
  <c r="J344" i="32"/>
  <c r="I344" i="32"/>
  <c r="D344" i="32"/>
  <c r="J343" i="32"/>
  <c r="I343" i="32"/>
  <c r="D343" i="32"/>
  <c r="J342" i="32"/>
  <c r="I342" i="32"/>
  <c r="D342" i="32"/>
  <c r="J341" i="32"/>
  <c r="I341" i="32"/>
  <c r="D341" i="32"/>
  <c r="J340" i="32"/>
  <c r="I340" i="32"/>
  <c r="D340" i="32"/>
  <c r="J339" i="32"/>
  <c r="I339" i="32"/>
  <c r="D339" i="32"/>
  <c r="J338" i="32"/>
  <c r="I338" i="32"/>
  <c r="D338" i="32"/>
  <c r="J337" i="32"/>
  <c r="I337" i="32"/>
  <c r="D337" i="32"/>
  <c r="J336" i="32"/>
  <c r="I336" i="32"/>
  <c r="D336" i="32"/>
  <c r="J335" i="32"/>
  <c r="I335" i="32"/>
  <c r="D335" i="32"/>
  <c r="J334" i="32"/>
  <c r="I334" i="32"/>
  <c r="D334" i="32"/>
  <c r="J333" i="32"/>
  <c r="I333" i="32"/>
  <c r="D333" i="32"/>
  <c r="J332" i="32"/>
  <c r="I332" i="32"/>
  <c r="D332" i="32"/>
  <c r="J331" i="32"/>
  <c r="I331" i="32"/>
  <c r="D331" i="32"/>
  <c r="J330" i="32"/>
  <c r="I330" i="32"/>
  <c r="D330" i="32"/>
  <c r="J329" i="32"/>
  <c r="I329" i="32"/>
  <c r="D329" i="32"/>
  <c r="J328" i="32"/>
  <c r="I328" i="32"/>
  <c r="D328" i="32"/>
  <c r="J327" i="32"/>
  <c r="I327" i="32"/>
  <c r="D327" i="32"/>
  <c r="J326" i="32"/>
  <c r="I326" i="32"/>
  <c r="D326" i="32"/>
  <c r="J325" i="32"/>
  <c r="I325" i="32"/>
  <c r="D325" i="32"/>
  <c r="J324" i="32"/>
  <c r="I324" i="32"/>
  <c r="D324" i="32"/>
  <c r="J323" i="32"/>
  <c r="I323" i="32"/>
  <c r="D323" i="32"/>
  <c r="J322" i="32"/>
  <c r="I322" i="32"/>
  <c r="D322" i="32"/>
  <c r="J321" i="32"/>
  <c r="I321" i="32"/>
  <c r="D321" i="32"/>
  <c r="J320" i="32"/>
  <c r="I320" i="32"/>
  <c r="D320" i="32"/>
  <c r="J319" i="32"/>
  <c r="I319" i="32"/>
  <c r="D319" i="32"/>
  <c r="J318" i="32"/>
  <c r="I318" i="32"/>
  <c r="D318" i="32"/>
  <c r="J317" i="32"/>
  <c r="I317" i="32"/>
  <c r="D317" i="32"/>
  <c r="J316" i="32"/>
  <c r="I316" i="32"/>
  <c r="D316" i="32"/>
  <c r="J315" i="32"/>
  <c r="I315" i="32"/>
  <c r="D315" i="32"/>
  <c r="J314" i="32"/>
  <c r="I314" i="32"/>
  <c r="D314" i="32"/>
  <c r="J313" i="32"/>
  <c r="I313" i="32"/>
  <c r="D313" i="32"/>
  <c r="J312" i="32"/>
  <c r="I312" i="32"/>
  <c r="D312" i="32"/>
  <c r="J311" i="32"/>
  <c r="I311" i="32"/>
  <c r="D311" i="32"/>
  <c r="J310" i="32"/>
  <c r="I310" i="32"/>
  <c r="D310" i="32"/>
  <c r="J309" i="32"/>
  <c r="I309" i="32"/>
  <c r="D309" i="32"/>
  <c r="J308" i="32"/>
  <c r="I308" i="32"/>
  <c r="D308" i="32"/>
  <c r="J307" i="32"/>
  <c r="I307" i="32"/>
  <c r="D307" i="32"/>
  <c r="J306" i="32"/>
  <c r="I306" i="32"/>
  <c r="D306" i="32"/>
  <c r="J305" i="32"/>
  <c r="I305" i="32"/>
  <c r="D305" i="32"/>
  <c r="J304" i="32"/>
  <c r="I304" i="32"/>
  <c r="D304" i="32"/>
  <c r="J303" i="32"/>
  <c r="I303" i="32"/>
  <c r="D303" i="32"/>
  <c r="J302" i="32"/>
  <c r="I302" i="32"/>
  <c r="D302" i="32"/>
  <c r="J301" i="32"/>
  <c r="I301" i="32"/>
  <c r="D301" i="32"/>
  <c r="J300" i="32"/>
  <c r="I300" i="32"/>
  <c r="D300" i="32"/>
  <c r="J299" i="32"/>
  <c r="I299" i="32"/>
  <c r="D299" i="32"/>
  <c r="J298" i="32"/>
  <c r="I298" i="32"/>
  <c r="D298" i="32"/>
  <c r="J297" i="32"/>
  <c r="I297" i="32"/>
  <c r="D297" i="32"/>
  <c r="J296" i="32"/>
  <c r="I296" i="32"/>
  <c r="D296" i="32"/>
  <c r="J295" i="32"/>
  <c r="I295" i="32"/>
  <c r="D295" i="32"/>
  <c r="J294" i="32"/>
  <c r="I294" i="32"/>
  <c r="D294" i="32"/>
  <c r="J293" i="32"/>
  <c r="I293" i="32"/>
  <c r="D293" i="32"/>
  <c r="J292" i="32"/>
  <c r="I292" i="32"/>
  <c r="D292" i="32"/>
  <c r="J291" i="32"/>
  <c r="I291" i="32"/>
  <c r="D291" i="32"/>
  <c r="J290" i="32"/>
  <c r="I290" i="32"/>
  <c r="D290" i="32"/>
  <c r="J289" i="32"/>
  <c r="I289" i="32"/>
  <c r="D289" i="32"/>
  <c r="J288" i="32"/>
  <c r="I288" i="32"/>
  <c r="D288" i="32"/>
  <c r="J287" i="32"/>
  <c r="I287" i="32"/>
  <c r="D287" i="32"/>
  <c r="J286" i="32"/>
  <c r="I286" i="32"/>
  <c r="D286" i="32"/>
  <c r="J285" i="32"/>
  <c r="I285" i="32"/>
  <c r="D285" i="32"/>
  <c r="J284" i="32"/>
  <c r="I284" i="32"/>
  <c r="D284" i="32"/>
  <c r="J283" i="32"/>
  <c r="I283" i="32"/>
  <c r="D283" i="32"/>
  <c r="J282" i="32"/>
  <c r="I282" i="32"/>
  <c r="D282" i="32"/>
  <c r="J281" i="32"/>
  <c r="I281" i="32"/>
  <c r="D281" i="32"/>
  <c r="J280" i="32"/>
  <c r="I280" i="32"/>
  <c r="D280" i="32"/>
  <c r="J279" i="32"/>
  <c r="I279" i="32"/>
  <c r="D279" i="32"/>
  <c r="J278" i="32"/>
  <c r="I278" i="32"/>
  <c r="D278" i="32"/>
  <c r="J277" i="32"/>
  <c r="I277" i="32"/>
  <c r="D277" i="32"/>
  <c r="J276" i="32"/>
  <c r="I276" i="32"/>
  <c r="D276" i="32"/>
  <c r="J275" i="32"/>
  <c r="I275" i="32"/>
  <c r="D275" i="32"/>
  <c r="J274" i="32"/>
  <c r="I274" i="32"/>
  <c r="D274" i="32"/>
  <c r="J273" i="32"/>
  <c r="I273" i="32"/>
  <c r="D273" i="32"/>
  <c r="J272" i="32"/>
  <c r="I272" i="32"/>
  <c r="D272" i="32"/>
  <c r="J271" i="32"/>
  <c r="I271" i="32"/>
  <c r="D271" i="32"/>
  <c r="J270" i="32"/>
  <c r="I270" i="32"/>
  <c r="D270" i="32"/>
  <c r="J269" i="32"/>
  <c r="I269" i="32"/>
  <c r="D269" i="32"/>
  <c r="J268" i="32"/>
  <c r="I268" i="32"/>
  <c r="D268" i="32"/>
  <c r="J267" i="32"/>
  <c r="I267" i="32"/>
  <c r="D267" i="32"/>
  <c r="J266" i="32"/>
  <c r="I266" i="32"/>
  <c r="D266" i="32"/>
  <c r="J265" i="32"/>
  <c r="I265" i="32"/>
  <c r="D265" i="32"/>
  <c r="J264" i="32"/>
  <c r="I264" i="32"/>
  <c r="D264" i="32"/>
  <c r="J263" i="32"/>
  <c r="I263" i="32"/>
  <c r="D263" i="32"/>
  <c r="J262" i="32"/>
  <c r="I262" i="32"/>
  <c r="D262" i="32"/>
  <c r="J261" i="32"/>
  <c r="I261" i="32"/>
  <c r="D261" i="32"/>
  <c r="J260" i="32"/>
  <c r="I260" i="32"/>
  <c r="D260" i="32"/>
  <c r="J259" i="32"/>
  <c r="I259" i="32"/>
  <c r="D259" i="32"/>
  <c r="J258" i="32"/>
  <c r="I258" i="32"/>
  <c r="D258" i="32"/>
  <c r="J257" i="32"/>
  <c r="I257" i="32"/>
  <c r="D257" i="32"/>
  <c r="J256" i="32"/>
  <c r="I256" i="32"/>
  <c r="D256" i="32"/>
  <c r="J255" i="32"/>
  <c r="I255" i="32"/>
  <c r="D255" i="32"/>
  <c r="J254" i="32"/>
  <c r="I254" i="32"/>
  <c r="D254" i="32"/>
  <c r="J253" i="32"/>
  <c r="I253" i="32"/>
  <c r="D253" i="32"/>
  <c r="J252" i="32"/>
  <c r="I252" i="32"/>
  <c r="D252" i="32"/>
  <c r="J251" i="32"/>
  <c r="I251" i="32"/>
  <c r="D251" i="32"/>
  <c r="J250" i="32"/>
  <c r="I250" i="32"/>
  <c r="D250" i="32"/>
  <c r="J249" i="32"/>
  <c r="I249" i="32"/>
  <c r="D249" i="32"/>
  <c r="J248" i="32"/>
  <c r="I248" i="32"/>
  <c r="D248" i="32"/>
  <c r="J247" i="32"/>
  <c r="I247" i="32"/>
  <c r="D247" i="32"/>
  <c r="J246" i="32"/>
  <c r="I246" i="32"/>
  <c r="D246" i="32"/>
  <c r="J245" i="32"/>
  <c r="I245" i="32"/>
  <c r="D245" i="32"/>
  <c r="J244" i="32"/>
  <c r="I244" i="32"/>
  <c r="D244" i="32"/>
  <c r="J243" i="32"/>
  <c r="I243" i="32"/>
  <c r="D243" i="32"/>
  <c r="J242" i="32"/>
  <c r="I242" i="32"/>
  <c r="D242" i="32"/>
  <c r="J241" i="32"/>
  <c r="I241" i="32"/>
  <c r="D241" i="32"/>
  <c r="J240" i="32"/>
  <c r="I240" i="32"/>
  <c r="D240" i="32"/>
  <c r="J239" i="32"/>
  <c r="I239" i="32"/>
  <c r="D239" i="32"/>
  <c r="J238" i="32"/>
  <c r="I238" i="32"/>
  <c r="D238" i="32"/>
  <c r="J237" i="32"/>
  <c r="I237" i="32"/>
  <c r="D237" i="32"/>
  <c r="J236" i="32"/>
  <c r="I236" i="32"/>
  <c r="D236" i="32"/>
  <c r="J235" i="32"/>
  <c r="I235" i="32"/>
  <c r="D235" i="32"/>
  <c r="J234" i="32"/>
  <c r="I234" i="32"/>
  <c r="D234" i="32"/>
  <c r="J233" i="32"/>
  <c r="I233" i="32"/>
  <c r="D233" i="32"/>
  <c r="J232" i="32"/>
  <c r="I232" i="32"/>
  <c r="D232" i="32"/>
  <c r="J231" i="32"/>
  <c r="I231" i="32"/>
  <c r="D231" i="32"/>
  <c r="J230" i="32"/>
  <c r="I230" i="32"/>
  <c r="D230" i="32"/>
  <c r="J229" i="32"/>
  <c r="I229" i="32"/>
  <c r="D229" i="32"/>
  <c r="J228" i="32"/>
  <c r="I228" i="32"/>
  <c r="D228" i="32"/>
  <c r="J227" i="32"/>
  <c r="I227" i="32"/>
  <c r="D227" i="32"/>
  <c r="J226" i="32"/>
  <c r="I226" i="32"/>
  <c r="D226" i="32"/>
  <c r="J225" i="32"/>
  <c r="I225" i="32"/>
  <c r="D225" i="32"/>
  <c r="J224" i="32"/>
  <c r="I224" i="32"/>
  <c r="D224" i="32"/>
  <c r="J223" i="32"/>
  <c r="I223" i="32"/>
  <c r="D223" i="32"/>
  <c r="J222" i="32"/>
  <c r="I222" i="32"/>
  <c r="D222" i="32"/>
  <c r="J221" i="32"/>
  <c r="I221" i="32"/>
  <c r="D221" i="32"/>
  <c r="J220" i="32"/>
  <c r="I220" i="32"/>
  <c r="D220" i="32"/>
  <c r="J219" i="32"/>
  <c r="I219" i="32"/>
  <c r="D219" i="32"/>
  <c r="J218" i="32"/>
  <c r="I218" i="32"/>
  <c r="D218" i="32"/>
  <c r="J217" i="32"/>
  <c r="I217" i="32"/>
  <c r="D217" i="32"/>
  <c r="J216" i="32"/>
  <c r="I216" i="32"/>
  <c r="D216" i="32"/>
  <c r="J215" i="32"/>
  <c r="I215" i="32"/>
  <c r="D215" i="32"/>
  <c r="J214" i="32"/>
  <c r="I214" i="32"/>
  <c r="D214" i="32"/>
  <c r="J213" i="32"/>
  <c r="I213" i="32"/>
  <c r="D213" i="32"/>
  <c r="J212" i="32"/>
  <c r="I212" i="32"/>
  <c r="D212" i="32"/>
  <c r="J211" i="32"/>
  <c r="I211" i="32"/>
  <c r="D211" i="32"/>
  <c r="J210" i="32"/>
  <c r="I210" i="32"/>
  <c r="D210" i="32"/>
  <c r="J209" i="32"/>
  <c r="I209" i="32"/>
  <c r="D209" i="32"/>
  <c r="J208" i="32"/>
  <c r="I208" i="32"/>
  <c r="D208" i="32"/>
  <c r="J207" i="32"/>
  <c r="I207" i="32"/>
  <c r="D207" i="32"/>
  <c r="J206" i="32"/>
  <c r="I206" i="32"/>
  <c r="D206" i="32"/>
  <c r="J205" i="32"/>
  <c r="I205" i="32"/>
  <c r="D205" i="32"/>
  <c r="J204" i="32"/>
  <c r="I204" i="32"/>
  <c r="D204" i="32"/>
  <c r="J203" i="32"/>
  <c r="I203" i="32"/>
  <c r="D203" i="32"/>
  <c r="J202" i="32"/>
  <c r="I202" i="32"/>
  <c r="D202" i="32"/>
  <c r="J201" i="32"/>
  <c r="I201" i="32"/>
  <c r="D201" i="32"/>
  <c r="J200" i="32"/>
  <c r="I200" i="32"/>
  <c r="D200" i="32"/>
  <c r="J199" i="32"/>
  <c r="I199" i="32"/>
  <c r="D199" i="32"/>
  <c r="J198" i="32"/>
  <c r="I198" i="32"/>
  <c r="D198" i="32"/>
  <c r="J197" i="32"/>
  <c r="I197" i="32"/>
  <c r="D197" i="32"/>
  <c r="J196" i="32"/>
  <c r="I196" i="32"/>
  <c r="D196" i="32"/>
  <c r="J195" i="32"/>
  <c r="I195" i="32"/>
  <c r="D195" i="32"/>
  <c r="J194" i="32"/>
  <c r="I194" i="32"/>
  <c r="D194" i="32"/>
  <c r="J193" i="32"/>
  <c r="I193" i="32"/>
  <c r="D193" i="32"/>
  <c r="J192" i="32"/>
  <c r="I192" i="32"/>
  <c r="D192" i="32"/>
  <c r="J191" i="32"/>
  <c r="I191" i="32"/>
  <c r="D191" i="32"/>
  <c r="J190" i="32"/>
  <c r="I190" i="32"/>
  <c r="D190" i="32"/>
  <c r="J189" i="32"/>
  <c r="I189" i="32"/>
  <c r="D189" i="32"/>
  <c r="J188" i="32"/>
  <c r="I188" i="32"/>
  <c r="D188" i="32"/>
  <c r="J187" i="32"/>
  <c r="I187" i="32"/>
  <c r="D187" i="32"/>
  <c r="J186" i="32"/>
  <c r="I186" i="32"/>
  <c r="D186" i="32"/>
  <c r="J185" i="32"/>
  <c r="I185" i="32"/>
  <c r="D185" i="32"/>
  <c r="J184" i="32"/>
  <c r="I184" i="32"/>
  <c r="D184" i="32"/>
  <c r="J183" i="32"/>
  <c r="I183" i="32"/>
  <c r="D183" i="32"/>
  <c r="J182" i="32"/>
  <c r="I182" i="32"/>
  <c r="D182" i="32"/>
  <c r="J181" i="32"/>
  <c r="I181" i="32"/>
  <c r="D181" i="32"/>
  <c r="J180" i="32"/>
  <c r="I180" i="32"/>
  <c r="D180" i="32"/>
  <c r="J179" i="32"/>
  <c r="I179" i="32"/>
  <c r="D179" i="32"/>
  <c r="J178" i="32"/>
  <c r="I178" i="32"/>
  <c r="D178" i="32"/>
  <c r="J177" i="32"/>
  <c r="I177" i="32"/>
  <c r="D177" i="32"/>
  <c r="J176" i="32"/>
  <c r="I176" i="32"/>
  <c r="D176" i="32"/>
  <c r="J175" i="32"/>
  <c r="I175" i="32"/>
  <c r="D175" i="32"/>
  <c r="J174" i="32"/>
  <c r="I174" i="32"/>
  <c r="D174" i="32"/>
  <c r="J173" i="32"/>
  <c r="I173" i="32"/>
  <c r="D173" i="32"/>
  <c r="J172" i="32"/>
  <c r="I172" i="32"/>
  <c r="D172" i="32"/>
  <c r="J171" i="32"/>
  <c r="I171" i="32"/>
  <c r="D171" i="32"/>
  <c r="J170" i="32"/>
  <c r="I170" i="32"/>
  <c r="D170" i="32"/>
  <c r="J169" i="32"/>
  <c r="I169" i="32"/>
  <c r="D169" i="32"/>
  <c r="J168" i="32"/>
  <c r="I168" i="32"/>
  <c r="D168" i="32"/>
  <c r="J167" i="32"/>
  <c r="I167" i="32"/>
  <c r="D167" i="32"/>
  <c r="J166" i="32"/>
  <c r="I166" i="32"/>
  <c r="D166" i="32"/>
  <c r="J165" i="32"/>
  <c r="I165" i="32"/>
  <c r="D165" i="32"/>
  <c r="J164" i="32"/>
  <c r="I164" i="32"/>
  <c r="D164" i="32"/>
  <c r="J163" i="32"/>
  <c r="I163" i="32"/>
  <c r="D163" i="32"/>
  <c r="J162" i="32"/>
  <c r="I162" i="32"/>
  <c r="D162" i="32"/>
  <c r="J161" i="32"/>
  <c r="I161" i="32"/>
  <c r="D161" i="32"/>
  <c r="J160" i="32"/>
  <c r="I160" i="32"/>
  <c r="D160" i="32"/>
  <c r="J159" i="32"/>
  <c r="I159" i="32"/>
  <c r="D159" i="32"/>
  <c r="J158" i="32"/>
  <c r="I158" i="32"/>
  <c r="D158" i="32"/>
  <c r="J157" i="32"/>
  <c r="I157" i="32"/>
  <c r="D157" i="32"/>
  <c r="J156" i="32"/>
  <c r="I156" i="32"/>
  <c r="D156" i="32"/>
  <c r="J155" i="32"/>
  <c r="I155" i="32"/>
  <c r="D155" i="32"/>
  <c r="J154" i="32"/>
  <c r="I154" i="32"/>
  <c r="D154" i="32"/>
  <c r="J153" i="32"/>
  <c r="I153" i="32"/>
  <c r="D153" i="32"/>
  <c r="J152" i="32"/>
  <c r="I152" i="32"/>
  <c r="D152" i="32"/>
  <c r="J151" i="32"/>
  <c r="I151" i="32"/>
  <c r="D151" i="32"/>
  <c r="J150" i="32"/>
  <c r="I150" i="32"/>
  <c r="D150" i="32"/>
  <c r="J149" i="32"/>
  <c r="I149" i="32"/>
  <c r="D149" i="32"/>
  <c r="J148" i="32"/>
  <c r="I148" i="32"/>
  <c r="D148" i="32"/>
  <c r="J147" i="32"/>
  <c r="I147" i="32"/>
  <c r="D147" i="32"/>
  <c r="J146" i="32"/>
  <c r="I146" i="32"/>
  <c r="D146" i="32"/>
  <c r="J145" i="32"/>
  <c r="I145" i="32"/>
  <c r="D145" i="32"/>
  <c r="J144" i="32"/>
  <c r="I144" i="32"/>
  <c r="D144" i="32"/>
  <c r="J143" i="32"/>
  <c r="I143" i="32"/>
  <c r="D143" i="32"/>
  <c r="J142" i="32"/>
  <c r="I142" i="32"/>
  <c r="D142" i="32"/>
  <c r="J141" i="32"/>
  <c r="I141" i="32"/>
  <c r="D141" i="32"/>
  <c r="J140" i="32"/>
  <c r="I140" i="32"/>
  <c r="D140" i="32"/>
  <c r="J139" i="32"/>
  <c r="I139" i="32"/>
  <c r="D139" i="32"/>
  <c r="J138" i="32"/>
  <c r="I138" i="32"/>
  <c r="D138" i="32"/>
  <c r="J137" i="32"/>
  <c r="I137" i="32"/>
  <c r="D137" i="32"/>
  <c r="J136" i="32"/>
  <c r="I136" i="32"/>
  <c r="D136" i="32"/>
  <c r="J135" i="32"/>
  <c r="I135" i="32"/>
  <c r="D135" i="32"/>
  <c r="J134" i="32"/>
  <c r="I134" i="32"/>
  <c r="D134" i="32"/>
  <c r="J133" i="32"/>
  <c r="I133" i="32"/>
  <c r="D133" i="32"/>
  <c r="J132" i="32"/>
  <c r="I132" i="32"/>
  <c r="D132" i="32"/>
  <c r="J131" i="32"/>
  <c r="I131" i="32"/>
  <c r="D131" i="32"/>
  <c r="J130" i="32"/>
  <c r="I130" i="32"/>
  <c r="D130" i="32"/>
  <c r="J129" i="32"/>
  <c r="I129" i="32"/>
  <c r="D129" i="32"/>
  <c r="J128" i="32"/>
  <c r="I128" i="32"/>
  <c r="D128" i="32"/>
  <c r="J127" i="32"/>
  <c r="I127" i="32"/>
  <c r="D127" i="32"/>
  <c r="J126" i="32"/>
  <c r="I126" i="32"/>
  <c r="D126" i="32"/>
  <c r="J125" i="32"/>
  <c r="I125" i="32"/>
  <c r="D125" i="32"/>
  <c r="J124" i="32"/>
  <c r="I124" i="32"/>
  <c r="D124" i="32"/>
  <c r="J123" i="32"/>
  <c r="I123" i="32"/>
  <c r="D123" i="32"/>
  <c r="J122" i="32"/>
  <c r="I122" i="32"/>
  <c r="D122" i="32"/>
  <c r="J121" i="32"/>
  <c r="I121" i="32"/>
  <c r="D121" i="32"/>
  <c r="J120" i="32"/>
  <c r="I120" i="32"/>
  <c r="D120" i="32"/>
  <c r="J119" i="32"/>
  <c r="I119" i="32"/>
  <c r="D119" i="32"/>
  <c r="J118" i="32"/>
  <c r="I118" i="32"/>
  <c r="D118" i="32"/>
  <c r="J117" i="32"/>
  <c r="I117" i="32"/>
  <c r="D117" i="32"/>
  <c r="J116" i="32"/>
  <c r="I116" i="32"/>
  <c r="D116" i="32"/>
  <c r="J115" i="32"/>
  <c r="I115" i="32"/>
  <c r="D115" i="32"/>
  <c r="J114" i="32"/>
  <c r="I114" i="32"/>
  <c r="D114" i="32"/>
  <c r="J113" i="32"/>
  <c r="I113" i="32"/>
  <c r="D113" i="32"/>
  <c r="J112" i="32"/>
  <c r="I112" i="32"/>
  <c r="D112" i="32"/>
  <c r="J111" i="32"/>
  <c r="I111" i="32"/>
  <c r="D111" i="32"/>
  <c r="J110" i="32"/>
  <c r="I110" i="32"/>
  <c r="D110" i="32"/>
  <c r="J109" i="32"/>
  <c r="I109" i="32"/>
  <c r="D109" i="32"/>
  <c r="J108" i="32"/>
  <c r="I108" i="32"/>
  <c r="D108" i="32"/>
  <c r="J107" i="32"/>
  <c r="I107" i="32"/>
  <c r="D107" i="32"/>
  <c r="J106" i="32"/>
  <c r="I106" i="32"/>
  <c r="D106" i="32"/>
  <c r="J105" i="32"/>
  <c r="I105" i="32"/>
  <c r="D105" i="32"/>
  <c r="J104" i="32"/>
  <c r="I104" i="32"/>
  <c r="D104" i="32"/>
  <c r="J103" i="32"/>
  <c r="I103" i="32"/>
  <c r="D103" i="32"/>
  <c r="J102" i="32"/>
  <c r="I102" i="32"/>
  <c r="D102" i="32"/>
  <c r="J101" i="32"/>
  <c r="I101" i="32"/>
  <c r="D101" i="32"/>
  <c r="J100" i="32"/>
  <c r="I100" i="32"/>
  <c r="D100" i="32"/>
  <c r="J99" i="32"/>
  <c r="I99" i="32"/>
  <c r="D99" i="32"/>
  <c r="J98" i="32"/>
  <c r="I98" i="32"/>
  <c r="D98" i="32"/>
  <c r="J97" i="32"/>
  <c r="I97" i="32"/>
  <c r="D97" i="32"/>
  <c r="J96" i="32"/>
  <c r="I96" i="32"/>
  <c r="D96" i="32"/>
  <c r="J95" i="32"/>
  <c r="I95" i="32"/>
  <c r="D95" i="32"/>
  <c r="J94" i="32"/>
  <c r="I94" i="32"/>
  <c r="D94" i="32"/>
  <c r="J93" i="32"/>
  <c r="I93" i="32"/>
  <c r="D93" i="32"/>
  <c r="J92" i="32"/>
  <c r="I92" i="32"/>
  <c r="D92" i="32"/>
  <c r="J91" i="32"/>
  <c r="I91" i="32"/>
  <c r="D91" i="32"/>
  <c r="J90" i="32"/>
  <c r="I90" i="32"/>
  <c r="D90" i="32"/>
  <c r="J89" i="32"/>
  <c r="I89" i="32"/>
  <c r="D89" i="32"/>
  <c r="J88" i="32"/>
  <c r="I88" i="32"/>
  <c r="D88" i="32"/>
  <c r="J87" i="32"/>
  <c r="I87" i="32"/>
  <c r="D87" i="32"/>
  <c r="J86" i="32"/>
  <c r="I86" i="32"/>
  <c r="D86" i="32"/>
  <c r="J85" i="32"/>
  <c r="I85" i="32"/>
  <c r="D85" i="32"/>
  <c r="J84" i="32"/>
  <c r="I84" i="32"/>
  <c r="D84" i="32"/>
  <c r="J83" i="32"/>
  <c r="I83" i="32"/>
  <c r="D83" i="32"/>
  <c r="J82" i="32"/>
  <c r="I82" i="32"/>
  <c r="D82" i="32"/>
  <c r="J81" i="32"/>
  <c r="I81" i="32"/>
  <c r="D81" i="32"/>
  <c r="J80" i="32"/>
  <c r="I80" i="32"/>
  <c r="D80" i="32"/>
  <c r="J79" i="32"/>
  <c r="I79" i="32"/>
  <c r="D79" i="32"/>
  <c r="J78" i="32"/>
  <c r="I78" i="32"/>
  <c r="D78" i="32"/>
  <c r="J77" i="32"/>
  <c r="I77" i="32"/>
  <c r="D77" i="32"/>
  <c r="J76" i="32"/>
  <c r="I76" i="32"/>
  <c r="D76" i="32"/>
  <c r="J75" i="32"/>
  <c r="I75" i="32"/>
  <c r="D75" i="32"/>
  <c r="J74" i="32"/>
  <c r="I74" i="32"/>
  <c r="D74" i="32"/>
  <c r="J73" i="32"/>
  <c r="I73" i="32"/>
  <c r="D73" i="32"/>
  <c r="J72" i="32"/>
  <c r="I72" i="32"/>
  <c r="D72" i="32"/>
  <c r="J71" i="32"/>
  <c r="I71" i="32"/>
  <c r="D71" i="32"/>
  <c r="J70" i="32"/>
  <c r="I70" i="32"/>
  <c r="D70" i="32"/>
  <c r="J69" i="32"/>
  <c r="I69" i="32"/>
  <c r="D69" i="32"/>
  <c r="J68" i="32"/>
  <c r="I68" i="32"/>
  <c r="D68" i="32"/>
  <c r="J67" i="32"/>
  <c r="I67" i="32"/>
  <c r="D67" i="32"/>
  <c r="J66" i="32"/>
  <c r="I66" i="32"/>
  <c r="D66" i="32"/>
  <c r="J65" i="32"/>
  <c r="I65" i="32"/>
  <c r="D65" i="32"/>
  <c r="J64" i="32"/>
  <c r="I64" i="32"/>
  <c r="D64" i="32"/>
  <c r="J63" i="32"/>
  <c r="I63" i="32"/>
  <c r="D63" i="32"/>
  <c r="J62" i="32"/>
  <c r="I62" i="32"/>
  <c r="D62" i="32"/>
  <c r="J61" i="32"/>
  <c r="I61" i="32"/>
  <c r="D61" i="32"/>
  <c r="J60" i="32"/>
  <c r="I60" i="32"/>
  <c r="D60" i="32"/>
  <c r="J59" i="32"/>
  <c r="I59" i="32"/>
  <c r="D59" i="32"/>
  <c r="J58" i="32"/>
  <c r="I58" i="32"/>
  <c r="D58" i="32"/>
  <c r="J57" i="32"/>
  <c r="I57" i="32"/>
  <c r="D57" i="32"/>
  <c r="J56" i="32"/>
  <c r="I56" i="32"/>
  <c r="D56" i="32"/>
  <c r="J55" i="32"/>
  <c r="I55" i="32"/>
  <c r="D55" i="32"/>
  <c r="J54" i="32"/>
  <c r="I54" i="32"/>
  <c r="D54" i="32"/>
  <c r="J53" i="32"/>
  <c r="I53" i="32"/>
  <c r="D53" i="32"/>
  <c r="J52" i="32"/>
  <c r="I52" i="32"/>
  <c r="D52" i="32"/>
  <c r="J51" i="32"/>
  <c r="I51" i="32"/>
  <c r="D51" i="32"/>
  <c r="J50" i="32"/>
  <c r="I50" i="32"/>
  <c r="D50" i="32"/>
  <c r="J49" i="32"/>
  <c r="I49" i="32"/>
  <c r="D49" i="32"/>
  <c r="J48" i="32"/>
  <c r="I48" i="32"/>
  <c r="D48" i="32"/>
  <c r="J47" i="32"/>
  <c r="I47" i="32"/>
  <c r="D47" i="32"/>
  <c r="J46" i="32"/>
  <c r="I46" i="32"/>
  <c r="D46" i="32"/>
  <c r="J45" i="32"/>
  <c r="I45" i="32"/>
  <c r="D45" i="32"/>
  <c r="J44" i="32"/>
  <c r="I44" i="32"/>
  <c r="D44" i="32"/>
  <c r="J43" i="32"/>
  <c r="I43" i="32"/>
  <c r="D43" i="32"/>
  <c r="J42" i="32"/>
  <c r="I42" i="32"/>
  <c r="D42" i="32"/>
  <c r="J41" i="32"/>
  <c r="I41" i="32"/>
  <c r="D41" i="32"/>
  <c r="J40" i="32"/>
  <c r="I40" i="32"/>
  <c r="D40" i="32"/>
  <c r="J39" i="32"/>
  <c r="I39" i="32"/>
  <c r="D39" i="32"/>
  <c r="J38" i="32"/>
  <c r="I38" i="32"/>
  <c r="D38" i="32"/>
  <c r="J37" i="32"/>
  <c r="I37" i="32"/>
  <c r="D37" i="32"/>
  <c r="J36" i="32"/>
  <c r="I36" i="32"/>
  <c r="D36" i="32"/>
  <c r="J35" i="32"/>
  <c r="I35" i="32"/>
  <c r="D35" i="32"/>
  <c r="J34" i="32"/>
  <c r="I34" i="32"/>
  <c r="D34" i="32"/>
  <c r="J33" i="32"/>
  <c r="I33" i="32"/>
  <c r="D33" i="32"/>
  <c r="P32" i="32"/>
  <c r="J32" i="32"/>
  <c r="I32" i="32"/>
  <c r="D32" i="32"/>
  <c r="P31" i="32"/>
  <c r="J31" i="32"/>
  <c r="I31" i="32"/>
  <c r="D31" i="32"/>
  <c r="P30" i="32"/>
  <c r="J30" i="32"/>
  <c r="I30" i="32"/>
  <c r="D30" i="32"/>
  <c r="P29" i="32"/>
  <c r="J29" i="32"/>
  <c r="I29" i="32"/>
  <c r="D29" i="32"/>
  <c r="P28" i="32"/>
  <c r="P33" i="32" s="1"/>
  <c r="J28" i="32"/>
  <c r="I28" i="32"/>
  <c r="D28" i="32"/>
  <c r="J27" i="32"/>
  <c r="I27" i="32"/>
  <c r="D27" i="32"/>
  <c r="J26" i="32"/>
  <c r="I26" i="32"/>
  <c r="D26" i="32"/>
  <c r="P25" i="32"/>
  <c r="J25" i="32"/>
  <c r="I25" i="32"/>
  <c r="D25" i="32"/>
  <c r="P24" i="32"/>
  <c r="J24" i="32"/>
  <c r="I24" i="32"/>
  <c r="D24" i="32"/>
  <c r="P23" i="32"/>
  <c r="P26" i="32" s="1"/>
  <c r="J23" i="32"/>
  <c r="I23" i="32"/>
  <c r="D23" i="32"/>
  <c r="P22" i="32"/>
  <c r="J22" i="32"/>
  <c r="I22" i="32"/>
  <c r="D22" i="32"/>
  <c r="P21" i="32"/>
  <c r="J21" i="32"/>
  <c r="I21" i="32"/>
  <c r="D21" i="32"/>
  <c r="J20" i="32"/>
  <c r="I20" i="32"/>
  <c r="D20" i="32"/>
  <c r="M19" i="32"/>
  <c r="J19" i="32"/>
  <c r="I19" i="32"/>
  <c r="D19" i="32"/>
  <c r="J18" i="32"/>
  <c r="I18" i="32"/>
  <c r="D18" i="32"/>
  <c r="J17" i="32"/>
  <c r="I17" i="32"/>
  <c r="D17" i="32"/>
  <c r="J16" i="32"/>
  <c r="I16" i="32"/>
  <c r="D16" i="32"/>
  <c r="J15" i="32"/>
  <c r="I15" i="32"/>
  <c r="D15" i="32"/>
  <c r="J14" i="32"/>
  <c r="I14" i="32"/>
  <c r="D14" i="32"/>
  <c r="J13" i="32"/>
  <c r="I13" i="32"/>
  <c r="D13" i="32"/>
  <c r="J12" i="32"/>
  <c r="I12" i="32"/>
  <c r="D12" i="32"/>
  <c r="J11" i="32"/>
  <c r="I11" i="32"/>
  <c r="D11" i="32"/>
  <c r="J10" i="32"/>
  <c r="I10" i="32"/>
  <c r="D10" i="32"/>
  <c r="J9" i="32"/>
  <c r="I9" i="32"/>
  <c r="D9" i="32"/>
  <c r="J8" i="32"/>
  <c r="I8" i="32"/>
  <c r="D8" i="32"/>
  <c r="J7" i="32"/>
  <c r="I7" i="32"/>
  <c r="D7" i="32"/>
  <c r="J6" i="32"/>
  <c r="I6" i="32"/>
  <c r="D6" i="32"/>
  <c r="B2" i="32" a="1"/>
  <c r="B2" i="32" s="1"/>
  <c r="J488" i="31"/>
  <c r="I488" i="31"/>
  <c r="D488" i="31"/>
  <c r="J487" i="31"/>
  <c r="I487" i="31"/>
  <c r="D487" i="31"/>
  <c r="J486" i="31"/>
  <c r="I486" i="31"/>
  <c r="D486" i="31"/>
  <c r="J485" i="31"/>
  <c r="I485" i="31"/>
  <c r="D485" i="31"/>
  <c r="J484" i="31"/>
  <c r="I484" i="31"/>
  <c r="D484" i="31"/>
  <c r="J483" i="31"/>
  <c r="I483" i="31"/>
  <c r="D483" i="31"/>
  <c r="J482" i="31"/>
  <c r="I482" i="31"/>
  <c r="D482" i="31"/>
  <c r="J481" i="31"/>
  <c r="I481" i="31"/>
  <c r="D481" i="31"/>
  <c r="J480" i="31"/>
  <c r="I480" i="31"/>
  <c r="D480" i="31"/>
  <c r="J479" i="31"/>
  <c r="I479" i="31"/>
  <c r="D479" i="31"/>
  <c r="J478" i="31"/>
  <c r="I478" i="31"/>
  <c r="D478" i="31"/>
  <c r="J477" i="31"/>
  <c r="I477" i="31"/>
  <c r="D477" i="31"/>
  <c r="J476" i="31"/>
  <c r="I476" i="31"/>
  <c r="D476" i="31"/>
  <c r="J475" i="31"/>
  <c r="I475" i="31"/>
  <c r="D475" i="31"/>
  <c r="J474" i="31"/>
  <c r="I474" i="31"/>
  <c r="D474" i="31"/>
  <c r="J473" i="31"/>
  <c r="I473" i="31"/>
  <c r="D473" i="31"/>
  <c r="J472" i="31"/>
  <c r="I472" i="31"/>
  <c r="D472" i="31"/>
  <c r="J471" i="31"/>
  <c r="I471" i="31"/>
  <c r="D471" i="31"/>
  <c r="J470" i="31"/>
  <c r="I470" i="31"/>
  <c r="D470" i="31"/>
  <c r="J469" i="31"/>
  <c r="I469" i="31"/>
  <c r="D469" i="31"/>
  <c r="J468" i="31"/>
  <c r="I468" i="31"/>
  <c r="D468" i="31"/>
  <c r="J467" i="31"/>
  <c r="I467" i="31"/>
  <c r="D467" i="31"/>
  <c r="J466" i="31"/>
  <c r="I466" i="31"/>
  <c r="D466" i="31"/>
  <c r="J465" i="31"/>
  <c r="I465" i="31"/>
  <c r="D465" i="31"/>
  <c r="J464" i="31"/>
  <c r="I464" i="31"/>
  <c r="D464" i="31"/>
  <c r="J463" i="31"/>
  <c r="I463" i="31"/>
  <c r="D463" i="31"/>
  <c r="J462" i="31"/>
  <c r="I462" i="31"/>
  <c r="D462" i="31"/>
  <c r="J461" i="31"/>
  <c r="I461" i="31"/>
  <c r="D461" i="31"/>
  <c r="J460" i="31"/>
  <c r="I460" i="31"/>
  <c r="D460" i="31"/>
  <c r="J459" i="31"/>
  <c r="I459" i="31"/>
  <c r="D459" i="31"/>
  <c r="J458" i="31"/>
  <c r="I458" i="31"/>
  <c r="D458" i="31"/>
  <c r="J457" i="31"/>
  <c r="I457" i="31"/>
  <c r="D457" i="31"/>
  <c r="J456" i="31"/>
  <c r="I456" i="31"/>
  <c r="D456" i="31"/>
  <c r="J455" i="31"/>
  <c r="I455" i="31"/>
  <c r="D455" i="31"/>
  <c r="J454" i="31"/>
  <c r="I454" i="31"/>
  <c r="D454" i="31"/>
  <c r="J453" i="31"/>
  <c r="I453" i="31"/>
  <c r="D453" i="31"/>
  <c r="J452" i="31"/>
  <c r="I452" i="31"/>
  <c r="D452" i="31"/>
  <c r="J451" i="31"/>
  <c r="I451" i="31"/>
  <c r="D451" i="31"/>
  <c r="J450" i="31"/>
  <c r="I450" i="31"/>
  <c r="D450" i="31"/>
  <c r="J449" i="31"/>
  <c r="I449" i="31"/>
  <c r="D449" i="31"/>
  <c r="J448" i="31"/>
  <c r="I448" i="31"/>
  <c r="D448" i="31"/>
  <c r="J447" i="31"/>
  <c r="I447" i="31"/>
  <c r="D447" i="31"/>
  <c r="J446" i="31"/>
  <c r="I446" i="31"/>
  <c r="D446" i="31"/>
  <c r="J445" i="31"/>
  <c r="I445" i="31"/>
  <c r="D445" i="31"/>
  <c r="J444" i="31"/>
  <c r="I444" i="31"/>
  <c r="D444" i="31"/>
  <c r="J443" i="31"/>
  <c r="I443" i="31"/>
  <c r="D443" i="31"/>
  <c r="J442" i="31"/>
  <c r="I442" i="31"/>
  <c r="D442" i="31"/>
  <c r="J441" i="31"/>
  <c r="I441" i="31"/>
  <c r="D441" i="31"/>
  <c r="J440" i="31"/>
  <c r="I440" i="31"/>
  <c r="D440" i="31"/>
  <c r="J439" i="31"/>
  <c r="I439" i="31"/>
  <c r="D439" i="31"/>
  <c r="J438" i="31"/>
  <c r="I438" i="31"/>
  <c r="D438" i="31"/>
  <c r="J437" i="31"/>
  <c r="I437" i="31"/>
  <c r="D437" i="31"/>
  <c r="J436" i="31"/>
  <c r="I436" i="31"/>
  <c r="D436" i="31"/>
  <c r="J435" i="31"/>
  <c r="I435" i="31"/>
  <c r="D435" i="31"/>
  <c r="J434" i="31"/>
  <c r="I434" i="31"/>
  <c r="D434" i="31"/>
  <c r="J433" i="31"/>
  <c r="I433" i="31"/>
  <c r="D433" i="31"/>
  <c r="J432" i="31"/>
  <c r="I432" i="31"/>
  <c r="D432" i="31"/>
  <c r="J431" i="31"/>
  <c r="I431" i="31"/>
  <c r="D431" i="31"/>
  <c r="J430" i="31"/>
  <c r="I430" i="31"/>
  <c r="D430" i="31"/>
  <c r="J429" i="31"/>
  <c r="I429" i="31"/>
  <c r="D429" i="31"/>
  <c r="J428" i="31"/>
  <c r="I428" i="31"/>
  <c r="D428" i="31"/>
  <c r="J427" i="31"/>
  <c r="I427" i="31"/>
  <c r="D427" i="31"/>
  <c r="J426" i="31"/>
  <c r="I426" i="31"/>
  <c r="D426" i="31"/>
  <c r="J425" i="31"/>
  <c r="I425" i="31"/>
  <c r="D425" i="31"/>
  <c r="J424" i="31"/>
  <c r="I424" i="31"/>
  <c r="D424" i="31"/>
  <c r="J423" i="31"/>
  <c r="I423" i="31"/>
  <c r="D423" i="31"/>
  <c r="J422" i="31"/>
  <c r="I422" i="31"/>
  <c r="D422" i="31"/>
  <c r="J421" i="31"/>
  <c r="I421" i="31"/>
  <c r="D421" i="31"/>
  <c r="J420" i="31"/>
  <c r="I420" i="31"/>
  <c r="D420" i="31"/>
  <c r="J419" i="31"/>
  <c r="I419" i="31"/>
  <c r="D419" i="31"/>
  <c r="J418" i="31"/>
  <c r="I418" i="31"/>
  <c r="D418" i="31"/>
  <c r="J417" i="31"/>
  <c r="I417" i="31"/>
  <c r="D417" i="31"/>
  <c r="J416" i="31"/>
  <c r="I416" i="31"/>
  <c r="D416" i="31"/>
  <c r="J415" i="31"/>
  <c r="I415" i="31"/>
  <c r="D415" i="31"/>
  <c r="J414" i="31"/>
  <c r="I414" i="31"/>
  <c r="D414" i="31"/>
  <c r="J413" i="31"/>
  <c r="I413" i="31"/>
  <c r="D413" i="31"/>
  <c r="J412" i="31"/>
  <c r="I412" i="31"/>
  <c r="D412" i="31"/>
  <c r="J411" i="31"/>
  <c r="I411" i="31"/>
  <c r="D411" i="31"/>
  <c r="J410" i="31"/>
  <c r="I410" i="31"/>
  <c r="D410" i="31"/>
  <c r="J409" i="31"/>
  <c r="I409" i="31"/>
  <c r="D409" i="31"/>
  <c r="J408" i="31"/>
  <c r="I408" i="31"/>
  <c r="D408" i="31"/>
  <c r="J407" i="31"/>
  <c r="I407" i="31"/>
  <c r="D407" i="31"/>
  <c r="J406" i="31"/>
  <c r="I406" i="31"/>
  <c r="D406" i="31"/>
  <c r="J405" i="31"/>
  <c r="I405" i="31"/>
  <c r="D405" i="31"/>
  <c r="J404" i="31"/>
  <c r="I404" i="31"/>
  <c r="D404" i="31"/>
  <c r="J403" i="31"/>
  <c r="I403" i="31"/>
  <c r="D403" i="31"/>
  <c r="J402" i="31"/>
  <c r="I402" i="31"/>
  <c r="D402" i="31"/>
  <c r="J401" i="31"/>
  <c r="I401" i="31"/>
  <c r="D401" i="31"/>
  <c r="J400" i="31"/>
  <c r="I400" i="31"/>
  <c r="D400" i="31"/>
  <c r="J399" i="31"/>
  <c r="I399" i="31"/>
  <c r="D399" i="31"/>
  <c r="J398" i="31"/>
  <c r="I398" i="31"/>
  <c r="D398" i="31"/>
  <c r="J397" i="31"/>
  <c r="I397" i="31"/>
  <c r="D397" i="31"/>
  <c r="J396" i="31"/>
  <c r="I396" i="31"/>
  <c r="D396" i="31"/>
  <c r="J395" i="31"/>
  <c r="I395" i="31"/>
  <c r="D395" i="31"/>
  <c r="J394" i="31"/>
  <c r="I394" i="31"/>
  <c r="D394" i="31"/>
  <c r="J393" i="31"/>
  <c r="I393" i="31"/>
  <c r="D393" i="31"/>
  <c r="J392" i="31"/>
  <c r="I392" i="31"/>
  <c r="D392" i="31"/>
  <c r="J391" i="31"/>
  <c r="I391" i="31"/>
  <c r="D391" i="31"/>
  <c r="J390" i="31"/>
  <c r="I390" i="31"/>
  <c r="D390" i="31"/>
  <c r="J389" i="31"/>
  <c r="I389" i="31"/>
  <c r="D389" i="31"/>
  <c r="J388" i="31"/>
  <c r="I388" i="31"/>
  <c r="D388" i="31"/>
  <c r="J387" i="31"/>
  <c r="I387" i="31"/>
  <c r="D387" i="31"/>
  <c r="J386" i="31"/>
  <c r="I386" i="31"/>
  <c r="D386" i="31"/>
  <c r="J385" i="31"/>
  <c r="I385" i="31"/>
  <c r="D385" i="31"/>
  <c r="J384" i="31"/>
  <c r="I384" i="31"/>
  <c r="D384" i="31"/>
  <c r="J383" i="31"/>
  <c r="I383" i="31"/>
  <c r="D383" i="31"/>
  <c r="J382" i="31"/>
  <c r="I382" i="31"/>
  <c r="D382" i="31"/>
  <c r="J381" i="31"/>
  <c r="I381" i="31"/>
  <c r="D381" i="31"/>
  <c r="J380" i="31"/>
  <c r="I380" i="31"/>
  <c r="D380" i="31"/>
  <c r="J379" i="31"/>
  <c r="I379" i="31"/>
  <c r="D379" i="31"/>
  <c r="J378" i="31"/>
  <c r="I378" i="31"/>
  <c r="D378" i="31"/>
  <c r="J377" i="31"/>
  <c r="I377" i="31"/>
  <c r="D377" i="31"/>
  <c r="J376" i="31"/>
  <c r="I376" i="31"/>
  <c r="D376" i="31"/>
  <c r="J375" i="31"/>
  <c r="I375" i="31"/>
  <c r="D375" i="31"/>
  <c r="J374" i="31"/>
  <c r="I374" i="31"/>
  <c r="D374" i="31"/>
  <c r="J373" i="31"/>
  <c r="I373" i="31"/>
  <c r="D373" i="31"/>
  <c r="J372" i="31"/>
  <c r="I372" i="31"/>
  <c r="D372" i="31"/>
  <c r="J371" i="31"/>
  <c r="I371" i="31"/>
  <c r="D371" i="31"/>
  <c r="J370" i="31"/>
  <c r="I370" i="31"/>
  <c r="D370" i="31"/>
  <c r="J369" i="31"/>
  <c r="I369" i="31"/>
  <c r="D369" i="31"/>
  <c r="J368" i="31"/>
  <c r="I368" i="31"/>
  <c r="D368" i="31"/>
  <c r="J367" i="31"/>
  <c r="I367" i="31"/>
  <c r="D367" i="31"/>
  <c r="J366" i="31"/>
  <c r="I366" i="31"/>
  <c r="D366" i="31"/>
  <c r="J365" i="31"/>
  <c r="I365" i="31"/>
  <c r="D365" i="31"/>
  <c r="J364" i="31"/>
  <c r="I364" i="31"/>
  <c r="D364" i="31"/>
  <c r="J363" i="31"/>
  <c r="I363" i="31"/>
  <c r="D363" i="31"/>
  <c r="J362" i="31"/>
  <c r="I362" i="31"/>
  <c r="D362" i="31"/>
  <c r="J361" i="31"/>
  <c r="I361" i="31"/>
  <c r="D361" i="31"/>
  <c r="J360" i="31"/>
  <c r="I360" i="31"/>
  <c r="D360" i="31"/>
  <c r="J359" i="31"/>
  <c r="I359" i="31"/>
  <c r="D359" i="31"/>
  <c r="J358" i="31"/>
  <c r="I358" i="31"/>
  <c r="D358" i="31"/>
  <c r="J357" i="31"/>
  <c r="I357" i="31"/>
  <c r="D357" i="31"/>
  <c r="J356" i="31"/>
  <c r="I356" i="31"/>
  <c r="D356" i="31"/>
  <c r="J355" i="31"/>
  <c r="I355" i="31"/>
  <c r="D355" i="31"/>
  <c r="J354" i="31"/>
  <c r="I354" i="31"/>
  <c r="D354" i="31"/>
  <c r="J353" i="31"/>
  <c r="I353" i="31"/>
  <c r="D353" i="31"/>
  <c r="J352" i="31"/>
  <c r="I352" i="31"/>
  <c r="D352" i="31"/>
  <c r="J351" i="31"/>
  <c r="I351" i="31"/>
  <c r="D351" i="31"/>
  <c r="J350" i="31"/>
  <c r="I350" i="31"/>
  <c r="D350" i="31"/>
  <c r="J349" i="31"/>
  <c r="I349" i="31"/>
  <c r="D349" i="31"/>
  <c r="J348" i="31"/>
  <c r="I348" i="31"/>
  <c r="D348" i="31"/>
  <c r="J347" i="31"/>
  <c r="I347" i="31"/>
  <c r="D347" i="31"/>
  <c r="J346" i="31"/>
  <c r="I346" i="31"/>
  <c r="D346" i="31"/>
  <c r="J345" i="31"/>
  <c r="I345" i="31"/>
  <c r="D345" i="31"/>
  <c r="J344" i="31"/>
  <c r="I344" i="31"/>
  <c r="D344" i="31"/>
  <c r="J343" i="31"/>
  <c r="I343" i="31"/>
  <c r="D343" i="31"/>
  <c r="J342" i="31"/>
  <c r="I342" i="31"/>
  <c r="D342" i="31"/>
  <c r="J341" i="31"/>
  <c r="I341" i="31"/>
  <c r="D341" i="31"/>
  <c r="J340" i="31"/>
  <c r="I340" i="31"/>
  <c r="D340" i="31"/>
  <c r="J339" i="31"/>
  <c r="I339" i="31"/>
  <c r="D339" i="31"/>
  <c r="J338" i="31"/>
  <c r="I338" i="31"/>
  <c r="D338" i="31"/>
  <c r="J337" i="31"/>
  <c r="I337" i="31"/>
  <c r="D337" i="31"/>
  <c r="J336" i="31"/>
  <c r="I336" i="31"/>
  <c r="D336" i="31"/>
  <c r="J335" i="31"/>
  <c r="I335" i="31"/>
  <c r="D335" i="31"/>
  <c r="J334" i="31"/>
  <c r="I334" i="31"/>
  <c r="D334" i="31"/>
  <c r="J333" i="31"/>
  <c r="I333" i="31"/>
  <c r="D333" i="31"/>
  <c r="J332" i="31"/>
  <c r="I332" i="31"/>
  <c r="D332" i="31"/>
  <c r="J331" i="31"/>
  <c r="I331" i="31"/>
  <c r="D331" i="31"/>
  <c r="J330" i="31"/>
  <c r="I330" i="31"/>
  <c r="D330" i="31"/>
  <c r="J329" i="31"/>
  <c r="I329" i="31"/>
  <c r="D329" i="31"/>
  <c r="J328" i="31"/>
  <c r="I328" i="31"/>
  <c r="D328" i="31"/>
  <c r="J327" i="31"/>
  <c r="I327" i="31"/>
  <c r="D327" i="31"/>
  <c r="J326" i="31"/>
  <c r="I326" i="31"/>
  <c r="D326" i="31"/>
  <c r="J325" i="31"/>
  <c r="I325" i="31"/>
  <c r="D325" i="31"/>
  <c r="J324" i="31"/>
  <c r="I324" i="31"/>
  <c r="D324" i="31"/>
  <c r="J323" i="31"/>
  <c r="I323" i="31"/>
  <c r="D323" i="31"/>
  <c r="J322" i="31"/>
  <c r="I322" i="31"/>
  <c r="D322" i="31"/>
  <c r="J321" i="31"/>
  <c r="I321" i="31"/>
  <c r="D321" i="31"/>
  <c r="J320" i="31"/>
  <c r="I320" i="31"/>
  <c r="D320" i="31"/>
  <c r="J319" i="31"/>
  <c r="I319" i="31"/>
  <c r="D319" i="31"/>
  <c r="J318" i="31"/>
  <c r="I318" i="31"/>
  <c r="D318" i="31"/>
  <c r="J317" i="31"/>
  <c r="I317" i="31"/>
  <c r="D317" i="31"/>
  <c r="J316" i="31"/>
  <c r="I316" i="31"/>
  <c r="D316" i="31"/>
  <c r="J315" i="31"/>
  <c r="I315" i="31"/>
  <c r="D315" i="31"/>
  <c r="J314" i="31"/>
  <c r="I314" i="31"/>
  <c r="D314" i="31"/>
  <c r="J313" i="31"/>
  <c r="I313" i="31"/>
  <c r="D313" i="31"/>
  <c r="J312" i="31"/>
  <c r="I312" i="31"/>
  <c r="D312" i="31"/>
  <c r="J311" i="31"/>
  <c r="I311" i="31"/>
  <c r="D311" i="31"/>
  <c r="J310" i="31"/>
  <c r="I310" i="31"/>
  <c r="D310" i="31"/>
  <c r="J309" i="31"/>
  <c r="I309" i="31"/>
  <c r="D309" i="31"/>
  <c r="J308" i="31"/>
  <c r="I308" i="31"/>
  <c r="D308" i="31"/>
  <c r="J307" i="31"/>
  <c r="I307" i="31"/>
  <c r="D307" i="31"/>
  <c r="J306" i="31"/>
  <c r="I306" i="31"/>
  <c r="D306" i="31"/>
  <c r="J305" i="31"/>
  <c r="I305" i="31"/>
  <c r="D305" i="31"/>
  <c r="J304" i="31"/>
  <c r="I304" i="31"/>
  <c r="D304" i="31"/>
  <c r="J303" i="31"/>
  <c r="I303" i="31"/>
  <c r="D303" i="31"/>
  <c r="J302" i="31"/>
  <c r="I302" i="31"/>
  <c r="D302" i="31"/>
  <c r="J301" i="31"/>
  <c r="I301" i="31"/>
  <c r="D301" i="31"/>
  <c r="J300" i="31"/>
  <c r="I300" i="31"/>
  <c r="D300" i="31"/>
  <c r="J299" i="31"/>
  <c r="I299" i="31"/>
  <c r="D299" i="31"/>
  <c r="J298" i="31"/>
  <c r="I298" i="31"/>
  <c r="D298" i="31"/>
  <c r="J297" i="31"/>
  <c r="I297" i="31"/>
  <c r="D297" i="31"/>
  <c r="J296" i="31"/>
  <c r="I296" i="31"/>
  <c r="D296" i="31"/>
  <c r="J295" i="31"/>
  <c r="I295" i="31"/>
  <c r="D295" i="31"/>
  <c r="J294" i="31"/>
  <c r="I294" i="31"/>
  <c r="D294" i="31"/>
  <c r="J293" i="31"/>
  <c r="I293" i="31"/>
  <c r="D293" i="31"/>
  <c r="J292" i="31"/>
  <c r="I292" i="31"/>
  <c r="D292" i="31"/>
  <c r="J291" i="31"/>
  <c r="I291" i="31"/>
  <c r="D291" i="31"/>
  <c r="J290" i="31"/>
  <c r="I290" i="31"/>
  <c r="D290" i="31"/>
  <c r="J289" i="31"/>
  <c r="I289" i="31"/>
  <c r="D289" i="31"/>
  <c r="J288" i="31"/>
  <c r="I288" i="31"/>
  <c r="D288" i="31"/>
  <c r="J287" i="31"/>
  <c r="I287" i="31"/>
  <c r="D287" i="31"/>
  <c r="J286" i="31"/>
  <c r="I286" i="31"/>
  <c r="D286" i="31"/>
  <c r="J285" i="31"/>
  <c r="I285" i="31"/>
  <c r="D285" i="31"/>
  <c r="J284" i="31"/>
  <c r="I284" i="31"/>
  <c r="D284" i="31"/>
  <c r="J283" i="31"/>
  <c r="I283" i="31"/>
  <c r="D283" i="31"/>
  <c r="J282" i="31"/>
  <c r="I282" i="31"/>
  <c r="D282" i="31"/>
  <c r="J281" i="31"/>
  <c r="I281" i="31"/>
  <c r="D281" i="31"/>
  <c r="J280" i="31"/>
  <c r="I280" i="31"/>
  <c r="D280" i="31"/>
  <c r="J279" i="31"/>
  <c r="I279" i="31"/>
  <c r="D279" i="31"/>
  <c r="J278" i="31"/>
  <c r="I278" i="31"/>
  <c r="D278" i="31"/>
  <c r="J277" i="31"/>
  <c r="I277" i="31"/>
  <c r="D277" i="31"/>
  <c r="J276" i="31"/>
  <c r="I276" i="31"/>
  <c r="D276" i="31"/>
  <c r="J275" i="31"/>
  <c r="I275" i="31"/>
  <c r="D275" i="31"/>
  <c r="J274" i="31"/>
  <c r="I274" i="31"/>
  <c r="D274" i="31"/>
  <c r="J273" i="31"/>
  <c r="I273" i="31"/>
  <c r="D273" i="31"/>
  <c r="J272" i="31"/>
  <c r="I272" i="31"/>
  <c r="D272" i="31"/>
  <c r="J271" i="31"/>
  <c r="I271" i="31"/>
  <c r="D271" i="31"/>
  <c r="J270" i="31"/>
  <c r="I270" i="31"/>
  <c r="D270" i="31"/>
  <c r="J269" i="31"/>
  <c r="I269" i="31"/>
  <c r="D269" i="31"/>
  <c r="J268" i="31"/>
  <c r="I268" i="31"/>
  <c r="D268" i="31"/>
  <c r="J267" i="31"/>
  <c r="I267" i="31"/>
  <c r="D267" i="31"/>
  <c r="J266" i="31"/>
  <c r="I266" i="31"/>
  <c r="D266" i="31"/>
  <c r="J265" i="31"/>
  <c r="I265" i="31"/>
  <c r="D265" i="31"/>
  <c r="J264" i="31"/>
  <c r="I264" i="31"/>
  <c r="D264" i="31"/>
  <c r="J263" i="31"/>
  <c r="I263" i="31"/>
  <c r="D263" i="31"/>
  <c r="J262" i="31"/>
  <c r="I262" i="31"/>
  <c r="D262" i="31"/>
  <c r="J261" i="31"/>
  <c r="I261" i="31"/>
  <c r="D261" i="31"/>
  <c r="J260" i="31"/>
  <c r="I260" i="31"/>
  <c r="D260" i="31"/>
  <c r="J259" i="31"/>
  <c r="I259" i="31"/>
  <c r="D259" i="31"/>
  <c r="J258" i="31"/>
  <c r="I258" i="31"/>
  <c r="D258" i="31"/>
  <c r="J257" i="31"/>
  <c r="I257" i="31"/>
  <c r="D257" i="31"/>
  <c r="J256" i="31"/>
  <c r="I256" i="31"/>
  <c r="D256" i="31"/>
  <c r="J255" i="31"/>
  <c r="I255" i="31"/>
  <c r="D255" i="31"/>
  <c r="J254" i="31"/>
  <c r="I254" i="31"/>
  <c r="D254" i="31"/>
  <c r="J253" i="31"/>
  <c r="I253" i="31"/>
  <c r="D253" i="31"/>
  <c r="J252" i="31"/>
  <c r="I252" i="31"/>
  <c r="D252" i="31"/>
  <c r="J251" i="31"/>
  <c r="I251" i="31"/>
  <c r="D251" i="31"/>
  <c r="J250" i="31"/>
  <c r="I250" i="31"/>
  <c r="D250" i="31"/>
  <c r="J249" i="31"/>
  <c r="I249" i="31"/>
  <c r="D249" i="31"/>
  <c r="J248" i="31"/>
  <c r="I248" i="31"/>
  <c r="D248" i="31"/>
  <c r="J247" i="31"/>
  <c r="I247" i="31"/>
  <c r="D247" i="31"/>
  <c r="J246" i="31"/>
  <c r="I246" i="31"/>
  <c r="D246" i="31"/>
  <c r="J245" i="31"/>
  <c r="I245" i="31"/>
  <c r="D245" i="31"/>
  <c r="J244" i="31"/>
  <c r="I244" i="31"/>
  <c r="D244" i="31"/>
  <c r="J243" i="31"/>
  <c r="I243" i="31"/>
  <c r="D243" i="31"/>
  <c r="J242" i="31"/>
  <c r="I242" i="31"/>
  <c r="D242" i="31"/>
  <c r="J241" i="31"/>
  <c r="I241" i="31"/>
  <c r="D241" i="31"/>
  <c r="J240" i="31"/>
  <c r="I240" i="31"/>
  <c r="D240" i="31"/>
  <c r="J239" i="31"/>
  <c r="I239" i="31"/>
  <c r="D239" i="31"/>
  <c r="J238" i="31"/>
  <c r="I238" i="31"/>
  <c r="D238" i="31"/>
  <c r="J237" i="31"/>
  <c r="I237" i="31"/>
  <c r="D237" i="31"/>
  <c r="J236" i="31"/>
  <c r="I236" i="31"/>
  <c r="D236" i="31"/>
  <c r="J235" i="31"/>
  <c r="I235" i="31"/>
  <c r="D235" i="31"/>
  <c r="J234" i="31"/>
  <c r="I234" i="31"/>
  <c r="D234" i="31"/>
  <c r="J233" i="31"/>
  <c r="I233" i="31"/>
  <c r="D233" i="31"/>
  <c r="J232" i="31"/>
  <c r="I232" i="31"/>
  <c r="D232" i="31"/>
  <c r="J231" i="31"/>
  <c r="I231" i="31"/>
  <c r="D231" i="31"/>
  <c r="J230" i="31"/>
  <c r="I230" i="31"/>
  <c r="D230" i="31"/>
  <c r="J229" i="31"/>
  <c r="I229" i="31"/>
  <c r="D229" i="31"/>
  <c r="J228" i="31"/>
  <c r="I228" i="31"/>
  <c r="D228" i="31"/>
  <c r="J227" i="31"/>
  <c r="I227" i="31"/>
  <c r="D227" i="31"/>
  <c r="J226" i="31"/>
  <c r="I226" i="31"/>
  <c r="D226" i="31"/>
  <c r="J225" i="31"/>
  <c r="I225" i="31"/>
  <c r="D225" i="31"/>
  <c r="J224" i="31"/>
  <c r="I224" i="31"/>
  <c r="D224" i="31"/>
  <c r="J223" i="31"/>
  <c r="I223" i="31"/>
  <c r="D223" i="31"/>
  <c r="J222" i="31"/>
  <c r="I222" i="31"/>
  <c r="D222" i="31"/>
  <c r="J221" i="31"/>
  <c r="I221" i="31"/>
  <c r="D221" i="31"/>
  <c r="J220" i="31"/>
  <c r="I220" i="31"/>
  <c r="D220" i="31"/>
  <c r="J219" i="31"/>
  <c r="I219" i="31"/>
  <c r="D219" i="31"/>
  <c r="J218" i="31"/>
  <c r="I218" i="31"/>
  <c r="D218" i="31"/>
  <c r="J217" i="31"/>
  <c r="I217" i="31"/>
  <c r="D217" i="31"/>
  <c r="J216" i="31"/>
  <c r="I216" i="31"/>
  <c r="D216" i="31"/>
  <c r="J215" i="31"/>
  <c r="I215" i="31"/>
  <c r="D215" i="31"/>
  <c r="J214" i="31"/>
  <c r="I214" i="31"/>
  <c r="D214" i="31"/>
  <c r="J213" i="31"/>
  <c r="I213" i="31"/>
  <c r="D213" i="31"/>
  <c r="J212" i="31"/>
  <c r="I212" i="31"/>
  <c r="D212" i="31"/>
  <c r="J211" i="31"/>
  <c r="I211" i="31"/>
  <c r="D211" i="31"/>
  <c r="J210" i="31"/>
  <c r="I210" i="31"/>
  <c r="D210" i="31"/>
  <c r="J209" i="31"/>
  <c r="I209" i="31"/>
  <c r="D209" i="31"/>
  <c r="J208" i="31"/>
  <c r="I208" i="31"/>
  <c r="D208" i="31"/>
  <c r="J207" i="31"/>
  <c r="I207" i="31"/>
  <c r="D207" i="31"/>
  <c r="J206" i="31"/>
  <c r="I206" i="31"/>
  <c r="D206" i="31"/>
  <c r="J205" i="31"/>
  <c r="I205" i="31"/>
  <c r="D205" i="31"/>
  <c r="J204" i="31"/>
  <c r="I204" i="31"/>
  <c r="D204" i="31"/>
  <c r="J203" i="31"/>
  <c r="I203" i="31"/>
  <c r="D203" i="31"/>
  <c r="J202" i="31"/>
  <c r="I202" i="31"/>
  <c r="D202" i="31"/>
  <c r="J201" i="31"/>
  <c r="I201" i="31"/>
  <c r="D201" i="31"/>
  <c r="J200" i="31"/>
  <c r="I200" i="31"/>
  <c r="D200" i="31"/>
  <c r="J199" i="31"/>
  <c r="I199" i="31"/>
  <c r="D199" i="31"/>
  <c r="J198" i="31"/>
  <c r="I198" i="31"/>
  <c r="D198" i="31"/>
  <c r="J197" i="31"/>
  <c r="I197" i="31"/>
  <c r="D197" i="31"/>
  <c r="J196" i="31"/>
  <c r="I196" i="31"/>
  <c r="D196" i="31"/>
  <c r="J195" i="31"/>
  <c r="I195" i="31"/>
  <c r="D195" i="31"/>
  <c r="J194" i="31"/>
  <c r="I194" i="31"/>
  <c r="D194" i="31"/>
  <c r="J193" i="31"/>
  <c r="I193" i="31"/>
  <c r="D193" i="31"/>
  <c r="J192" i="31"/>
  <c r="I192" i="31"/>
  <c r="D192" i="31"/>
  <c r="J191" i="31"/>
  <c r="I191" i="31"/>
  <c r="D191" i="31"/>
  <c r="J190" i="31"/>
  <c r="I190" i="31"/>
  <c r="D190" i="31"/>
  <c r="J189" i="31"/>
  <c r="I189" i="31"/>
  <c r="D189" i="31"/>
  <c r="J188" i="31"/>
  <c r="I188" i="31"/>
  <c r="D188" i="31"/>
  <c r="J187" i="31"/>
  <c r="I187" i="31"/>
  <c r="D187" i="31"/>
  <c r="J186" i="31"/>
  <c r="I186" i="31"/>
  <c r="D186" i="31"/>
  <c r="J185" i="31"/>
  <c r="I185" i="31"/>
  <c r="D185" i="31"/>
  <c r="J184" i="31"/>
  <c r="I184" i="31"/>
  <c r="D184" i="31"/>
  <c r="J183" i="31"/>
  <c r="I183" i="31"/>
  <c r="D183" i="31"/>
  <c r="J182" i="31"/>
  <c r="I182" i="31"/>
  <c r="D182" i="31"/>
  <c r="J181" i="31"/>
  <c r="I181" i="31"/>
  <c r="D181" i="31"/>
  <c r="J180" i="31"/>
  <c r="I180" i="31"/>
  <c r="D180" i="31"/>
  <c r="J179" i="31"/>
  <c r="I179" i="31"/>
  <c r="D179" i="31"/>
  <c r="J178" i="31"/>
  <c r="I178" i="31"/>
  <c r="D178" i="31"/>
  <c r="J177" i="31"/>
  <c r="I177" i="31"/>
  <c r="D177" i="31"/>
  <c r="J176" i="31"/>
  <c r="I176" i="31"/>
  <c r="D176" i="31"/>
  <c r="J175" i="31"/>
  <c r="I175" i="31"/>
  <c r="D175" i="31"/>
  <c r="J174" i="31"/>
  <c r="I174" i="31"/>
  <c r="D174" i="31"/>
  <c r="J173" i="31"/>
  <c r="I173" i="31"/>
  <c r="D173" i="31"/>
  <c r="J172" i="31"/>
  <c r="I172" i="31"/>
  <c r="D172" i="31"/>
  <c r="J171" i="31"/>
  <c r="I171" i="31"/>
  <c r="D171" i="31"/>
  <c r="J170" i="31"/>
  <c r="I170" i="31"/>
  <c r="D170" i="31"/>
  <c r="J169" i="31"/>
  <c r="I169" i="31"/>
  <c r="D169" i="31"/>
  <c r="J168" i="31"/>
  <c r="I168" i="31"/>
  <c r="D168" i="31"/>
  <c r="J167" i="31"/>
  <c r="I167" i="31"/>
  <c r="D167" i="31"/>
  <c r="J166" i="31"/>
  <c r="I166" i="31"/>
  <c r="D166" i="31"/>
  <c r="J165" i="31"/>
  <c r="I165" i="31"/>
  <c r="D165" i="31"/>
  <c r="J164" i="31"/>
  <c r="I164" i="31"/>
  <c r="D164" i="31"/>
  <c r="J163" i="31"/>
  <c r="I163" i="31"/>
  <c r="D163" i="31"/>
  <c r="J162" i="31"/>
  <c r="I162" i="31"/>
  <c r="D162" i="31"/>
  <c r="J161" i="31"/>
  <c r="I161" i="31"/>
  <c r="D161" i="31"/>
  <c r="J160" i="31"/>
  <c r="I160" i="31"/>
  <c r="D160" i="31"/>
  <c r="J159" i="31"/>
  <c r="I159" i="31"/>
  <c r="D159" i="31"/>
  <c r="J158" i="31"/>
  <c r="I158" i="31"/>
  <c r="D158" i="31"/>
  <c r="J157" i="31"/>
  <c r="I157" i="31"/>
  <c r="D157" i="31"/>
  <c r="J156" i="31"/>
  <c r="I156" i="31"/>
  <c r="D156" i="31"/>
  <c r="J155" i="31"/>
  <c r="I155" i="31"/>
  <c r="D155" i="31"/>
  <c r="J154" i="31"/>
  <c r="I154" i="31"/>
  <c r="D154" i="31"/>
  <c r="J153" i="31"/>
  <c r="I153" i="31"/>
  <c r="D153" i="31"/>
  <c r="J152" i="31"/>
  <c r="I152" i="31"/>
  <c r="D152" i="31"/>
  <c r="J151" i="31"/>
  <c r="I151" i="31"/>
  <c r="D151" i="31"/>
  <c r="J150" i="31"/>
  <c r="I150" i="31"/>
  <c r="D150" i="31"/>
  <c r="J149" i="31"/>
  <c r="I149" i="31"/>
  <c r="D149" i="31"/>
  <c r="J148" i="31"/>
  <c r="I148" i="31"/>
  <c r="D148" i="31"/>
  <c r="J147" i="31"/>
  <c r="I147" i="31"/>
  <c r="D147" i="31"/>
  <c r="J146" i="31"/>
  <c r="I146" i="31"/>
  <c r="D146" i="31"/>
  <c r="J145" i="31"/>
  <c r="I145" i="31"/>
  <c r="D145" i="31"/>
  <c r="J144" i="31"/>
  <c r="I144" i="31"/>
  <c r="D144" i="31"/>
  <c r="J143" i="31"/>
  <c r="I143" i="31"/>
  <c r="D143" i="31"/>
  <c r="J142" i="31"/>
  <c r="I142" i="31"/>
  <c r="D142" i="31"/>
  <c r="J141" i="31"/>
  <c r="I141" i="31"/>
  <c r="D141" i="31"/>
  <c r="J140" i="31"/>
  <c r="I140" i="31"/>
  <c r="D140" i="31"/>
  <c r="J139" i="31"/>
  <c r="I139" i="31"/>
  <c r="D139" i="31"/>
  <c r="J138" i="31"/>
  <c r="I138" i="31"/>
  <c r="D138" i="31"/>
  <c r="J137" i="31"/>
  <c r="I137" i="31"/>
  <c r="D137" i="31"/>
  <c r="J136" i="31"/>
  <c r="I136" i="31"/>
  <c r="D136" i="31"/>
  <c r="J135" i="31"/>
  <c r="I135" i="31"/>
  <c r="D135" i="31"/>
  <c r="J134" i="31"/>
  <c r="I134" i="31"/>
  <c r="D134" i="31"/>
  <c r="J133" i="31"/>
  <c r="I133" i="31"/>
  <c r="D133" i="31"/>
  <c r="J132" i="31"/>
  <c r="I132" i="31"/>
  <c r="D132" i="31"/>
  <c r="J131" i="31"/>
  <c r="I131" i="31"/>
  <c r="D131" i="31"/>
  <c r="J130" i="31"/>
  <c r="I130" i="31"/>
  <c r="D130" i="31"/>
  <c r="J129" i="31"/>
  <c r="I129" i="31"/>
  <c r="D129" i="31"/>
  <c r="J128" i="31"/>
  <c r="I128" i="31"/>
  <c r="D128" i="31"/>
  <c r="J127" i="31"/>
  <c r="I127" i="31"/>
  <c r="D127" i="31"/>
  <c r="J126" i="31"/>
  <c r="I126" i="31"/>
  <c r="D126" i="31"/>
  <c r="J125" i="31"/>
  <c r="I125" i="31"/>
  <c r="D125" i="31"/>
  <c r="J124" i="31"/>
  <c r="I124" i="31"/>
  <c r="D124" i="31"/>
  <c r="J123" i="31"/>
  <c r="I123" i="31"/>
  <c r="D123" i="31"/>
  <c r="J122" i="31"/>
  <c r="I122" i="31"/>
  <c r="D122" i="31"/>
  <c r="J121" i="31"/>
  <c r="I121" i="31"/>
  <c r="D121" i="31"/>
  <c r="J120" i="31"/>
  <c r="I120" i="31"/>
  <c r="D120" i="31"/>
  <c r="J119" i="31"/>
  <c r="I119" i="31"/>
  <c r="D119" i="31"/>
  <c r="J118" i="31"/>
  <c r="I118" i="31"/>
  <c r="D118" i="31"/>
  <c r="J117" i="31"/>
  <c r="I117" i="31"/>
  <c r="D117" i="31"/>
  <c r="J116" i="31"/>
  <c r="I116" i="31"/>
  <c r="D116" i="31"/>
  <c r="J115" i="31"/>
  <c r="I115" i="31"/>
  <c r="D115" i="31"/>
  <c r="J114" i="31"/>
  <c r="I114" i="31"/>
  <c r="D114" i="31"/>
  <c r="J113" i="31"/>
  <c r="I113" i="31"/>
  <c r="D113" i="31"/>
  <c r="J112" i="31"/>
  <c r="I112" i="31"/>
  <c r="D112" i="31"/>
  <c r="J111" i="31"/>
  <c r="I111" i="31"/>
  <c r="D111" i="31"/>
  <c r="J110" i="31"/>
  <c r="I110" i="31"/>
  <c r="D110" i="31"/>
  <c r="J109" i="31"/>
  <c r="I109" i="31"/>
  <c r="D109" i="31"/>
  <c r="J108" i="31"/>
  <c r="I108" i="31"/>
  <c r="D108" i="31"/>
  <c r="J107" i="31"/>
  <c r="I107" i="31"/>
  <c r="D107" i="31"/>
  <c r="J106" i="31"/>
  <c r="I106" i="31"/>
  <c r="D106" i="31"/>
  <c r="J105" i="31"/>
  <c r="I105" i="31"/>
  <c r="D105" i="31"/>
  <c r="J104" i="31"/>
  <c r="I104" i="31"/>
  <c r="D104" i="31"/>
  <c r="J103" i="31"/>
  <c r="I103" i="31"/>
  <c r="D103" i="31"/>
  <c r="J102" i="31"/>
  <c r="I102" i="31"/>
  <c r="D102" i="31"/>
  <c r="J101" i="31"/>
  <c r="I101" i="31"/>
  <c r="D101" i="31"/>
  <c r="J100" i="31"/>
  <c r="I100" i="31"/>
  <c r="D100" i="31"/>
  <c r="J99" i="31"/>
  <c r="I99" i="31"/>
  <c r="D99" i="31"/>
  <c r="J98" i="31"/>
  <c r="I98" i="31"/>
  <c r="D98" i="31"/>
  <c r="J97" i="31"/>
  <c r="I97" i="31"/>
  <c r="D97" i="31"/>
  <c r="J96" i="31"/>
  <c r="I96" i="31"/>
  <c r="D96" i="31"/>
  <c r="J95" i="31"/>
  <c r="I95" i="31"/>
  <c r="D95" i="31"/>
  <c r="J94" i="31"/>
  <c r="I94" i="31"/>
  <c r="D94" i="31"/>
  <c r="J93" i="31"/>
  <c r="I93" i="31"/>
  <c r="D93" i="31"/>
  <c r="J92" i="31"/>
  <c r="I92" i="31"/>
  <c r="D92" i="31"/>
  <c r="J91" i="31"/>
  <c r="I91" i="31"/>
  <c r="D91" i="31"/>
  <c r="J90" i="31"/>
  <c r="I90" i="31"/>
  <c r="D90" i="31"/>
  <c r="J89" i="31"/>
  <c r="I89" i="31"/>
  <c r="D89" i="31"/>
  <c r="J88" i="31"/>
  <c r="I88" i="31"/>
  <c r="D88" i="31"/>
  <c r="J87" i="31"/>
  <c r="I87" i="31"/>
  <c r="D87" i="31"/>
  <c r="J86" i="31"/>
  <c r="I86" i="31"/>
  <c r="D86" i="31"/>
  <c r="J85" i="31"/>
  <c r="I85" i="31"/>
  <c r="D85" i="31"/>
  <c r="J84" i="31"/>
  <c r="I84" i="31"/>
  <c r="D84" i="31"/>
  <c r="J83" i="31"/>
  <c r="I83" i="31"/>
  <c r="D83" i="31"/>
  <c r="J82" i="31"/>
  <c r="I82" i="31"/>
  <c r="D82" i="31"/>
  <c r="J81" i="31"/>
  <c r="I81" i="31"/>
  <c r="D81" i="31"/>
  <c r="J80" i="31"/>
  <c r="I80" i="31"/>
  <c r="D80" i="31"/>
  <c r="J79" i="31"/>
  <c r="I79" i="31"/>
  <c r="D79" i="31"/>
  <c r="J78" i="31"/>
  <c r="I78" i="31"/>
  <c r="D78" i="31"/>
  <c r="J77" i="31"/>
  <c r="I77" i="31"/>
  <c r="D77" i="31"/>
  <c r="J76" i="31"/>
  <c r="I76" i="31"/>
  <c r="D76" i="31"/>
  <c r="J75" i="31"/>
  <c r="I75" i="31"/>
  <c r="D75" i="31"/>
  <c r="J74" i="31"/>
  <c r="I74" i="31"/>
  <c r="D74" i="31"/>
  <c r="J73" i="31"/>
  <c r="I73" i="31"/>
  <c r="D73" i="31"/>
  <c r="J72" i="31"/>
  <c r="I72" i="31"/>
  <c r="D72" i="31"/>
  <c r="J71" i="31"/>
  <c r="I71" i="31"/>
  <c r="D71" i="31"/>
  <c r="J70" i="31"/>
  <c r="I70" i="31"/>
  <c r="D70" i="31"/>
  <c r="J69" i="31"/>
  <c r="I69" i="31"/>
  <c r="D69" i="31"/>
  <c r="J68" i="31"/>
  <c r="I68" i="31"/>
  <c r="D68" i="31"/>
  <c r="J67" i="31"/>
  <c r="I67" i="31"/>
  <c r="D67" i="31"/>
  <c r="J66" i="31"/>
  <c r="I66" i="31"/>
  <c r="D66" i="31"/>
  <c r="J65" i="31"/>
  <c r="I65" i="31"/>
  <c r="D65" i="31"/>
  <c r="J64" i="31"/>
  <c r="I64" i="31"/>
  <c r="D64" i="31"/>
  <c r="J63" i="31"/>
  <c r="I63" i="31"/>
  <c r="D63" i="31"/>
  <c r="J62" i="31"/>
  <c r="I62" i="31"/>
  <c r="D62" i="31"/>
  <c r="J61" i="31"/>
  <c r="I61" i="31"/>
  <c r="D61" i="31"/>
  <c r="J60" i="31"/>
  <c r="I60" i="31"/>
  <c r="D60" i="31"/>
  <c r="J59" i="31"/>
  <c r="I59" i="31"/>
  <c r="D59" i="31"/>
  <c r="J58" i="31"/>
  <c r="I58" i="31"/>
  <c r="D58" i="31"/>
  <c r="J57" i="31"/>
  <c r="I57" i="31"/>
  <c r="D57" i="31"/>
  <c r="J56" i="31"/>
  <c r="I56" i="31"/>
  <c r="D56" i="31"/>
  <c r="J55" i="31"/>
  <c r="I55" i="31"/>
  <c r="D55" i="31"/>
  <c r="J54" i="31"/>
  <c r="I54" i="31"/>
  <c r="D54" i="31"/>
  <c r="J53" i="31"/>
  <c r="I53" i="31"/>
  <c r="D53" i="31"/>
  <c r="J52" i="31"/>
  <c r="I52" i="31"/>
  <c r="D52" i="31"/>
  <c r="J51" i="31"/>
  <c r="I51" i="31"/>
  <c r="D51" i="31"/>
  <c r="J50" i="31"/>
  <c r="I50" i="31"/>
  <c r="D50" i="31"/>
  <c r="J49" i="31"/>
  <c r="I49" i="31"/>
  <c r="D49" i="31"/>
  <c r="J48" i="31"/>
  <c r="I48" i="31"/>
  <c r="D48" i="31"/>
  <c r="J47" i="31"/>
  <c r="I47" i="31"/>
  <c r="D47" i="31"/>
  <c r="J46" i="31"/>
  <c r="I46" i="31"/>
  <c r="D46" i="31"/>
  <c r="J45" i="31"/>
  <c r="I45" i="31"/>
  <c r="D45" i="31"/>
  <c r="J44" i="31"/>
  <c r="I44" i="31"/>
  <c r="D44" i="31"/>
  <c r="J43" i="31"/>
  <c r="I43" i="31"/>
  <c r="D43" i="31"/>
  <c r="J42" i="31"/>
  <c r="I42" i="31"/>
  <c r="D42" i="31"/>
  <c r="J41" i="31"/>
  <c r="I41" i="31"/>
  <c r="D41" i="31"/>
  <c r="J40" i="31"/>
  <c r="I40" i="31"/>
  <c r="D40" i="31"/>
  <c r="J39" i="31"/>
  <c r="I39" i="31"/>
  <c r="D39" i="31"/>
  <c r="J38" i="31"/>
  <c r="I38" i="31"/>
  <c r="D38" i="31"/>
  <c r="J37" i="31"/>
  <c r="I37" i="31"/>
  <c r="D37" i="31"/>
  <c r="J36" i="31"/>
  <c r="I36" i="31"/>
  <c r="D36" i="31"/>
  <c r="J35" i="31"/>
  <c r="I35" i="31"/>
  <c r="D35" i="31"/>
  <c r="J34" i="31"/>
  <c r="I34" i="31"/>
  <c r="D34" i="31"/>
  <c r="J33" i="31"/>
  <c r="I33" i="31"/>
  <c r="D33" i="31"/>
  <c r="P32" i="31"/>
  <c r="J32" i="31"/>
  <c r="I32" i="31"/>
  <c r="D32" i="31"/>
  <c r="P31" i="31"/>
  <c r="J31" i="31"/>
  <c r="I31" i="31"/>
  <c r="D31" i="31"/>
  <c r="P30" i="31"/>
  <c r="J30" i="31"/>
  <c r="I30" i="31"/>
  <c r="D30" i="31"/>
  <c r="P29" i="31"/>
  <c r="P33" i="31" s="1"/>
  <c r="J29" i="31"/>
  <c r="I29" i="31"/>
  <c r="D29" i="31"/>
  <c r="P28" i="31"/>
  <c r="J28" i="31"/>
  <c r="I28" i="31"/>
  <c r="D28" i="31"/>
  <c r="J27" i="31"/>
  <c r="I27" i="31"/>
  <c r="D27" i="31"/>
  <c r="J26" i="31"/>
  <c r="I26" i="31"/>
  <c r="D26" i="31"/>
  <c r="P25" i="31"/>
  <c r="J25" i="31"/>
  <c r="I25" i="31"/>
  <c r="D25" i="31"/>
  <c r="P24" i="31"/>
  <c r="J24" i="31"/>
  <c r="I24" i="31"/>
  <c r="D24" i="31"/>
  <c r="P23" i="31"/>
  <c r="P26" i="31" s="1"/>
  <c r="J23" i="31"/>
  <c r="I23" i="31"/>
  <c r="D23" i="31"/>
  <c r="P22" i="31"/>
  <c r="J22" i="31"/>
  <c r="I22" i="31"/>
  <c r="D22" i="31"/>
  <c r="P21" i="31"/>
  <c r="J21" i="31"/>
  <c r="I21" i="31"/>
  <c r="D21" i="31"/>
  <c r="J20" i="31"/>
  <c r="I20" i="31"/>
  <c r="D20" i="31"/>
  <c r="M19" i="31"/>
  <c r="J19" i="31"/>
  <c r="I19" i="31"/>
  <c r="D19" i="31"/>
  <c r="J18" i="31"/>
  <c r="I18" i="31"/>
  <c r="D18" i="31"/>
  <c r="J17" i="31"/>
  <c r="I17" i="31"/>
  <c r="D17" i="31"/>
  <c r="J16" i="31"/>
  <c r="I16" i="31"/>
  <c r="D16" i="31"/>
  <c r="J15" i="31"/>
  <c r="I15" i="31"/>
  <c r="D15" i="31"/>
  <c r="J14" i="31"/>
  <c r="I14" i="31"/>
  <c r="D14" i="31"/>
  <c r="J13" i="31"/>
  <c r="I13" i="31"/>
  <c r="D13" i="31"/>
  <c r="J12" i="31"/>
  <c r="I12" i="31"/>
  <c r="D12" i="31"/>
  <c r="J11" i="31"/>
  <c r="I11" i="31"/>
  <c r="D11" i="31"/>
  <c r="J10" i="31"/>
  <c r="I10" i="31"/>
  <c r="D10" i="31"/>
  <c r="I9" i="31"/>
  <c r="J9" i="31" s="1"/>
  <c r="D9" i="31"/>
  <c r="J8" i="31"/>
  <c r="I8" i="31"/>
  <c r="D8" i="31"/>
  <c r="J7" i="31"/>
  <c r="I7" i="31"/>
  <c r="D7" i="31"/>
  <c r="J6" i="31"/>
  <c r="I6" i="31"/>
  <c r="D6" i="31"/>
  <c r="B2" i="31" a="1"/>
  <c r="B2" i="31" s="1"/>
  <c r="J488" i="30"/>
  <c r="I488" i="30"/>
  <c r="D488" i="30"/>
  <c r="J487" i="30"/>
  <c r="I487" i="30"/>
  <c r="D487" i="30"/>
  <c r="J486" i="30"/>
  <c r="I486" i="30"/>
  <c r="D486" i="30"/>
  <c r="J485" i="30"/>
  <c r="I485" i="30"/>
  <c r="D485" i="30"/>
  <c r="J484" i="30"/>
  <c r="I484" i="30"/>
  <c r="D484" i="30"/>
  <c r="J483" i="30"/>
  <c r="I483" i="30"/>
  <c r="D483" i="30"/>
  <c r="J482" i="30"/>
  <c r="I482" i="30"/>
  <c r="D482" i="30"/>
  <c r="J481" i="30"/>
  <c r="I481" i="30"/>
  <c r="D481" i="30"/>
  <c r="J480" i="30"/>
  <c r="I480" i="30"/>
  <c r="D480" i="30"/>
  <c r="J479" i="30"/>
  <c r="I479" i="30"/>
  <c r="D479" i="30"/>
  <c r="J478" i="30"/>
  <c r="I478" i="30"/>
  <c r="D478" i="30"/>
  <c r="J477" i="30"/>
  <c r="I477" i="30"/>
  <c r="D477" i="30"/>
  <c r="J476" i="30"/>
  <c r="I476" i="30"/>
  <c r="D476" i="30"/>
  <c r="J475" i="30"/>
  <c r="I475" i="30"/>
  <c r="D475" i="30"/>
  <c r="J474" i="30"/>
  <c r="I474" i="30"/>
  <c r="D474" i="30"/>
  <c r="J473" i="30"/>
  <c r="I473" i="30"/>
  <c r="D473" i="30"/>
  <c r="J472" i="30"/>
  <c r="I472" i="30"/>
  <c r="D472" i="30"/>
  <c r="J471" i="30"/>
  <c r="I471" i="30"/>
  <c r="D471" i="30"/>
  <c r="J470" i="30"/>
  <c r="I470" i="30"/>
  <c r="D470" i="30"/>
  <c r="J469" i="30"/>
  <c r="I469" i="30"/>
  <c r="D469" i="30"/>
  <c r="J468" i="30"/>
  <c r="I468" i="30"/>
  <c r="D468" i="30"/>
  <c r="J467" i="30"/>
  <c r="I467" i="30"/>
  <c r="D467" i="30"/>
  <c r="J466" i="30"/>
  <c r="I466" i="30"/>
  <c r="D466" i="30"/>
  <c r="J465" i="30"/>
  <c r="I465" i="30"/>
  <c r="D465" i="30"/>
  <c r="J464" i="30"/>
  <c r="I464" i="30"/>
  <c r="D464" i="30"/>
  <c r="J463" i="30"/>
  <c r="I463" i="30"/>
  <c r="D463" i="30"/>
  <c r="J462" i="30"/>
  <c r="I462" i="30"/>
  <c r="D462" i="30"/>
  <c r="J461" i="30"/>
  <c r="I461" i="30"/>
  <c r="D461" i="30"/>
  <c r="J460" i="30"/>
  <c r="I460" i="30"/>
  <c r="D460" i="30"/>
  <c r="J459" i="30"/>
  <c r="I459" i="30"/>
  <c r="D459" i="30"/>
  <c r="J458" i="30"/>
  <c r="I458" i="30"/>
  <c r="D458" i="30"/>
  <c r="J457" i="30"/>
  <c r="I457" i="30"/>
  <c r="D457" i="30"/>
  <c r="J456" i="30"/>
  <c r="I456" i="30"/>
  <c r="D456" i="30"/>
  <c r="J455" i="30"/>
  <c r="I455" i="30"/>
  <c r="D455" i="30"/>
  <c r="J454" i="30"/>
  <c r="I454" i="30"/>
  <c r="D454" i="30"/>
  <c r="J453" i="30"/>
  <c r="I453" i="30"/>
  <c r="D453" i="30"/>
  <c r="J452" i="30"/>
  <c r="I452" i="30"/>
  <c r="D452" i="30"/>
  <c r="J451" i="30"/>
  <c r="I451" i="30"/>
  <c r="D451" i="30"/>
  <c r="J450" i="30"/>
  <c r="I450" i="30"/>
  <c r="D450" i="30"/>
  <c r="J449" i="30"/>
  <c r="I449" i="30"/>
  <c r="D449" i="30"/>
  <c r="J448" i="30"/>
  <c r="I448" i="30"/>
  <c r="D448" i="30"/>
  <c r="J447" i="30"/>
  <c r="I447" i="30"/>
  <c r="D447" i="30"/>
  <c r="J446" i="30"/>
  <c r="I446" i="30"/>
  <c r="D446" i="30"/>
  <c r="J445" i="30"/>
  <c r="I445" i="30"/>
  <c r="D445" i="30"/>
  <c r="J444" i="30"/>
  <c r="I444" i="30"/>
  <c r="D444" i="30"/>
  <c r="J443" i="30"/>
  <c r="I443" i="30"/>
  <c r="D443" i="30"/>
  <c r="J442" i="30"/>
  <c r="I442" i="30"/>
  <c r="D442" i="30"/>
  <c r="J441" i="30"/>
  <c r="I441" i="30"/>
  <c r="D441" i="30"/>
  <c r="J440" i="30"/>
  <c r="I440" i="30"/>
  <c r="D440" i="30"/>
  <c r="J439" i="30"/>
  <c r="I439" i="30"/>
  <c r="D439" i="30"/>
  <c r="J438" i="30"/>
  <c r="I438" i="30"/>
  <c r="D438" i="30"/>
  <c r="J437" i="30"/>
  <c r="I437" i="30"/>
  <c r="D437" i="30"/>
  <c r="J436" i="30"/>
  <c r="I436" i="30"/>
  <c r="D436" i="30"/>
  <c r="J435" i="30"/>
  <c r="I435" i="30"/>
  <c r="D435" i="30"/>
  <c r="J434" i="30"/>
  <c r="I434" i="30"/>
  <c r="D434" i="30"/>
  <c r="J433" i="30"/>
  <c r="I433" i="30"/>
  <c r="D433" i="30"/>
  <c r="J432" i="30"/>
  <c r="I432" i="30"/>
  <c r="D432" i="30"/>
  <c r="J431" i="30"/>
  <c r="I431" i="30"/>
  <c r="D431" i="30"/>
  <c r="J430" i="30"/>
  <c r="I430" i="30"/>
  <c r="D430" i="30"/>
  <c r="J429" i="30"/>
  <c r="I429" i="30"/>
  <c r="D429" i="30"/>
  <c r="J428" i="30"/>
  <c r="I428" i="30"/>
  <c r="D428" i="30"/>
  <c r="J427" i="30"/>
  <c r="I427" i="30"/>
  <c r="D427" i="30"/>
  <c r="J426" i="30"/>
  <c r="I426" i="30"/>
  <c r="D426" i="30"/>
  <c r="J425" i="30"/>
  <c r="I425" i="30"/>
  <c r="D425" i="30"/>
  <c r="J424" i="30"/>
  <c r="I424" i="30"/>
  <c r="D424" i="30"/>
  <c r="J423" i="30"/>
  <c r="I423" i="30"/>
  <c r="D423" i="30"/>
  <c r="J422" i="30"/>
  <c r="I422" i="30"/>
  <c r="D422" i="30"/>
  <c r="J421" i="30"/>
  <c r="I421" i="30"/>
  <c r="D421" i="30"/>
  <c r="J420" i="30"/>
  <c r="I420" i="30"/>
  <c r="D420" i="30"/>
  <c r="J419" i="30"/>
  <c r="I419" i="30"/>
  <c r="D419" i="30"/>
  <c r="J418" i="30"/>
  <c r="I418" i="30"/>
  <c r="D418" i="30"/>
  <c r="J417" i="30"/>
  <c r="I417" i="30"/>
  <c r="D417" i="30"/>
  <c r="J416" i="30"/>
  <c r="I416" i="30"/>
  <c r="D416" i="30"/>
  <c r="J415" i="30"/>
  <c r="I415" i="30"/>
  <c r="D415" i="30"/>
  <c r="J414" i="30"/>
  <c r="I414" i="30"/>
  <c r="D414" i="30"/>
  <c r="J413" i="30"/>
  <c r="I413" i="30"/>
  <c r="D413" i="30"/>
  <c r="J412" i="30"/>
  <c r="I412" i="30"/>
  <c r="D412" i="30"/>
  <c r="J411" i="30"/>
  <c r="I411" i="30"/>
  <c r="D411" i="30"/>
  <c r="J410" i="30"/>
  <c r="I410" i="30"/>
  <c r="D410" i="30"/>
  <c r="J409" i="30"/>
  <c r="I409" i="30"/>
  <c r="D409" i="30"/>
  <c r="J408" i="30"/>
  <c r="I408" i="30"/>
  <c r="D408" i="30"/>
  <c r="J407" i="30"/>
  <c r="I407" i="30"/>
  <c r="D407" i="30"/>
  <c r="J406" i="30"/>
  <c r="I406" i="30"/>
  <c r="D406" i="30"/>
  <c r="J405" i="30"/>
  <c r="I405" i="30"/>
  <c r="D405" i="30"/>
  <c r="J404" i="30"/>
  <c r="I404" i="30"/>
  <c r="D404" i="30"/>
  <c r="J403" i="30"/>
  <c r="I403" i="30"/>
  <c r="D403" i="30"/>
  <c r="J402" i="30"/>
  <c r="I402" i="30"/>
  <c r="D402" i="30"/>
  <c r="J401" i="30"/>
  <c r="I401" i="30"/>
  <c r="D401" i="30"/>
  <c r="J400" i="30"/>
  <c r="I400" i="30"/>
  <c r="D400" i="30"/>
  <c r="J399" i="30"/>
  <c r="I399" i="30"/>
  <c r="D399" i="30"/>
  <c r="J398" i="30"/>
  <c r="I398" i="30"/>
  <c r="D398" i="30"/>
  <c r="J397" i="30"/>
  <c r="I397" i="30"/>
  <c r="D397" i="30"/>
  <c r="J396" i="30"/>
  <c r="I396" i="30"/>
  <c r="D396" i="30"/>
  <c r="J395" i="30"/>
  <c r="I395" i="30"/>
  <c r="D395" i="30"/>
  <c r="J394" i="30"/>
  <c r="I394" i="30"/>
  <c r="D394" i="30"/>
  <c r="J393" i="30"/>
  <c r="I393" i="30"/>
  <c r="D393" i="30"/>
  <c r="J392" i="30"/>
  <c r="I392" i="30"/>
  <c r="D392" i="30"/>
  <c r="J391" i="30"/>
  <c r="I391" i="30"/>
  <c r="D391" i="30"/>
  <c r="J390" i="30"/>
  <c r="I390" i="30"/>
  <c r="D390" i="30"/>
  <c r="J389" i="30"/>
  <c r="I389" i="30"/>
  <c r="D389" i="30"/>
  <c r="J388" i="30"/>
  <c r="I388" i="30"/>
  <c r="D388" i="30"/>
  <c r="J387" i="30"/>
  <c r="I387" i="30"/>
  <c r="D387" i="30"/>
  <c r="J386" i="30"/>
  <c r="I386" i="30"/>
  <c r="D386" i="30"/>
  <c r="J385" i="30"/>
  <c r="I385" i="30"/>
  <c r="D385" i="30"/>
  <c r="J384" i="30"/>
  <c r="I384" i="30"/>
  <c r="D384" i="30"/>
  <c r="J383" i="30"/>
  <c r="I383" i="30"/>
  <c r="D383" i="30"/>
  <c r="J382" i="30"/>
  <c r="I382" i="30"/>
  <c r="D382" i="30"/>
  <c r="J381" i="30"/>
  <c r="I381" i="30"/>
  <c r="D381" i="30"/>
  <c r="J380" i="30"/>
  <c r="I380" i="30"/>
  <c r="D380" i="30"/>
  <c r="J379" i="30"/>
  <c r="I379" i="30"/>
  <c r="D379" i="30"/>
  <c r="J378" i="30"/>
  <c r="I378" i="30"/>
  <c r="D378" i="30"/>
  <c r="J377" i="30"/>
  <c r="I377" i="30"/>
  <c r="D377" i="30"/>
  <c r="J376" i="30"/>
  <c r="I376" i="30"/>
  <c r="D376" i="30"/>
  <c r="J375" i="30"/>
  <c r="I375" i="30"/>
  <c r="D375" i="30"/>
  <c r="J374" i="30"/>
  <c r="I374" i="30"/>
  <c r="D374" i="30"/>
  <c r="J373" i="30"/>
  <c r="I373" i="30"/>
  <c r="D373" i="30"/>
  <c r="J372" i="30"/>
  <c r="I372" i="30"/>
  <c r="D372" i="30"/>
  <c r="J371" i="30"/>
  <c r="I371" i="30"/>
  <c r="D371" i="30"/>
  <c r="J370" i="30"/>
  <c r="I370" i="30"/>
  <c r="D370" i="30"/>
  <c r="J369" i="30"/>
  <c r="I369" i="30"/>
  <c r="D369" i="30"/>
  <c r="J368" i="30"/>
  <c r="I368" i="30"/>
  <c r="D368" i="30"/>
  <c r="J367" i="30"/>
  <c r="I367" i="30"/>
  <c r="D367" i="30"/>
  <c r="J366" i="30"/>
  <c r="I366" i="30"/>
  <c r="D366" i="30"/>
  <c r="J365" i="30"/>
  <c r="I365" i="30"/>
  <c r="D365" i="30"/>
  <c r="J364" i="30"/>
  <c r="I364" i="30"/>
  <c r="D364" i="30"/>
  <c r="J363" i="30"/>
  <c r="I363" i="30"/>
  <c r="D363" i="30"/>
  <c r="J362" i="30"/>
  <c r="I362" i="30"/>
  <c r="D362" i="30"/>
  <c r="J361" i="30"/>
  <c r="I361" i="30"/>
  <c r="D361" i="30"/>
  <c r="J360" i="30"/>
  <c r="I360" i="30"/>
  <c r="D360" i="30"/>
  <c r="J359" i="30"/>
  <c r="I359" i="30"/>
  <c r="D359" i="30"/>
  <c r="J358" i="30"/>
  <c r="I358" i="30"/>
  <c r="D358" i="30"/>
  <c r="J357" i="30"/>
  <c r="I357" i="30"/>
  <c r="D357" i="30"/>
  <c r="J356" i="30"/>
  <c r="I356" i="30"/>
  <c r="D356" i="30"/>
  <c r="J355" i="30"/>
  <c r="I355" i="30"/>
  <c r="D355" i="30"/>
  <c r="J354" i="30"/>
  <c r="I354" i="30"/>
  <c r="D354" i="30"/>
  <c r="J353" i="30"/>
  <c r="I353" i="30"/>
  <c r="D353" i="30"/>
  <c r="J352" i="30"/>
  <c r="I352" i="30"/>
  <c r="D352" i="30"/>
  <c r="J351" i="30"/>
  <c r="I351" i="30"/>
  <c r="D351" i="30"/>
  <c r="J350" i="30"/>
  <c r="I350" i="30"/>
  <c r="D350" i="30"/>
  <c r="J349" i="30"/>
  <c r="I349" i="30"/>
  <c r="D349" i="30"/>
  <c r="J348" i="30"/>
  <c r="I348" i="30"/>
  <c r="D348" i="30"/>
  <c r="J347" i="30"/>
  <c r="I347" i="30"/>
  <c r="D347" i="30"/>
  <c r="J346" i="30"/>
  <c r="I346" i="30"/>
  <c r="D346" i="30"/>
  <c r="J345" i="30"/>
  <c r="I345" i="30"/>
  <c r="D345" i="30"/>
  <c r="J344" i="30"/>
  <c r="I344" i="30"/>
  <c r="D344" i="30"/>
  <c r="J343" i="30"/>
  <c r="I343" i="30"/>
  <c r="D343" i="30"/>
  <c r="J342" i="30"/>
  <c r="I342" i="30"/>
  <c r="D342" i="30"/>
  <c r="J341" i="30"/>
  <c r="I341" i="30"/>
  <c r="D341" i="30"/>
  <c r="J340" i="30"/>
  <c r="I340" i="30"/>
  <c r="D340" i="30"/>
  <c r="J339" i="30"/>
  <c r="I339" i="30"/>
  <c r="D339" i="30"/>
  <c r="J338" i="30"/>
  <c r="I338" i="30"/>
  <c r="D338" i="30"/>
  <c r="J337" i="30"/>
  <c r="I337" i="30"/>
  <c r="D337" i="30"/>
  <c r="J336" i="30"/>
  <c r="I336" i="30"/>
  <c r="D336" i="30"/>
  <c r="J335" i="30"/>
  <c r="I335" i="30"/>
  <c r="D335" i="30"/>
  <c r="J334" i="30"/>
  <c r="I334" i="30"/>
  <c r="D334" i="30"/>
  <c r="J333" i="30"/>
  <c r="I333" i="30"/>
  <c r="D333" i="30"/>
  <c r="J332" i="30"/>
  <c r="I332" i="30"/>
  <c r="D332" i="30"/>
  <c r="J331" i="30"/>
  <c r="I331" i="30"/>
  <c r="D331" i="30"/>
  <c r="J330" i="30"/>
  <c r="I330" i="30"/>
  <c r="D330" i="30"/>
  <c r="J329" i="30"/>
  <c r="I329" i="30"/>
  <c r="D329" i="30"/>
  <c r="J328" i="30"/>
  <c r="I328" i="30"/>
  <c r="D328" i="30"/>
  <c r="J327" i="30"/>
  <c r="I327" i="30"/>
  <c r="D327" i="30"/>
  <c r="J326" i="30"/>
  <c r="I326" i="30"/>
  <c r="D326" i="30"/>
  <c r="J325" i="30"/>
  <c r="I325" i="30"/>
  <c r="D325" i="30"/>
  <c r="J324" i="30"/>
  <c r="I324" i="30"/>
  <c r="D324" i="30"/>
  <c r="J323" i="30"/>
  <c r="I323" i="30"/>
  <c r="D323" i="30"/>
  <c r="J322" i="30"/>
  <c r="I322" i="30"/>
  <c r="D322" i="30"/>
  <c r="J321" i="30"/>
  <c r="I321" i="30"/>
  <c r="D321" i="30"/>
  <c r="J320" i="30"/>
  <c r="I320" i="30"/>
  <c r="D320" i="30"/>
  <c r="J319" i="30"/>
  <c r="I319" i="30"/>
  <c r="D319" i="30"/>
  <c r="J318" i="30"/>
  <c r="I318" i="30"/>
  <c r="D318" i="30"/>
  <c r="J317" i="30"/>
  <c r="I317" i="30"/>
  <c r="D317" i="30"/>
  <c r="J316" i="30"/>
  <c r="I316" i="30"/>
  <c r="D316" i="30"/>
  <c r="J315" i="30"/>
  <c r="I315" i="30"/>
  <c r="D315" i="30"/>
  <c r="J314" i="30"/>
  <c r="I314" i="30"/>
  <c r="D314" i="30"/>
  <c r="J313" i="30"/>
  <c r="I313" i="30"/>
  <c r="D313" i="30"/>
  <c r="J312" i="30"/>
  <c r="I312" i="30"/>
  <c r="D312" i="30"/>
  <c r="J311" i="30"/>
  <c r="I311" i="30"/>
  <c r="D311" i="30"/>
  <c r="J310" i="30"/>
  <c r="I310" i="30"/>
  <c r="D310" i="30"/>
  <c r="J309" i="30"/>
  <c r="I309" i="30"/>
  <c r="D309" i="30"/>
  <c r="J308" i="30"/>
  <c r="I308" i="30"/>
  <c r="D308" i="30"/>
  <c r="J307" i="30"/>
  <c r="I307" i="30"/>
  <c r="D307" i="30"/>
  <c r="J306" i="30"/>
  <c r="I306" i="30"/>
  <c r="D306" i="30"/>
  <c r="J305" i="30"/>
  <c r="I305" i="30"/>
  <c r="D305" i="30"/>
  <c r="J304" i="30"/>
  <c r="I304" i="30"/>
  <c r="D304" i="30"/>
  <c r="J303" i="30"/>
  <c r="I303" i="30"/>
  <c r="D303" i="30"/>
  <c r="J302" i="30"/>
  <c r="I302" i="30"/>
  <c r="D302" i="30"/>
  <c r="J301" i="30"/>
  <c r="I301" i="30"/>
  <c r="D301" i="30"/>
  <c r="J300" i="30"/>
  <c r="I300" i="30"/>
  <c r="D300" i="30"/>
  <c r="J299" i="30"/>
  <c r="I299" i="30"/>
  <c r="D299" i="30"/>
  <c r="J298" i="30"/>
  <c r="I298" i="30"/>
  <c r="D298" i="30"/>
  <c r="J297" i="30"/>
  <c r="I297" i="30"/>
  <c r="D297" i="30"/>
  <c r="J296" i="30"/>
  <c r="I296" i="30"/>
  <c r="D296" i="30"/>
  <c r="J295" i="30"/>
  <c r="I295" i="30"/>
  <c r="D295" i="30"/>
  <c r="J294" i="30"/>
  <c r="I294" i="30"/>
  <c r="D294" i="30"/>
  <c r="J293" i="30"/>
  <c r="I293" i="30"/>
  <c r="D293" i="30"/>
  <c r="J292" i="30"/>
  <c r="I292" i="30"/>
  <c r="D292" i="30"/>
  <c r="J291" i="30"/>
  <c r="I291" i="30"/>
  <c r="D291" i="30"/>
  <c r="J290" i="30"/>
  <c r="I290" i="30"/>
  <c r="D290" i="30"/>
  <c r="J289" i="30"/>
  <c r="I289" i="30"/>
  <c r="D289" i="30"/>
  <c r="J288" i="30"/>
  <c r="I288" i="30"/>
  <c r="D288" i="30"/>
  <c r="J287" i="30"/>
  <c r="I287" i="30"/>
  <c r="D287" i="30"/>
  <c r="J286" i="30"/>
  <c r="I286" i="30"/>
  <c r="D286" i="30"/>
  <c r="J285" i="30"/>
  <c r="I285" i="30"/>
  <c r="D285" i="30"/>
  <c r="J284" i="30"/>
  <c r="I284" i="30"/>
  <c r="D284" i="30"/>
  <c r="J283" i="30"/>
  <c r="I283" i="30"/>
  <c r="D283" i="30"/>
  <c r="J282" i="30"/>
  <c r="I282" i="30"/>
  <c r="D282" i="30"/>
  <c r="J281" i="30"/>
  <c r="I281" i="30"/>
  <c r="D281" i="30"/>
  <c r="J280" i="30"/>
  <c r="I280" i="30"/>
  <c r="D280" i="30"/>
  <c r="J279" i="30"/>
  <c r="I279" i="30"/>
  <c r="D279" i="30"/>
  <c r="J278" i="30"/>
  <c r="I278" i="30"/>
  <c r="D278" i="30"/>
  <c r="J277" i="30"/>
  <c r="I277" i="30"/>
  <c r="D277" i="30"/>
  <c r="J276" i="30"/>
  <c r="I276" i="30"/>
  <c r="D276" i="30"/>
  <c r="J275" i="30"/>
  <c r="I275" i="30"/>
  <c r="D275" i="30"/>
  <c r="J274" i="30"/>
  <c r="I274" i="30"/>
  <c r="D274" i="30"/>
  <c r="J273" i="30"/>
  <c r="I273" i="30"/>
  <c r="D273" i="30"/>
  <c r="J272" i="30"/>
  <c r="I272" i="30"/>
  <c r="D272" i="30"/>
  <c r="J271" i="30"/>
  <c r="I271" i="30"/>
  <c r="D271" i="30"/>
  <c r="J270" i="30"/>
  <c r="I270" i="30"/>
  <c r="D270" i="30"/>
  <c r="J269" i="30"/>
  <c r="I269" i="30"/>
  <c r="D269" i="30"/>
  <c r="J268" i="30"/>
  <c r="I268" i="30"/>
  <c r="D268" i="30"/>
  <c r="J267" i="30"/>
  <c r="I267" i="30"/>
  <c r="D267" i="30"/>
  <c r="J266" i="30"/>
  <c r="I266" i="30"/>
  <c r="D266" i="30"/>
  <c r="J265" i="30"/>
  <c r="I265" i="30"/>
  <c r="D265" i="30"/>
  <c r="J264" i="30"/>
  <c r="I264" i="30"/>
  <c r="D264" i="30"/>
  <c r="J263" i="30"/>
  <c r="I263" i="30"/>
  <c r="D263" i="30"/>
  <c r="J262" i="30"/>
  <c r="I262" i="30"/>
  <c r="D262" i="30"/>
  <c r="J261" i="30"/>
  <c r="I261" i="30"/>
  <c r="D261" i="30"/>
  <c r="J260" i="30"/>
  <c r="I260" i="30"/>
  <c r="D260" i="30"/>
  <c r="J259" i="30"/>
  <c r="I259" i="30"/>
  <c r="D259" i="30"/>
  <c r="J258" i="30"/>
  <c r="I258" i="30"/>
  <c r="D258" i="30"/>
  <c r="J257" i="30"/>
  <c r="I257" i="30"/>
  <c r="D257" i="30"/>
  <c r="J256" i="30"/>
  <c r="I256" i="30"/>
  <c r="D256" i="30"/>
  <c r="J255" i="30"/>
  <c r="I255" i="30"/>
  <c r="D255" i="30"/>
  <c r="J254" i="30"/>
  <c r="I254" i="30"/>
  <c r="D254" i="30"/>
  <c r="J253" i="30"/>
  <c r="I253" i="30"/>
  <c r="D253" i="30"/>
  <c r="J252" i="30"/>
  <c r="I252" i="30"/>
  <c r="D252" i="30"/>
  <c r="J251" i="30"/>
  <c r="I251" i="30"/>
  <c r="D251" i="30"/>
  <c r="J250" i="30"/>
  <c r="I250" i="30"/>
  <c r="D250" i="30"/>
  <c r="J249" i="30"/>
  <c r="I249" i="30"/>
  <c r="D249" i="30"/>
  <c r="J248" i="30"/>
  <c r="I248" i="30"/>
  <c r="D248" i="30"/>
  <c r="J247" i="30"/>
  <c r="I247" i="30"/>
  <c r="D247" i="30"/>
  <c r="J246" i="30"/>
  <c r="I246" i="30"/>
  <c r="D246" i="30"/>
  <c r="J245" i="30"/>
  <c r="I245" i="30"/>
  <c r="D245" i="30"/>
  <c r="J244" i="30"/>
  <c r="I244" i="30"/>
  <c r="D244" i="30"/>
  <c r="J243" i="30"/>
  <c r="I243" i="30"/>
  <c r="D243" i="30"/>
  <c r="J242" i="30"/>
  <c r="I242" i="30"/>
  <c r="D242" i="30"/>
  <c r="J241" i="30"/>
  <c r="I241" i="30"/>
  <c r="D241" i="30"/>
  <c r="J240" i="30"/>
  <c r="I240" i="30"/>
  <c r="D240" i="30"/>
  <c r="J239" i="30"/>
  <c r="I239" i="30"/>
  <c r="D239" i="30"/>
  <c r="J238" i="30"/>
  <c r="I238" i="30"/>
  <c r="D238" i="30"/>
  <c r="J237" i="30"/>
  <c r="I237" i="30"/>
  <c r="D237" i="30"/>
  <c r="J236" i="30"/>
  <c r="I236" i="30"/>
  <c r="D236" i="30"/>
  <c r="J235" i="30"/>
  <c r="I235" i="30"/>
  <c r="D235" i="30"/>
  <c r="J234" i="30"/>
  <c r="I234" i="30"/>
  <c r="D234" i="30"/>
  <c r="J233" i="30"/>
  <c r="I233" i="30"/>
  <c r="D233" i="30"/>
  <c r="J232" i="30"/>
  <c r="I232" i="30"/>
  <c r="D232" i="30"/>
  <c r="J231" i="30"/>
  <c r="I231" i="30"/>
  <c r="D231" i="30"/>
  <c r="J230" i="30"/>
  <c r="I230" i="30"/>
  <c r="D230" i="30"/>
  <c r="J229" i="30"/>
  <c r="I229" i="30"/>
  <c r="D229" i="30"/>
  <c r="J228" i="30"/>
  <c r="I228" i="30"/>
  <c r="D228" i="30"/>
  <c r="J227" i="30"/>
  <c r="I227" i="30"/>
  <c r="D227" i="30"/>
  <c r="J226" i="30"/>
  <c r="I226" i="30"/>
  <c r="D226" i="30"/>
  <c r="J225" i="30"/>
  <c r="I225" i="30"/>
  <c r="D225" i="30"/>
  <c r="J224" i="30"/>
  <c r="I224" i="30"/>
  <c r="D224" i="30"/>
  <c r="J223" i="30"/>
  <c r="I223" i="30"/>
  <c r="D223" i="30"/>
  <c r="J222" i="30"/>
  <c r="I222" i="30"/>
  <c r="D222" i="30"/>
  <c r="J221" i="30"/>
  <c r="I221" i="30"/>
  <c r="D221" i="30"/>
  <c r="J220" i="30"/>
  <c r="I220" i="30"/>
  <c r="D220" i="30"/>
  <c r="J219" i="30"/>
  <c r="I219" i="30"/>
  <c r="D219" i="30"/>
  <c r="J218" i="30"/>
  <c r="I218" i="30"/>
  <c r="D218" i="30"/>
  <c r="J217" i="30"/>
  <c r="I217" i="30"/>
  <c r="D217" i="30"/>
  <c r="J216" i="30"/>
  <c r="I216" i="30"/>
  <c r="D216" i="30"/>
  <c r="J215" i="30"/>
  <c r="I215" i="30"/>
  <c r="D215" i="30"/>
  <c r="J214" i="30"/>
  <c r="I214" i="30"/>
  <c r="D214" i="30"/>
  <c r="J213" i="30"/>
  <c r="I213" i="30"/>
  <c r="D213" i="30"/>
  <c r="J212" i="30"/>
  <c r="I212" i="30"/>
  <c r="D212" i="30"/>
  <c r="J211" i="30"/>
  <c r="I211" i="30"/>
  <c r="D211" i="30"/>
  <c r="J210" i="30"/>
  <c r="I210" i="30"/>
  <c r="D210" i="30"/>
  <c r="J209" i="30"/>
  <c r="I209" i="30"/>
  <c r="D209" i="30"/>
  <c r="J208" i="30"/>
  <c r="I208" i="30"/>
  <c r="D208" i="30"/>
  <c r="J207" i="30"/>
  <c r="I207" i="30"/>
  <c r="D207" i="30"/>
  <c r="J206" i="30"/>
  <c r="I206" i="30"/>
  <c r="D206" i="30"/>
  <c r="J205" i="30"/>
  <c r="I205" i="30"/>
  <c r="D205" i="30"/>
  <c r="J204" i="30"/>
  <c r="I204" i="30"/>
  <c r="D204" i="30"/>
  <c r="J203" i="30"/>
  <c r="I203" i="30"/>
  <c r="D203" i="30"/>
  <c r="J202" i="30"/>
  <c r="I202" i="30"/>
  <c r="D202" i="30"/>
  <c r="J201" i="30"/>
  <c r="I201" i="30"/>
  <c r="D201" i="30"/>
  <c r="J200" i="30"/>
  <c r="I200" i="30"/>
  <c r="D200" i="30"/>
  <c r="J199" i="30"/>
  <c r="I199" i="30"/>
  <c r="D199" i="30"/>
  <c r="J198" i="30"/>
  <c r="I198" i="30"/>
  <c r="D198" i="30"/>
  <c r="J197" i="30"/>
  <c r="I197" i="30"/>
  <c r="D197" i="30"/>
  <c r="J196" i="30"/>
  <c r="I196" i="30"/>
  <c r="D196" i="30"/>
  <c r="J195" i="30"/>
  <c r="I195" i="30"/>
  <c r="D195" i="30"/>
  <c r="J194" i="30"/>
  <c r="I194" i="30"/>
  <c r="D194" i="30"/>
  <c r="J193" i="30"/>
  <c r="I193" i="30"/>
  <c r="D193" i="30"/>
  <c r="J192" i="30"/>
  <c r="I192" i="30"/>
  <c r="D192" i="30"/>
  <c r="J191" i="30"/>
  <c r="I191" i="30"/>
  <c r="D191" i="30"/>
  <c r="J190" i="30"/>
  <c r="I190" i="30"/>
  <c r="D190" i="30"/>
  <c r="J189" i="30"/>
  <c r="I189" i="30"/>
  <c r="D189" i="30"/>
  <c r="J188" i="30"/>
  <c r="I188" i="30"/>
  <c r="D188" i="30"/>
  <c r="J187" i="30"/>
  <c r="I187" i="30"/>
  <c r="D187" i="30"/>
  <c r="J186" i="30"/>
  <c r="I186" i="30"/>
  <c r="D186" i="30"/>
  <c r="J185" i="30"/>
  <c r="I185" i="30"/>
  <c r="D185" i="30"/>
  <c r="J184" i="30"/>
  <c r="I184" i="30"/>
  <c r="D184" i="30"/>
  <c r="J183" i="30"/>
  <c r="I183" i="30"/>
  <c r="D183" i="30"/>
  <c r="J182" i="30"/>
  <c r="I182" i="30"/>
  <c r="D182" i="30"/>
  <c r="J181" i="30"/>
  <c r="I181" i="30"/>
  <c r="D181" i="30"/>
  <c r="J180" i="30"/>
  <c r="I180" i="30"/>
  <c r="D180" i="30"/>
  <c r="J179" i="30"/>
  <c r="I179" i="30"/>
  <c r="D179" i="30"/>
  <c r="J178" i="30"/>
  <c r="I178" i="30"/>
  <c r="D178" i="30"/>
  <c r="J177" i="30"/>
  <c r="I177" i="30"/>
  <c r="D177" i="30"/>
  <c r="J176" i="30"/>
  <c r="I176" i="30"/>
  <c r="D176" i="30"/>
  <c r="J175" i="30"/>
  <c r="I175" i="30"/>
  <c r="D175" i="30"/>
  <c r="J174" i="30"/>
  <c r="I174" i="30"/>
  <c r="D174" i="30"/>
  <c r="J173" i="30"/>
  <c r="I173" i="30"/>
  <c r="D173" i="30"/>
  <c r="J172" i="30"/>
  <c r="I172" i="30"/>
  <c r="D172" i="30"/>
  <c r="J171" i="30"/>
  <c r="I171" i="30"/>
  <c r="D171" i="30"/>
  <c r="J170" i="30"/>
  <c r="I170" i="30"/>
  <c r="D170" i="30"/>
  <c r="J169" i="30"/>
  <c r="I169" i="30"/>
  <c r="D169" i="30"/>
  <c r="J168" i="30"/>
  <c r="I168" i="30"/>
  <c r="D168" i="30"/>
  <c r="J167" i="30"/>
  <c r="I167" i="30"/>
  <c r="D167" i="30"/>
  <c r="J166" i="30"/>
  <c r="I166" i="30"/>
  <c r="D166" i="30"/>
  <c r="J165" i="30"/>
  <c r="I165" i="30"/>
  <c r="D165" i="30"/>
  <c r="J164" i="30"/>
  <c r="I164" i="30"/>
  <c r="D164" i="30"/>
  <c r="J163" i="30"/>
  <c r="I163" i="30"/>
  <c r="D163" i="30"/>
  <c r="J162" i="30"/>
  <c r="I162" i="30"/>
  <c r="D162" i="30"/>
  <c r="J161" i="30"/>
  <c r="I161" i="30"/>
  <c r="D161" i="30"/>
  <c r="J160" i="30"/>
  <c r="I160" i="30"/>
  <c r="D160" i="30"/>
  <c r="J159" i="30"/>
  <c r="I159" i="30"/>
  <c r="D159" i="30"/>
  <c r="J158" i="30"/>
  <c r="I158" i="30"/>
  <c r="D158" i="30"/>
  <c r="J157" i="30"/>
  <c r="I157" i="30"/>
  <c r="D157" i="30"/>
  <c r="J156" i="30"/>
  <c r="I156" i="30"/>
  <c r="D156" i="30"/>
  <c r="J155" i="30"/>
  <c r="I155" i="30"/>
  <c r="D155" i="30"/>
  <c r="J154" i="30"/>
  <c r="I154" i="30"/>
  <c r="D154" i="30"/>
  <c r="J153" i="30"/>
  <c r="I153" i="30"/>
  <c r="D153" i="30"/>
  <c r="J152" i="30"/>
  <c r="I152" i="30"/>
  <c r="D152" i="30"/>
  <c r="J151" i="30"/>
  <c r="I151" i="30"/>
  <c r="D151" i="30"/>
  <c r="J150" i="30"/>
  <c r="I150" i="30"/>
  <c r="D150" i="30"/>
  <c r="J149" i="30"/>
  <c r="I149" i="30"/>
  <c r="D149" i="30"/>
  <c r="J148" i="30"/>
  <c r="I148" i="30"/>
  <c r="D148" i="30"/>
  <c r="J147" i="30"/>
  <c r="I147" i="30"/>
  <c r="D147" i="30"/>
  <c r="J146" i="30"/>
  <c r="I146" i="30"/>
  <c r="D146" i="30"/>
  <c r="J145" i="30"/>
  <c r="I145" i="30"/>
  <c r="D145" i="30"/>
  <c r="J144" i="30"/>
  <c r="I144" i="30"/>
  <c r="D144" i="30"/>
  <c r="J143" i="30"/>
  <c r="I143" i="30"/>
  <c r="D143" i="30"/>
  <c r="J142" i="30"/>
  <c r="I142" i="30"/>
  <c r="D142" i="30"/>
  <c r="J141" i="30"/>
  <c r="I141" i="30"/>
  <c r="D141" i="30"/>
  <c r="J140" i="30"/>
  <c r="I140" i="30"/>
  <c r="D140" i="30"/>
  <c r="J139" i="30"/>
  <c r="I139" i="30"/>
  <c r="D139" i="30"/>
  <c r="J138" i="30"/>
  <c r="I138" i="30"/>
  <c r="D138" i="30"/>
  <c r="J137" i="30"/>
  <c r="I137" i="30"/>
  <c r="D137" i="30"/>
  <c r="J136" i="30"/>
  <c r="I136" i="30"/>
  <c r="D136" i="30"/>
  <c r="J135" i="30"/>
  <c r="I135" i="30"/>
  <c r="D135" i="30"/>
  <c r="J134" i="30"/>
  <c r="I134" i="30"/>
  <c r="D134" i="30"/>
  <c r="J133" i="30"/>
  <c r="I133" i="30"/>
  <c r="D133" i="30"/>
  <c r="J132" i="30"/>
  <c r="I132" i="30"/>
  <c r="D132" i="30"/>
  <c r="J131" i="30"/>
  <c r="I131" i="30"/>
  <c r="D131" i="30"/>
  <c r="J130" i="30"/>
  <c r="I130" i="30"/>
  <c r="D130" i="30"/>
  <c r="J129" i="30"/>
  <c r="I129" i="30"/>
  <c r="D129" i="30"/>
  <c r="J128" i="30"/>
  <c r="I128" i="30"/>
  <c r="D128" i="30"/>
  <c r="J127" i="30"/>
  <c r="I127" i="30"/>
  <c r="D127" i="30"/>
  <c r="J126" i="30"/>
  <c r="I126" i="30"/>
  <c r="D126" i="30"/>
  <c r="J125" i="30"/>
  <c r="I125" i="30"/>
  <c r="D125" i="30"/>
  <c r="J124" i="30"/>
  <c r="I124" i="30"/>
  <c r="D124" i="30"/>
  <c r="J123" i="30"/>
  <c r="I123" i="30"/>
  <c r="D123" i="30"/>
  <c r="J122" i="30"/>
  <c r="I122" i="30"/>
  <c r="D122" i="30"/>
  <c r="J121" i="30"/>
  <c r="I121" i="30"/>
  <c r="D121" i="30"/>
  <c r="J120" i="30"/>
  <c r="I120" i="30"/>
  <c r="D120" i="30"/>
  <c r="J119" i="30"/>
  <c r="I119" i="30"/>
  <c r="D119" i="30"/>
  <c r="J118" i="30"/>
  <c r="I118" i="30"/>
  <c r="D118" i="30"/>
  <c r="J117" i="30"/>
  <c r="I117" i="30"/>
  <c r="D117" i="30"/>
  <c r="J116" i="30"/>
  <c r="I116" i="30"/>
  <c r="D116" i="30"/>
  <c r="J115" i="30"/>
  <c r="I115" i="30"/>
  <c r="D115" i="30"/>
  <c r="J114" i="30"/>
  <c r="I114" i="30"/>
  <c r="D114" i="30"/>
  <c r="J113" i="30"/>
  <c r="I113" i="30"/>
  <c r="D113" i="30"/>
  <c r="J112" i="30"/>
  <c r="I112" i="30"/>
  <c r="D112" i="30"/>
  <c r="J111" i="30"/>
  <c r="I111" i="30"/>
  <c r="D111" i="30"/>
  <c r="J110" i="30"/>
  <c r="I110" i="30"/>
  <c r="D110" i="30"/>
  <c r="J109" i="30"/>
  <c r="I109" i="30"/>
  <c r="D109" i="30"/>
  <c r="J108" i="30"/>
  <c r="I108" i="30"/>
  <c r="D108" i="30"/>
  <c r="J107" i="30"/>
  <c r="I107" i="30"/>
  <c r="D107" i="30"/>
  <c r="J106" i="30"/>
  <c r="I106" i="30"/>
  <c r="D106" i="30"/>
  <c r="J105" i="30"/>
  <c r="I105" i="30"/>
  <c r="D105" i="30"/>
  <c r="J104" i="30"/>
  <c r="I104" i="30"/>
  <c r="D104" i="30"/>
  <c r="J103" i="30"/>
  <c r="I103" i="30"/>
  <c r="D103" i="30"/>
  <c r="J102" i="30"/>
  <c r="I102" i="30"/>
  <c r="D102" i="30"/>
  <c r="J101" i="30"/>
  <c r="I101" i="30"/>
  <c r="D101" i="30"/>
  <c r="J100" i="30"/>
  <c r="I100" i="30"/>
  <c r="D100" i="30"/>
  <c r="J99" i="30"/>
  <c r="I99" i="30"/>
  <c r="D99" i="30"/>
  <c r="J98" i="30"/>
  <c r="I98" i="30"/>
  <c r="D98" i="30"/>
  <c r="J97" i="30"/>
  <c r="I97" i="30"/>
  <c r="D97" i="30"/>
  <c r="J96" i="30"/>
  <c r="I96" i="30"/>
  <c r="D96" i="30"/>
  <c r="J95" i="30"/>
  <c r="I95" i="30"/>
  <c r="D95" i="30"/>
  <c r="J94" i="30"/>
  <c r="I94" i="30"/>
  <c r="D94" i="30"/>
  <c r="J93" i="30"/>
  <c r="I93" i="30"/>
  <c r="D93" i="30"/>
  <c r="J92" i="30"/>
  <c r="I92" i="30"/>
  <c r="D92" i="30"/>
  <c r="J91" i="30"/>
  <c r="I91" i="30"/>
  <c r="D91" i="30"/>
  <c r="J90" i="30"/>
  <c r="I90" i="30"/>
  <c r="D90" i="30"/>
  <c r="J89" i="30"/>
  <c r="I89" i="30"/>
  <c r="D89" i="30"/>
  <c r="J88" i="30"/>
  <c r="I88" i="30"/>
  <c r="D88" i="30"/>
  <c r="J87" i="30"/>
  <c r="I87" i="30"/>
  <c r="D87" i="30"/>
  <c r="J86" i="30"/>
  <c r="I86" i="30"/>
  <c r="D86" i="30"/>
  <c r="J85" i="30"/>
  <c r="I85" i="30"/>
  <c r="D85" i="30"/>
  <c r="J84" i="30"/>
  <c r="I84" i="30"/>
  <c r="D84" i="30"/>
  <c r="J83" i="30"/>
  <c r="I83" i="30"/>
  <c r="D83" i="30"/>
  <c r="J82" i="30"/>
  <c r="I82" i="30"/>
  <c r="D82" i="30"/>
  <c r="J81" i="30"/>
  <c r="I81" i="30"/>
  <c r="D81" i="30"/>
  <c r="J80" i="30"/>
  <c r="I80" i="30"/>
  <c r="D80" i="30"/>
  <c r="J79" i="30"/>
  <c r="I79" i="30"/>
  <c r="D79" i="30"/>
  <c r="J78" i="30"/>
  <c r="I78" i="30"/>
  <c r="D78" i="30"/>
  <c r="J77" i="30"/>
  <c r="I77" i="30"/>
  <c r="D77" i="30"/>
  <c r="J76" i="30"/>
  <c r="I76" i="30"/>
  <c r="D76" i="30"/>
  <c r="J75" i="30"/>
  <c r="I75" i="30"/>
  <c r="D75" i="30"/>
  <c r="J74" i="30"/>
  <c r="I74" i="30"/>
  <c r="D74" i="30"/>
  <c r="J73" i="30"/>
  <c r="I73" i="30"/>
  <c r="D73" i="30"/>
  <c r="J72" i="30"/>
  <c r="I72" i="30"/>
  <c r="D72" i="30"/>
  <c r="J71" i="30"/>
  <c r="I71" i="30"/>
  <c r="D71" i="30"/>
  <c r="J70" i="30"/>
  <c r="I70" i="30"/>
  <c r="D70" i="30"/>
  <c r="J69" i="30"/>
  <c r="I69" i="30"/>
  <c r="D69" i="30"/>
  <c r="J68" i="30"/>
  <c r="I68" i="30"/>
  <c r="D68" i="30"/>
  <c r="J67" i="30"/>
  <c r="I67" i="30"/>
  <c r="D67" i="30"/>
  <c r="J66" i="30"/>
  <c r="I66" i="30"/>
  <c r="D66" i="30"/>
  <c r="J65" i="30"/>
  <c r="I65" i="30"/>
  <c r="D65" i="30"/>
  <c r="J64" i="30"/>
  <c r="I64" i="30"/>
  <c r="D64" i="30"/>
  <c r="J63" i="30"/>
  <c r="I63" i="30"/>
  <c r="D63" i="30"/>
  <c r="J62" i="30"/>
  <c r="I62" i="30"/>
  <c r="D62" i="30"/>
  <c r="J61" i="30"/>
  <c r="I61" i="30"/>
  <c r="D61" i="30"/>
  <c r="J60" i="30"/>
  <c r="I60" i="30"/>
  <c r="D60" i="30"/>
  <c r="J59" i="30"/>
  <c r="I59" i="30"/>
  <c r="D59" i="30"/>
  <c r="J58" i="30"/>
  <c r="I58" i="30"/>
  <c r="D58" i="30"/>
  <c r="J57" i="30"/>
  <c r="I57" i="30"/>
  <c r="D57" i="30"/>
  <c r="J56" i="30"/>
  <c r="I56" i="30"/>
  <c r="D56" i="30"/>
  <c r="J55" i="30"/>
  <c r="I55" i="30"/>
  <c r="D55" i="30"/>
  <c r="J54" i="30"/>
  <c r="I54" i="30"/>
  <c r="D54" i="30"/>
  <c r="J53" i="30"/>
  <c r="I53" i="30"/>
  <c r="D53" i="30"/>
  <c r="J52" i="30"/>
  <c r="I52" i="30"/>
  <c r="D52" i="30"/>
  <c r="J51" i="30"/>
  <c r="I51" i="30"/>
  <c r="D51" i="30"/>
  <c r="J50" i="30"/>
  <c r="I50" i="30"/>
  <c r="D50" i="30"/>
  <c r="J49" i="30"/>
  <c r="I49" i="30"/>
  <c r="D49" i="30"/>
  <c r="J48" i="30"/>
  <c r="I48" i="30"/>
  <c r="D48" i="30"/>
  <c r="J47" i="30"/>
  <c r="I47" i="30"/>
  <c r="D47" i="30"/>
  <c r="J46" i="30"/>
  <c r="I46" i="30"/>
  <c r="D46" i="30"/>
  <c r="J45" i="30"/>
  <c r="I45" i="30"/>
  <c r="D45" i="30"/>
  <c r="J44" i="30"/>
  <c r="I44" i="30"/>
  <c r="D44" i="30"/>
  <c r="J43" i="30"/>
  <c r="I43" i="30"/>
  <c r="D43" i="30"/>
  <c r="J42" i="30"/>
  <c r="I42" i="30"/>
  <c r="D42" i="30"/>
  <c r="J41" i="30"/>
  <c r="I41" i="30"/>
  <c r="D41" i="30"/>
  <c r="J40" i="30"/>
  <c r="I40" i="30"/>
  <c r="D40" i="30"/>
  <c r="J39" i="30"/>
  <c r="I39" i="30"/>
  <c r="D39" i="30"/>
  <c r="J38" i="30"/>
  <c r="I38" i="30"/>
  <c r="D38" i="30"/>
  <c r="J37" i="30"/>
  <c r="I37" i="30"/>
  <c r="D37" i="30"/>
  <c r="J36" i="30"/>
  <c r="I36" i="30"/>
  <c r="D36" i="30"/>
  <c r="J35" i="30"/>
  <c r="I35" i="30"/>
  <c r="D35" i="30"/>
  <c r="J34" i="30"/>
  <c r="I34" i="30"/>
  <c r="D34" i="30"/>
  <c r="J33" i="30"/>
  <c r="I33" i="30"/>
  <c r="D33" i="30"/>
  <c r="P32" i="30"/>
  <c r="J32" i="30"/>
  <c r="I32" i="30"/>
  <c r="D32" i="30"/>
  <c r="P31" i="30"/>
  <c r="J31" i="30"/>
  <c r="I31" i="30"/>
  <c r="D31" i="30"/>
  <c r="P30" i="30"/>
  <c r="J30" i="30"/>
  <c r="I30" i="30"/>
  <c r="D30" i="30"/>
  <c r="P29" i="30"/>
  <c r="J29" i="30"/>
  <c r="I29" i="30"/>
  <c r="D29" i="30"/>
  <c r="P28" i="30"/>
  <c r="P33" i="30" s="1"/>
  <c r="J28" i="30"/>
  <c r="I28" i="30"/>
  <c r="D28" i="30"/>
  <c r="J27" i="30"/>
  <c r="I27" i="30"/>
  <c r="D27" i="30"/>
  <c r="J26" i="30"/>
  <c r="I26" i="30"/>
  <c r="D26" i="30"/>
  <c r="P25" i="30"/>
  <c r="J25" i="30"/>
  <c r="I25" i="30"/>
  <c r="D25" i="30"/>
  <c r="P24" i="30"/>
  <c r="J24" i="30"/>
  <c r="I24" i="30"/>
  <c r="D24" i="30"/>
  <c r="P23" i="30"/>
  <c r="P26" i="30" s="1"/>
  <c r="J23" i="30"/>
  <c r="I23" i="30"/>
  <c r="D23" i="30"/>
  <c r="P22" i="30"/>
  <c r="J22" i="30"/>
  <c r="I22" i="30"/>
  <c r="D22" i="30"/>
  <c r="P21" i="30"/>
  <c r="J21" i="30"/>
  <c r="I21" i="30"/>
  <c r="D21" i="30"/>
  <c r="J20" i="30"/>
  <c r="I20" i="30"/>
  <c r="D20" i="30"/>
  <c r="M19" i="30"/>
  <c r="J19" i="30"/>
  <c r="I19" i="30"/>
  <c r="D19" i="30"/>
  <c r="J18" i="30"/>
  <c r="I18" i="30"/>
  <c r="D18" i="30"/>
  <c r="J17" i="30"/>
  <c r="I17" i="30"/>
  <c r="D17" i="30"/>
  <c r="J16" i="30"/>
  <c r="I16" i="30"/>
  <c r="D16" i="30"/>
  <c r="J15" i="30"/>
  <c r="I15" i="30"/>
  <c r="D15" i="30"/>
  <c r="J14" i="30"/>
  <c r="I14" i="30"/>
  <c r="D14" i="30"/>
  <c r="J13" i="30"/>
  <c r="I13" i="30"/>
  <c r="D13" i="30"/>
  <c r="I12" i="30"/>
  <c r="J12" i="30" s="1"/>
  <c r="D12" i="30"/>
  <c r="I11" i="30"/>
  <c r="J11" i="30" s="1"/>
  <c r="D11" i="30"/>
  <c r="I10" i="30"/>
  <c r="J10" i="30" s="1"/>
  <c r="D10" i="30"/>
  <c r="I9" i="30"/>
  <c r="J9" i="30" s="1"/>
  <c r="D9" i="30"/>
  <c r="I8" i="30"/>
  <c r="J8" i="30" s="1"/>
  <c r="D8" i="30"/>
  <c r="J7" i="30"/>
  <c r="I7" i="30"/>
  <c r="D7" i="30"/>
  <c r="J6" i="30"/>
  <c r="I6" i="30"/>
  <c r="D6" i="30"/>
  <c r="B2" i="30" a="1"/>
  <c r="B2" i="30" s="1"/>
  <c r="P25" i="9"/>
  <c r="P32" i="9"/>
  <c r="M1" i="22"/>
  <c r="M2" i="22"/>
  <c r="J3" i="46" l="1"/>
  <c r="N11" i="46" s="1"/>
  <c r="P11" i="46" s="1"/>
  <c r="J3" i="30"/>
  <c r="N13" i="30" s="1"/>
  <c r="P13" i="30" s="1"/>
  <c r="J3" i="45"/>
  <c r="N7" i="45" s="1"/>
  <c r="P7" i="45" s="1"/>
  <c r="J3" i="47"/>
  <c r="N8" i="47" s="1"/>
  <c r="P8" i="47" s="1"/>
  <c r="J3" i="43"/>
  <c r="N13" i="43" s="1"/>
  <c r="P13" i="43" s="1"/>
  <c r="J3" i="48"/>
  <c r="N13" i="48" s="1"/>
  <c r="P13" i="48" s="1"/>
  <c r="J3" i="40"/>
  <c r="N7" i="40" s="1"/>
  <c r="P7" i="40" s="1"/>
  <c r="J3" i="42"/>
  <c r="N9" i="42" s="1"/>
  <c r="P9" i="42" s="1"/>
  <c r="J3" i="38"/>
  <c r="N18" i="38" s="1"/>
  <c r="P18" i="38" s="1"/>
  <c r="J3" i="44"/>
  <c r="N16" i="44" s="1"/>
  <c r="J3" i="41"/>
  <c r="N6" i="41" s="1"/>
  <c r="J3" i="39"/>
  <c r="N12" i="39" s="1"/>
  <c r="P12" i="39" s="1"/>
  <c r="J3" i="36"/>
  <c r="N9" i="36" s="1"/>
  <c r="P9" i="36" s="1"/>
  <c r="J3" i="35"/>
  <c r="N9" i="35" s="1"/>
  <c r="P9" i="35" s="1"/>
  <c r="J3" i="37"/>
  <c r="N7" i="37" s="1"/>
  <c r="P7" i="37" s="1"/>
  <c r="J3" i="34"/>
  <c r="N18" i="34" s="1"/>
  <c r="P18" i="34" s="1"/>
  <c r="J3" i="32"/>
  <c r="N7" i="32" s="1"/>
  <c r="P7" i="32" s="1"/>
  <c r="J3" i="33"/>
  <c r="N18" i="33" s="1"/>
  <c r="P18" i="33" s="1"/>
  <c r="J3" i="31"/>
  <c r="N18" i="31" s="1"/>
  <c r="P18" i="31" s="1"/>
  <c r="P31" i="9"/>
  <c r="P30" i="9"/>
  <c r="P29" i="9"/>
  <c r="P28" i="9"/>
  <c r="P24" i="9"/>
  <c r="P23" i="9"/>
  <c r="P22" i="9"/>
  <c r="P21" i="9"/>
  <c r="M19" i="9"/>
  <c r="I489" i="9"/>
  <c r="J489" i="9" s="1"/>
  <c r="I488" i="9"/>
  <c r="J488" i="9" s="1"/>
  <c r="I487" i="9"/>
  <c r="J487" i="9" s="1"/>
  <c r="I486" i="9"/>
  <c r="J486" i="9" s="1"/>
  <c r="I485" i="9"/>
  <c r="J485" i="9" s="1"/>
  <c r="I484" i="9"/>
  <c r="J484" i="9" s="1"/>
  <c r="I483" i="9"/>
  <c r="J483" i="9" s="1"/>
  <c r="I482" i="9"/>
  <c r="J482" i="9" s="1"/>
  <c r="I481" i="9"/>
  <c r="J481" i="9" s="1"/>
  <c r="I480" i="9"/>
  <c r="J480" i="9" s="1"/>
  <c r="I479" i="9"/>
  <c r="J479" i="9" s="1"/>
  <c r="I478" i="9"/>
  <c r="J478" i="9" s="1"/>
  <c r="I477" i="9"/>
  <c r="J477" i="9" s="1"/>
  <c r="I476" i="9"/>
  <c r="J476" i="9" s="1"/>
  <c r="I475" i="9"/>
  <c r="J475" i="9" s="1"/>
  <c r="I474" i="9"/>
  <c r="J474" i="9" s="1"/>
  <c r="I473" i="9"/>
  <c r="J473" i="9" s="1"/>
  <c r="I472" i="9"/>
  <c r="J472" i="9" s="1"/>
  <c r="I471" i="9"/>
  <c r="J471" i="9" s="1"/>
  <c r="I470" i="9"/>
  <c r="J470" i="9" s="1"/>
  <c r="I469" i="9"/>
  <c r="J469" i="9" s="1"/>
  <c r="I468" i="9"/>
  <c r="J468" i="9" s="1"/>
  <c r="I467" i="9"/>
  <c r="J467" i="9" s="1"/>
  <c r="I466" i="9"/>
  <c r="J466" i="9" s="1"/>
  <c r="I465" i="9"/>
  <c r="J465" i="9" s="1"/>
  <c r="I464" i="9"/>
  <c r="J464" i="9" s="1"/>
  <c r="I463" i="9"/>
  <c r="J463" i="9" s="1"/>
  <c r="I462" i="9"/>
  <c r="J462" i="9" s="1"/>
  <c r="I461" i="9"/>
  <c r="J461" i="9" s="1"/>
  <c r="I460" i="9"/>
  <c r="J460" i="9" s="1"/>
  <c r="I459" i="9"/>
  <c r="J459" i="9" s="1"/>
  <c r="I458" i="9"/>
  <c r="J458" i="9" s="1"/>
  <c r="I457" i="9"/>
  <c r="J457" i="9" s="1"/>
  <c r="I456" i="9"/>
  <c r="J456" i="9" s="1"/>
  <c r="I455" i="9"/>
  <c r="J455" i="9" s="1"/>
  <c r="I454" i="9"/>
  <c r="J454" i="9" s="1"/>
  <c r="I453" i="9"/>
  <c r="J453" i="9" s="1"/>
  <c r="I452" i="9"/>
  <c r="J452" i="9" s="1"/>
  <c r="I451" i="9"/>
  <c r="J451" i="9" s="1"/>
  <c r="I450" i="9"/>
  <c r="J450" i="9" s="1"/>
  <c r="I449" i="9"/>
  <c r="J449" i="9" s="1"/>
  <c r="I448" i="9"/>
  <c r="J448" i="9" s="1"/>
  <c r="I447" i="9"/>
  <c r="J447" i="9" s="1"/>
  <c r="I446" i="9"/>
  <c r="J446" i="9" s="1"/>
  <c r="I445" i="9"/>
  <c r="J445" i="9" s="1"/>
  <c r="I444" i="9"/>
  <c r="J444" i="9" s="1"/>
  <c r="I443" i="9"/>
  <c r="J443" i="9" s="1"/>
  <c r="I442" i="9"/>
  <c r="J442" i="9" s="1"/>
  <c r="I441" i="9"/>
  <c r="J441" i="9" s="1"/>
  <c r="I440" i="9"/>
  <c r="J440" i="9" s="1"/>
  <c r="I439" i="9"/>
  <c r="J439" i="9" s="1"/>
  <c r="I438" i="9"/>
  <c r="J438" i="9" s="1"/>
  <c r="I437" i="9"/>
  <c r="J437" i="9" s="1"/>
  <c r="I436" i="9"/>
  <c r="J436" i="9" s="1"/>
  <c r="I435" i="9"/>
  <c r="J435" i="9" s="1"/>
  <c r="I434" i="9"/>
  <c r="J434" i="9" s="1"/>
  <c r="I433" i="9"/>
  <c r="J433" i="9" s="1"/>
  <c r="I432" i="9"/>
  <c r="J432" i="9" s="1"/>
  <c r="I431" i="9"/>
  <c r="J431" i="9" s="1"/>
  <c r="I430" i="9"/>
  <c r="J430" i="9" s="1"/>
  <c r="I429" i="9"/>
  <c r="J429" i="9" s="1"/>
  <c r="I428" i="9"/>
  <c r="J428" i="9" s="1"/>
  <c r="I427" i="9"/>
  <c r="J427" i="9" s="1"/>
  <c r="I426" i="9"/>
  <c r="J426" i="9" s="1"/>
  <c r="I425" i="9"/>
  <c r="J425" i="9" s="1"/>
  <c r="I424" i="9"/>
  <c r="J424" i="9" s="1"/>
  <c r="I423" i="9"/>
  <c r="J423" i="9" s="1"/>
  <c r="I422" i="9"/>
  <c r="J422" i="9" s="1"/>
  <c r="I421" i="9"/>
  <c r="J421" i="9" s="1"/>
  <c r="I420" i="9"/>
  <c r="J420" i="9" s="1"/>
  <c r="I419" i="9"/>
  <c r="J419" i="9" s="1"/>
  <c r="I418" i="9"/>
  <c r="J418" i="9" s="1"/>
  <c r="I417" i="9"/>
  <c r="J417" i="9" s="1"/>
  <c r="I416" i="9"/>
  <c r="J416" i="9" s="1"/>
  <c r="I415" i="9"/>
  <c r="J415" i="9" s="1"/>
  <c r="I414" i="9"/>
  <c r="J414" i="9" s="1"/>
  <c r="I413" i="9"/>
  <c r="J413" i="9" s="1"/>
  <c r="I412" i="9"/>
  <c r="J412" i="9" s="1"/>
  <c r="I411" i="9"/>
  <c r="J411" i="9" s="1"/>
  <c r="I410" i="9"/>
  <c r="J410" i="9" s="1"/>
  <c r="I409" i="9"/>
  <c r="J409" i="9" s="1"/>
  <c r="I408" i="9"/>
  <c r="J408" i="9" s="1"/>
  <c r="I407" i="9"/>
  <c r="J407" i="9" s="1"/>
  <c r="I406" i="9"/>
  <c r="J406" i="9" s="1"/>
  <c r="I405" i="9"/>
  <c r="J405" i="9" s="1"/>
  <c r="I404" i="9"/>
  <c r="J404" i="9" s="1"/>
  <c r="I403" i="9"/>
  <c r="J403" i="9" s="1"/>
  <c r="I402" i="9"/>
  <c r="J402" i="9" s="1"/>
  <c r="I401" i="9"/>
  <c r="J401" i="9" s="1"/>
  <c r="I400" i="9"/>
  <c r="J400" i="9" s="1"/>
  <c r="I399" i="9"/>
  <c r="J399" i="9" s="1"/>
  <c r="I398" i="9"/>
  <c r="J398" i="9" s="1"/>
  <c r="I397" i="9"/>
  <c r="J397" i="9" s="1"/>
  <c r="I396" i="9"/>
  <c r="J396" i="9" s="1"/>
  <c r="I395" i="9"/>
  <c r="J395" i="9" s="1"/>
  <c r="I394" i="9"/>
  <c r="J394" i="9" s="1"/>
  <c r="I393" i="9"/>
  <c r="J393" i="9" s="1"/>
  <c r="I392" i="9"/>
  <c r="J392" i="9" s="1"/>
  <c r="I391" i="9"/>
  <c r="J391" i="9" s="1"/>
  <c r="I390" i="9"/>
  <c r="J390" i="9" s="1"/>
  <c r="I389" i="9"/>
  <c r="J389" i="9" s="1"/>
  <c r="I388" i="9"/>
  <c r="J388" i="9" s="1"/>
  <c r="I387" i="9"/>
  <c r="J387" i="9" s="1"/>
  <c r="I386" i="9"/>
  <c r="J386" i="9" s="1"/>
  <c r="I385" i="9"/>
  <c r="J385" i="9" s="1"/>
  <c r="I384" i="9"/>
  <c r="J384" i="9" s="1"/>
  <c r="I383" i="9"/>
  <c r="J383" i="9" s="1"/>
  <c r="I382" i="9"/>
  <c r="J382" i="9" s="1"/>
  <c r="I381" i="9"/>
  <c r="J381" i="9" s="1"/>
  <c r="I380" i="9"/>
  <c r="J380" i="9" s="1"/>
  <c r="I379" i="9"/>
  <c r="J379" i="9" s="1"/>
  <c r="I378" i="9"/>
  <c r="J378" i="9" s="1"/>
  <c r="I377" i="9"/>
  <c r="J377" i="9" s="1"/>
  <c r="I376" i="9"/>
  <c r="J376" i="9" s="1"/>
  <c r="I375" i="9"/>
  <c r="J375" i="9" s="1"/>
  <c r="I374" i="9"/>
  <c r="J374" i="9" s="1"/>
  <c r="I373" i="9"/>
  <c r="J373" i="9" s="1"/>
  <c r="I372" i="9"/>
  <c r="J372" i="9" s="1"/>
  <c r="I371" i="9"/>
  <c r="J371" i="9" s="1"/>
  <c r="I370" i="9"/>
  <c r="J370" i="9" s="1"/>
  <c r="I369" i="9"/>
  <c r="J369" i="9" s="1"/>
  <c r="I368" i="9"/>
  <c r="J368" i="9" s="1"/>
  <c r="I367" i="9"/>
  <c r="J367" i="9" s="1"/>
  <c r="I366" i="9"/>
  <c r="J366" i="9" s="1"/>
  <c r="I365" i="9"/>
  <c r="J365" i="9" s="1"/>
  <c r="I364" i="9"/>
  <c r="J364" i="9" s="1"/>
  <c r="I363" i="9"/>
  <c r="J363" i="9" s="1"/>
  <c r="I362" i="9"/>
  <c r="J362" i="9" s="1"/>
  <c r="I361" i="9"/>
  <c r="J361" i="9" s="1"/>
  <c r="I360" i="9"/>
  <c r="J360" i="9" s="1"/>
  <c r="I359" i="9"/>
  <c r="J359" i="9" s="1"/>
  <c r="I358" i="9"/>
  <c r="J358" i="9" s="1"/>
  <c r="I357" i="9"/>
  <c r="J357" i="9" s="1"/>
  <c r="I356" i="9"/>
  <c r="J356" i="9" s="1"/>
  <c r="I355" i="9"/>
  <c r="J355" i="9" s="1"/>
  <c r="I354" i="9"/>
  <c r="J354" i="9" s="1"/>
  <c r="I353" i="9"/>
  <c r="J353" i="9" s="1"/>
  <c r="I352" i="9"/>
  <c r="J352" i="9" s="1"/>
  <c r="I351" i="9"/>
  <c r="J351" i="9" s="1"/>
  <c r="I350" i="9"/>
  <c r="J350" i="9" s="1"/>
  <c r="I349" i="9"/>
  <c r="J349" i="9" s="1"/>
  <c r="I348" i="9"/>
  <c r="J348" i="9" s="1"/>
  <c r="I347" i="9"/>
  <c r="J347" i="9" s="1"/>
  <c r="I346" i="9"/>
  <c r="J346" i="9" s="1"/>
  <c r="I345" i="9"/>
  <c r="J345" i="9" s="1"/>
  <c r="I344" i="9"/>
  <c r="J344" i="9" s="1"/>
  <c r="I343" i="9"/>
  <c r="J343" i="9" s="1"/>
  <c r="I342" i="9"/>
  <c r="J342" i="9" s="1"/>
  <c r="I341" i="9"/>
  <c r="J341" i="9" s="1"/>
  <c r="I340" i="9"/>
  <c r="J340" i="9" s="1"/>
  <c r="I339" i="9"/>
  <c r="J339" i="9" s="1"/>
  <c r="I338" i="9"/>
  <c r="J338" i="9" s="1"/>
  <c r="I337" i="9"/>
  <c r="J337" i="9" s="1"/>
  <c r="I336" i="9"/>
  <c r="J336" i="9" s="1"/>
  <c r="I335" i="9"/>
  <c r="J335" i="9" s="1"/>
  <c r="I334" i="9"/>
  <c r="J334" i="9" s="1"/>
  <c r="I333" i="9"/>
  <c r="J333" i="9" s="1"/>
  <c r="I332" i="9"/>
  <c r="J332" i="9" s="1"/>
  <c r="I331" i="9"/>
  <c r="J331" i="9" s="1"/>
  <c r="I330" i="9"/>
  <c r="J330" i="9" s="1"/>
  <c r="I329" i="9"/>
  <c r="J329" i="9" s="1"/>
  <c r="I328" i="9"/>
  <c r="J328" i="9" s="1"/>
  <c r="I327" i="9"/>
  <c r="J327" i="9" s="1"/>
  <c r="I326" i="9"/>
  <c r="J326" i="9" s="1"/>
  <c r="I325" i="9"/>
  <c r="J325" i="9" s="1"/>
  <c r="I324" i="9"/>
  <c r="J324" i="9" s="1"/>
  <c r="I323" i="9"/>
  <c r="J323" i="9" s="1"/>
  <c r="I322" i="9"/>
  <c r="J322" i="9" s="1"/>
  <c r="I321" i="9"/>
  <c r="J321" i="9" s="1"/>
  <c r="I320" i="9"/>
  <c r="J320" i="9" s="1"/>
  <c r="I319" i="9"/>
  <c r="J319" i="9" s="1"/>
  <c r="I318" i="9"/>
  <c r="J318" i="9" s="1"/>
  <c r="I317" i="9"/>
  <c r="J317" i="9" s="1"/>
  <c r="I316" i="9"/>
  <c r="J316" i="9" s="1"/>
  <c r="I315" i="9"/>
  <c r="J315" i="9" s="1"/>
  <c r="I314" i="9"/>
  <c r="J314" i="9" s="1"/>
  <c r="I313" i="9"/>
  <c r="J313" i="9" s="1"/>
  <c r="I312" i="9"/>
  <c r="J312" i="9" s="1"/>
  <c r="I311" i="9"/>
  <c r="J311" i="9" s="1"/>
  <c r="I310" i="9"/>
  <c r="J310" i="9" s="1"/>
  <c r="I309" i="9"/>
  <c r="J309" i="9" s="1"/>
  <c r="I308" i="9"/>
  <c r="J308" i="9" s="1"/>
  <c r="I307" i="9"/>
  <c r="J307" i="9" s="1"/>
  <c r="I306" i="9"/>
  <c r="J306" i="9" s="1"/>
  <c r="I305" i="9"/>
  <c r="J305" i="9" s="1"/>
  <c r="I304" i="9"/>
  <c r="J304" i="9" s="1"/>
  <c r="I303" i="9"/>
  <c r="J303" i="9" s="1"/>
  <c r="I302" i="9"/>
  <c r="J302" i="9" s="1"/>
  <c r="I301" i="9"/>
  <c r="J301" i="9" s="1"/>
  <c r="I300" i="9"/>
  <c r="J300" i="9" s="1"/>
  <c r="I299" i="9"/>
  <c r="J299" i="9" s="1"/>
  <c r="I298" i="9"/>
  <c r="J298" i="9" s="1"/>
  <c r="I297" i="9"/>
  <c r="J297" i="9" s="1"/>
  <c r="I296" i="9"/>
  <c r="J296" i="9" s="1"/>
  <c r="I295" i="9"/>
  <c r="J295" i="9" s="1"/>
  <c r="I294" i="9"/>
  <c r="J294" i="9" s="1"/>
  <c r="I293" i="9"/>
  <c r="J293" i="9" s="1"/>
  <c r="I292" i="9"/>
  <c r="J292" i="9" s="1"/>
  <c r="I291" i="9"/>
  <c r="J291" i="9" s="1"/>
  <c r="I290" i="9"/>
  <c r="J290" i="9" s="1"/>
  <c r="I289" i="9"/>
  <c r="J289" i="9" s="1"/>
  <c r="I288" i="9"/>
  <c r="J288" i="9" s="1"/>
  <c r="I287" i="9"/>
  <c r="J287" i="9" s="1"/>
  <c r="I286" i="9"/>
  <c r="J286" i="9" s="1"/>
  <c r="I285" i="9"/>
  <c r="J285" i="9" s="1"/>
  <c r="I284" i="9"/>
  <c r="J284" i="9" s="1"/>
  <c r="I283" i="9"/>
  <c r="J283" i="9" s="1"/>
  <c r="I282" i="9"/>
  <c r="J282" i="9" s="1"/>
  <c r="I281" i="9"/>
  <c r="J281" i="9" s="1"/>
  <c r="I280" i="9"/>
  <c r="J280" i="9" s="1"/>
  <c r="I279" i="9"/>
  <c r="J279" i="9" s="1"/>
  <c r="I278" i="9"/>
  <c r="J278" i="9" s="1"/>
  <c r="I277" i="9"/>
  <c r="J277" i="9" s="1"/>
  <c r="I276" i="9"/>
  <c r="J276" i="9" s="1"/>
  <c r="I275" i="9"/>
  <c r="J275" i="9" s="1"/>
  <c r="I274" i="9"/>
  <c r="J274" i="9" s="1"/>
  <c r="I273" i="9"/>
  <c r="J273" i="9" s="1"/>
  <c r="I272" i="9"/>
  <c r="J272" i="9" s="1"/>
  <c r="I271" i="9"/>
  <c r="J271" i="9" s="1"/>
  <c r="I270" i="9"/>
  <c r="J270" i="9" s="1"/>
  <c r="I269" i="9"/>
  <c r="J269" i="9" s="1"/>
  <c r="I268" i="9"/>
  <c r="J268" i="9" s="1"/>
  <c r="I267" i="9"/>
  <c r="J267" i="9" s="1"/>
  <c r="I266" i="9"/>
  <c r="J266" i="9" s="1"/>
  <c r="I265" i="9"/>
  <c r="J265" i="9" s="1"/>
  <c r="I264" i="9"/>
  <c r="J264" i="9" s="1"/>
  <c r="I263" i="9"/>
  <c r="J263" i="9" s="1"/>
  <c r="I262" i="9"/>
  <c r="J262" i="9" s="1"/>
  <c r="I261" i="9"/>
  <c r="J261" i="9" s="1"/>
  <c r="I260" i="9"/>
  <c r="J260" i="9" s="1"/>
  <c r="I259" i="9"/>
  <c r="J259" i="9" s="1"/>
  <c r="I258" i="9"/>
  <c r="J258" i="9" s="1"/>
  <c r="I257" i="9"/>
  <c r="J257" i="9" s="1"/>
  <c r="I256" i="9"/>
  <c r="J256" i="9" s="1"/>
  <c r="I255" i="9"/>
  <c r="J255" i="9" s="1"/>
  <c r="I254" i="9"/>
  <c r="J254" i="9" s="1"/>
  <c r="I253" i="9"/>
  <c r="J253" i="9" s="1"/>
  <c r="I252" i="9"/>
  <c r="J252" i="9" s="1"/>
  <c r="I251" i="9"/>
  <c r="J251" i="9" s="1"/>
  <c r="I250" i="9"/>
  <c r="J250" i="9" s="1"/>
  <c r="I249" i="9"/>
  <c r="J249" i="9" s="1"/>
  <c r="I248" i="9"/>
  <c r="J248" i="9" s="1"/>
  <c r="I247" i="9"/>
  <c r="J247" i="9" s="1"/>
  <c r="I246" i="9"/>
  <c r="J246" i="9" s="1"/>
  <c r="I245" i="9"/>
  <c r="J245" i="9" s="1"/>
  <c r="I244" i="9"/>
  <c r="J244" i="9" s="1"/>
  <c r="I243" i="9"/>
  <c r="J243" i="9" s="1"/>
  <c r="I242" i="9"/>
  <c r="J242" i="9" s="1"/>
  <c r="I241" i="9"/>
  <c r="J241" i="9" s="1"/>
  <c r="I240" i="9"/>
  <c r="J240" i="9" s="1"/>
  <c r="I239" i="9"/>
  <c r="J239" i="9" s="1"/>
  <c r="I238" i="9"/>
  <c r="J238" i="9" s="1"/>
  <c r="I237" i="9"/>
  <c r="J237" i="9" s="1"/>
  <c r="I236" i="9"/>
  <c r="J236" i="9" s="1"/>
  <c r="I235" i="9"/>
  <c r="J235" i="9" s="1"/>
  <c r="I234" i="9"/>
  <c r="J234" i="9" s="1"/>
  <c r="I233" i="9"/>
  <c r="J233" i="9" s="1"/>
  <c r="I232" i="9"/>
  <c r="J232" i="9" s="1"/>
  <c r="I231" i="9"/>
  <c r="J231" i="9" s="1"/>
  <c r="I230" i="9"/>
  <c r="J230" i="9" s="1"/>
  <c r="I229" i="9"/>
  <c r="J229" i="9" s="1"/>
  <c r="I228" i="9"/>
  <c r="J228" i="9" s="1"/>
  <c r="I227" i="9"/>
  <c r="J227" i="9" s="1"/>
  <c r="I226" i="9"/>
  <c r="J226" i="9" s="1"/>
  <c r="I225" i="9"/>
  <c r="J225" i="9" s="1"/>
  <c r="I224" i="9"/>
  <c r="J224" i="9" s="1"/>
  <c r="I223" i="9"/>
  <c r="J223" i="9" s="1"/>
  <c r="I222" i="9"/>
  <c r="J222" i="9" s="1"/>
  <c r="I221" i="9"/>
  <c r="J221" i="9" s="1"/>
  <c r="I220" i="9"/>
  <c r="J220" i="9" s="1"/>
  <c r="I219" i="9"/>
  <c r="J219" i="9" s="1"/>
  <c r="I218" i="9"/>
  <c r="J218" i="9" s="1"/>
  <c r="I217" i="9"/>
  <c r="J217" i="9" s="1"/>
  <c r="I216" i="9"/>
  <c r="J216" i="9" s="1"/>
  <c r="I215" i="9"/>
  <c r="J215" i="9" s="1"/>
  <c r="I214" i="9"/>
  <c r="J214" i="9" s="1"/>
  <c r="I213" i="9"/>
  <c r="J213" i="9" s="1"/>
  <c r="I212" i="9"/>
  <c r="J212" i="9" s="1"/>
  <c r="I211" i="9"/>
  <c r="J211" i="9" s="1"/>
  <c r="I210" i="9"/>
  <c r="J210" i="9" s="1"/>
  <c r="I209" i="9"/>
  <c r="J209" i="9" s="1"/>
  <c r="I208" i="9"/>
  <c r="J208" i="9" s="1"/>
  <c r="I207" i="9"/>
  <c r="J207" i="9" s="1"/>
  <c r="I206" i="9"/>
  <c r="J206" i="9" s="1"/>
  <c r="I205" i="9"/>
  <c r="J205" i="9" s="1"/>
  <c r="I204" i="9"/>
  <c r="J204" i="9" s="1"/>
  <c r="I203" i="9"/>
  <c r="J203" i="9" s="1"/>
  <c r="I202" i="9"/>
  <c r="J202" i="9" s="1"/>
  <c r="I201" i="9"/>
  <c r="J201" i="9" s="1"/>
  <c r="I200" i="9"/>
  <c r="J200" i="9" s="1"/>
  <c r="I199" i="9"/>
  <c r="J199" i="9" s="1"/>
  <c r="I198" i="9"/>
  <c r="J198" i="9" s="1"/>
  <c r="I197" i="9"/>
  <c r="J197" i="9" s="1"/>
  <c r="I196" i="9"/>
  <c r="J196" i="9" s="1"/>
  <c r="I195" i="9"/>
  <c r="J195" i="9" s="1"/>
  <c r="I194" i="9"/>
  <c r="J194" i="9" s="1"/>
  <c r="I193" i="9"/>
  <c r="J193" i="9" s="1"/>
  <c r="I192" i="9"/>
  <c r="J192" i="9" s="1"/>
  <c r="I191" i="9"/>
  <c r="J191" i="9" s="1"/>
  <c r="I190" i="9"/>
  <c r="J190" i="9" s="1"/>
  <c r="I189" i="9"/>
  <c r="J189" i="9" s="1"/>
  <c r="I188" i="9"/>
  <c r="J188" i="9" s="1"/>
  <c r="I187" i="9"/>
  <c r="J187" i="9" s="1"/>
  <c r="I186" i="9"/>
  <c r="J186" i="9" s="1"/>
  <c r="I185" i="9"/>
  <c r="J185" i="9" s="1"/>
  <c r="I184" i="9"/>
  <c r="J184" i="9" s="1"/>
  <c r="I183" i="9"/>
  <c r="J183" i="9" s="1"/>
  <c r="I182" i="9"/>
  <c r="J182" i="9" s="1"/>
  <c r="I181" i="9"/>
  <c r="J181" i="9" s="1"/>
  <c r="I180" i="9"/>
  <c r="J180" i="9" s="1"/>
  <c r="I179" i="9"/>
  <c r="J179" i="9" s="1"/>
  <c r="I178" i="9"/>
  <c r="J178" i="9" s="1"/>
  <c r="I177" i="9"/>
  <c r="J177" i="9" s="1"/>
  <c r="I176" i="9"/>
  <c r="J176" i="9" s="1"/>
  <c r="I175" i="9"/>
  <c r="J175" i="9" s="1"/>
  <c r="I174" i="9"/>
  <c r="J174" i="9" s="1"/>
  <c r="I173" i="9"/>
  <c r="J173" i="9" s="1"/>
  <c r="I172" i="9"/>
  <c r="J172" i="9" s="1"/>
  <c r="I171" i="9"/>
  <c r="J171" i="9" s="1"/>
  <c r="I170" i="9"/>
  <c r="J170" i="9" s="1"/>
  <c r="I169" i="9"/>
  <c r="J169" i="9" s="1"/>
  <c r="I168" i="9"/>
  <c r="J168" i="9" s="1"/>
  <c r="I167" i="9"/>
  <c r="J167" i="9" s="1"/>
  <c r="I166" i="9"/>
  <c r="J166" i="9" s="1"/>
  <c r="I165" i="9"/>
  <c r="J165" i="9" s="1"/>
  <c r="I164" i="9"/>
  <c r="J164" i="9" s="1"/>
  <c r="I163" i="9"/>
  <c r="J163" i="9" s="1"/>
  <c r="I162" i="9"/>
  <c r="J162" i="9" s="1"/>
  <c r="I161" i="9"/>
  <c r="J161" i="9" s="1"/>
  <c r="I160" i="9"/>
  <c r="J160" i="9" s="1"/>
  <c r="I159" i="9"/>
  <c r="J159" i="9" s="1"/>
  <c r="I158" i="9"/>
  <c r="J158" i="9" s="1"/>
  <c r="I157" i="9"/>
  <c r="J157" i="9" s="1"/>
  <c r="I156" i="9"/>
  <c r="J156" i="9" s="1"/>
  <c r="I155" i="9"/>
  <c r="J155" i="9" s="1"/>
  <c r="I154" i="9"/>
  <c r="J154" i="9" s="1"/>
  <c r="I153" i="9"/>
  <c r="J153" i="9" s="1"/>
  <c r="I152" i="9"/>
  <c r="J152" i="9" s="1"/>
  <c r="I151" i="9"/>
  <c r="J151" i="9" s="1"/>
  <c r="I150" i="9"/>
  <c r="J150" i="9" s="1"/>
  <c r="I149" i="9"/>
  <c r="J149" i="9" s="1"/>
  <c r="I148" i="9"/>
  <c r="J148" i="9" s="1"/>
  <c r="I147" i="9"/>
  <c r="J147" i="9" s="1"/>
  <c r="I146" i="9"/>
  <c r="J146" i="9" s="1"/>
  <c r="I145" i="9"/>
  <c r="J145" i="9" s="1"/>
  <c r="I144" i="9"/>
  <c r="J144" i="9" s="1"/>
  <c r="I143" i="9"/>
  <c r="J143" i="9" s="1"/>
  <c r="I142" i="9"/>
  <c r="J142" i="9" s="1"/>
  <c r="I141" i="9"/>
  <c r="J141" i="9" s="1"/>
  <c r="I140" i="9"/>
  <c r="J140" i="9" s="1"/>
  <c r="I139" i="9"/>
  <c r="J139" i="9" s="1"/>
  <c r="I138" i="9"/>
  <c r="J138" i="9" s="1"/>
  <c r="I137" i="9"/>
  <c r="J137" i="9" s="1"/>
  <c r="I136" i="9"/>
  <c r="J136" i="9" s="1"/>
  <c r="I135" i="9"/>
  <c r="J135" i="9" s="1"/>
  <c r="I134" i="9"/>
  <c r="J134" i="9" s="1"/>
  <c r="I133" i="9"/>
  <c r="J133" i="9" s="1"/>
  <c r="I132" i="9"/>
  <c r="J132" i="9" s="1"/>
  <c r="I131" i="9"/>
  <c r="J131" i="9" s="1"/>
  <c r="I130" i="9"/>
  <c r="J130" i="9" s="1"/>
  <c r="I129" i="9"/>
  <c r="J129" i="9" s="1"/>
  <c r="I128" i="9"/>
  <c r="J128" i="9" s="1"/>
  <c r="I127" i="9"/>
  <c r="J127" i="9" s="1"/>
  <c r="I126" i="9"/>
  <c r="J126" i="9" s="1"/>
  <c r="I125" i="9"/>
  <c r="J125" i="9" s="1"/>
  <c r="I124" i="9"/>
  <c r="J124" i="9" s="1"/>
  <c r="I123" i="9"/>
  <c r="J123" i="9" s="1"/>
  <c r="I122" i="9"/>
  <c r="J122" i="9" s="1"/>
  <c r="I121" i="9"/>
  <c r="J121" i="9" s="1"/>
  <c r="I120" i="9"/>
  <c r="J120" i="9" s="1"/>
  <c r="I119" i="9"/>
  <c r="J119" i="9" s="1"/>
  <c r="I118" i="9"/>
  <c r="J118" i="9" s="1"/>
  <c r="I117" i="9"/>
  <c r="J117" i="9" s="1"/>
  <c r="I116" i="9"/>
  <c r="J116" i="9" s="1"/>
  <c r="I115" i="9"/>
  <c r="J115" i="9" s="1"/>
  <c r="I114" i="9"/>
  <c r="J114" i="9" s="1"/>
  <c r="I113" i="9"/>
  <c r="J113" i="9" s="1"/>
  <c r="I112" i="9"/>
  <c r="J112" i="9" s="1"/>
  <c r="I111" i="9"/>
  <c r="J111" i="9" s="1"/>
  <c r="I110" i="9"/>
  <c r="J110" i="9" s="1"/>
  <c r="I109" i="9"/>
  <c r="J109" i="9" s="1"/>
  <c r="I108" i="9"/>
  <c r="J108" i="9" s="1"/>
  <c r="I107" i="9"/>
  <c r="J107" i="9" s="1"/>
  <c r="I106" i="9"/>
  <c r="J106" i="9" s="1"/>
  <c r="I105" i="9"/>
  <c r="J105" i="9" s="1"/>
  <c r="I104" i="9"/>
  <c r="J104" i="9" s="1"/>
  <c r="I103" i="9"/>
  <c r="J103" i="9" s="1"/>
  <c r="I102" i="9"/>
  <c r="J102" i="9" s="1"/>
  <c r="I101" i="9"/>
  <c r="J101" i="9" s="1"/>
  <c r="I100" i="9"/>
  <c r="J100" i="9" s="1"/>
  <c r="I99" i="9"/>
  <c r="J99" i="9" s="1"/>
  <c r="I98" i="9"/>
  <c r="J98" i="9" s="1"/>
  <c r="I97" i="9"/>
  <c r="J97" i="9" s="1"/>
  <c r="I96" i="9"/>
  <c r="J96" i="9" s="1"/>
  <c r="I95" i="9"/>
  <c r="J95" i="9" s="1"/>
  <c r="I94" i="9"/>
  <c r="J94" i="9" s="1"/>
  <c r="I93" i="9"/>
  <c r="J93" i="9" s="1"/>
  <c r="I92" i="9"/>
  <c r="J92" i="9" s="1"/>
  <c r="I91" i="9"/>
  <c r="J91" i="9" s="1"/>
  <c r="I90" i="9"/>
  <c r="J90" i="9" s="1"/>
  <c r="I89" i="9"/>
  <c r="J89" i="9" s="1"/>
  <c r="I88" i="9"/>
  <c r="J88" i="9" s="1"/>
  <c r="I87" i="9"/>
  <c r="J87" i="9" s="1"/>
  <c r="I86" i="9"/>
  <c r="J86" i="9" s="1"/>
  <c r="I85" i="9"/>
  <c r="J85" i="9" s="1"/>
  <c r="I84" i="9"/>
  <c r="J84" i="9" s="1"/>
  <c r="I83" i="9"/>
  <c r="J83" i="9" s="1"/>
  <c r="I82" i="9"/>
  <c r="J82" i="9" s="1"/>
  <c r="I81" i="9"/>
  <c r="J81" i="9" s="1"/>
  <c r="I80" i="9"/>
  <c r="J80" i="9" s="1"/>
  <c r="I79" i="9"/>
  <c r="J79" i="9" s="1"/>
  <c r="I78" i="9"/>
  <c r="J78" i="9" s="1"/>
  <c r="I77" i="9"/>
  <c r="J77" i="9" s="1"/>
  <c r="I76" i="9"/>
  <c r="J76" i="9" s="1"/>
  <c r="I75" i="9"/>
  <c r="J75" i="9" s="1"/>
  <c r="I74" i="9"/>
  <c r="J74" i="9" s="1"/>
  <c r="I73" i="9"/>
  <c r="J73" i="9" s="1"/>
  <c r="I72" i="9"/>
  <c r="J72" i="9" s="1"/>
  <c r="I71" i="9"/>
  <c r="J71" i="9" s="1"/>
  <c r="I70" i="9"/>
  <c r="J70" i="9" s="1"/>
  <c r="I69" i="9"/>
  <c r="J69" i="9" s="1"/>
  <c r="I68" i="9"/>
  <c r="J68" i="9" s="1"/>
  <c r="I67" i="9"/>
  <c r="J67" i="9" s="1"/>
  <c r="I66" i="9"/>
  <c r="J66" i="9" s="1"/>
  <c r="I65" i="9"/>
  <c r="J65" i="9" s="1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36" i="9"/>
  <c r="J35" i="9"/>
  <c r="J34" i="9"/>
  <c r="J33" i="9"/>
  <c r="J32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I9" i="9"/>
  <c r="J9" i="9" s="1"/>
  <c r="I8" i="9"/>
  <c r="J8" i="9" s="1"/>
  <c r="I7" i="9"/>
  <c r="J7" i="9" s="1"/>
  <c r="J6" i="9"/>
  <c r="I6" i="9"/>
  <c r="D489" i="9"/>
  <c r="D488" i="9"/>
  <c r="D487" i="9"/>
  <c r="D486" i="9"/>
  <c r="D485" i="9"/>
  <c r="D484" i="9"/>
  <c r="D483" i="9"/>
  <c r="D482" i="9"/>
  <c r="D481" i="9"/>
  <c r="D480" i="9"/>
  <c r="D479" i="9"/>
  <c r="D478" i="9"/>
  <c r="D477" i="9"/>
  <c r="D476" i="9"/>
  <c r="D475" i="9"/>
  <c r="D474" i="9"/>
  <c r="D473" i="9"/>
  <c r="D472" i="9"/>
  <c r="D471" i="9"/>
  <c r="D470" i="9"/>
  <c r="D469" i="9"/>
  <c r="D468" i="9"/>
  <c r="D467" i="9"/>
  <c r="D466" i="9"/>
  <c r="D465" i="9"/>
  <c r="D464" i="9"/>
  <c r="D463" i="9"/>
  <c r="D462" i="9"/>
  <c r="D461" i="9"/>
  <c r="D460" i="9"/>
  <c r="D459" i="9"/>
  <c r="D458" i="9"/>
  <c r="D457" i="9"/>
  <c r="D456" i="9"/>
  <c r="D455" i="9"/>
  <c r="D454" i="9"/>
  <c r="D453" i="9"/>
  <c r="D452" i="9"/>
  <c r="D451" i="9"/>
  <c r="D450" i="9"/>
  <c r="D449" i="9"/>
  <c r="D448" i="9"/>
  <c r="D447" i="9"/>
  <c r="D446" i="9"/>
  <c r="D445" i="9"/>
  <c r="D444" i="9"/>
  <c r="D443" i="9"/>
  <c r="D442" i="9"/>
  <c r="D441" i="9"/>
  <c r="D440" i="9"/>
  <c r="D439" i="9"/>
  <c r="D438" i="9"/>
  <c r="D437" i="9"/>
  <c r="D436" i="9"/>
  <c r="D435" i="9"/>
  <c r="D434" i="9"/>
  <c r="D433" i="9"/>
  <c r="D432" i="9"/>
  <c r="D431" i="9"/>
  <c r="D430" i="9"/>
  <c r="D429" i="9"/>
  <c r="D428" i="9"/>
  <c r="D427" i="9"/>
  <c r="D426" i="9"/>
  <c r="D425" i="9"/>
  <c r="D424" i="9"/>
  <c r="D423" i="9"/>
  <c r="D422" i="9"/>
  <c r="D421" i="9"/>
  <c r="D420" i="9"/>
  <c r="D419" i="9"/>
  <c r="D418" i="9"/>
  <c r="D417" i="9"/>
  <c r="D416" i="9"/>
  <c r="D415" i="9"/>
  <c r="D414" i="9"/>
  <c r="D413" i="9"/>
  <c r="D412" i="9"/>
  <c r="D411" i="9"/>
  <c r="D410" i="9"/>
  <c r="D409" i="9"/>
  <c r="D408" i="9"/>
  <c r="D407" i="9"/>
  <c r="D406" i="9"/>
  <c r="D405" i="9"/>
  <c r="D404" i="9"/>
  <c r="D403" i="9"/>
  <c r="D402" i="9"/>
  <c r="D401" i="9"/>
  <c r="D400" i="9"/>
  <c r="D399" i="9"/>
  <c r="D398" i="9"/>
  <c r="D397" i="9"/>
  <c r="D396" i="9"/>
  <c r="D395" i="9"/>
  <c r="D394" i="9"/>
  <c r="D393" i="9"/>
  <c r="D392" i="9"/>
  <c r="D391" i="9"/>
  <c r="D390" i="9"/>
  <c r="D389" i="9"/>
  <c r="D388" i="9"/>
  <c r="D387" i="9"/>
  <c r="D386" i="9"/>
  <c r="D385" i="9"/>
  <c r="D384" i="9"/>
  <c r="D383" i="9"/>
  <c r="D382" i="9"/>
  <c r="D381" i="9"/>
  <c r="D380" i="9"/>
  <c r="D379" i="9"/>
  <c r="D378" i="9"/>
  <c r="D377" i="9"/>
  <c r="D376" i="9"/>
  <c r="D375" i="9"/>
  <c r="D374" i="9"/>
  <c r="D373" i="9"/>
  <c r="D372" i="9"/>
  <c r="D371" i="9"/>
  <c r="D370" i="9"/>
  <c r="D369" i="9"/>
  <c r="D368" i="9"/>
  <c r="D367" i="9"/>
  <c r="D366" i="9"/>
  <c r="D365" i="9"/>
  <c r="D364" i="9"/>
  <c r="D363" i="9"/>
  <c r="D362" i="9"/>
  <c r="D361" i="9"/>
  <c r="D360" i="9"/>
  <c r="D359" i="9"/>
  <c r="D358" i="9"/>
  <c r="D357" i="9"/>
  <c r="D356" i="9"/>
  <c r="D355" i="9"/>
  <c r="D354" i="9"/>
  <c r="D353" i="9"/>
  <c r="D352" i="9"/>
  <c r="D351" i="9"/>
  <c r="D350" i="9"/>
  <c r="D349" i="9"/>
  <c r="D348" i="9"/>
  <c r="D347" i="9"/>
  <c r="D346" i="9"/>
  <c r="D345" i="9"/>
  <c r="D344" i="9"/>
  <c r="D343" i="9"/>
  <c r="D342" i="9"/>
  <c r="D341" i="9"/>
  <c r="D340" i="9"/>
  <c r="D339" i="9"/>
  <c r="D338" i="9"/>
  <c r="D337" i="9"/>
  <c r="D336" i="9"/>
  <c r="D335" i="9"/>
  <c r="D334" i="9"/>
  <c r="D333" i="9"/>
  <c r="D332" i="9"/>
  <c r="D331" i="9"/>
  <c r="D330" i="9"/>
  <c r="D329" i="9"/>
  <c r="D328" i="9"/>
  <c r="D327" i="9"/>
  <c r="D326" i="9"/>
  <c r="D325" i="9"/>
  <c r="D324" i="9"/>
  <c r="D323" i="9"/>
  <c r="D322" i="9"/>
  <c r="D321" i="9"/>
  <c r="D320" i="9"/>
  <c r="D319" i="9"/>
  <c r="D318" i="9"/>
  <c r="D317" i="9"/>
  <c r="D316" i="9"/>
  <c r="D315" i="9"/>
  <c r="D314" i="9"/>
  <c r="D313" i="9"/>
  <c r="D312" i="9"/>
  <c r="D311" i="9"/>
  <c r="D310" i="9"/>
  <c r="D309" i="9"/>
  <c r="D308" i="9"/>
  <c r="D307" i="9"/>
  <c r="D306" i="9"/>
  <c r="D305" i="9"/>
  <c r="D304" i="9"/>
  <c r="D303" i="9"/>
  <c r="D302" i="9"/>
  <c r="D301" i="9"/>
  <c r="D300" i="9"/>
  <c r="D299" i="9"/>
  <c r="D298" i="9"/>
  <c r="D297" i="9"/>
  <c r="D296" i="9"/>
  <c r="D295" i="9"/>
  <c r="D294" i="9"/>
  <c r="D293" i="9"/>
  <c r="D292" i="9"/>
  <c r="D291" i="9"/>
  <c r="D290" i="9"/>
  <c r="D289" i="9"/>
  <c r="D288" i="9"/>
  <c r="D287" i="9"/>
  <c r="D286" i="9"/>
  <c r="D285" i="9"/>
  <c r="D284" i="9"/>
  <c r="D283" i="9"/>
  <c r="D282" i="9"/>
  <c r="D281" i="9"/>
  <c r="D280" i="9"/>
  <c r="D279" i="9"/>
  <c r="D278" i="9"/>
  <c r="D277" i="9"/>
  <c r="D276" i="9"/>
  <c r="D275" i="9"/>
  <c r="D274" i="9"/>
  <c r="D273" i="9"/>
  <c r="D272" i="9"/>
  <c r="D271" i="9"/>
  <c r="D270" i="9"/>
  <c r="D269" i="9"/>
  <c r="D268" i="9"/>
  <c r="D267" i="9"/>
  <c r="D266" i="9"/>
  <c r="D265" i="9"/>
  <c r="D264" i="9"/>
  <c r="D263" i="9"/>
  <c r="D262" i="9"/>
  <c r="D261" i="9"/>
  <c r="D260" i="9"/>
  <c r="D259" i="9"/>
  <c r="D258" i="9"/>
  <c r="D257" i="9"/>
  <c r="D256" i="9"/>
  <c r="D255" i="9"/>
  <c r="D254" i="9"/>
  <c r="D253" i="9"/>
  <c r="D252" i="9"/>
  <c r="D251" i="9"/>
  <c r="D250" i="9"/>
  <c r="D249" i="9"/>
  <c r="D248" i="9"/>
  <c r="D247" i="9"/>
  <c r="D246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D221" i="9"/>
  <c r="D220" i="9"/>
  <c r="D219" i="9"/>
  <c r="D218" i="9"/>
  <c r="D217" i="9"/>
  <c r="D216" i="9"/>
  <c r="D215" i="9"/>
  <c r="D214" i="9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N16" i="46" l="1"/>
  <c r="N12" i="45"/>
  <c r="P12" i="45" s="1"/>
  <c r="N10" i="46"/>
  <c r="P10" i="46" s="1"/>
  <c r="N17" i="46"/>
  <c r="P17" i="46" s="1"/>
  <c r="N6" i="46"/>
  <c r="P6" i="46" s="1"/>
  <c r="N12" i="46"/>
  <c r="P12" i="46" s="1"/>
  <c r="N18" i="46"/>
  <c r="P18" i="46" s="1"/>
  <c r="N9" i="30"/>
  <c r="P9" i="30" s="1"/>
  <c r="N7" i="46"/>
  <c r="P7" i="46" s="1"/>
  <c r="N8" i="46"/>
  <c r="P8" i="46" s="1"/>
  <c r="N9" i="46"/>
  <c r="P9" i="46" s="1"/>
  <c r="N16" i="43"/>
  <c r="P16" i="43" s="1"/>
  <c r="N7" i="43"/>
  <c r="P7" i="43" s="1"/>
  <c r="N6" i="43"/>
  <c r="P6" i="43" s="1"/>
  <c r="N18" i="43"/>
  <c r="P18" i="43" s="1"/>
  <c r="N10" i="43"/>
  <c r="P10" i="43" s="1"/>
  <c r="N9" i="43"/>
  <c r="P9" i="43" s="1"/>
  <c r="N10" i="48"/>
  <c r="P10" i="48" s="1"/>
  <c r="N17" i="48"/>
  <c r="P17" i="48" s="1"/>
  <c r="N7" i="48"/>
  <c r="P7" i="48" s="1"/>
  <c r="S9" i="48"/>
  <c r="S10" i="43"/>
  <c r="S9" i="43"/>
  <c r="N12" i="30"/>
  <c r="P12" i="30" s="1"/>
  <c r="N17" i="30"/>
  <c r="P17" i="30" s="1"/>
  <c r="N8" i="30"/>
  <c r="P8" i="30" s="1"/>
  <c r="N11" i="30"/>
  <c r="P11" i="30" s="1"/>
  <c r="N18" i="30"/>
  <c r="P18" i="30" s="1"/>
  <c r="N9" i="47"/>
  <c r="P9" i="47" s="1"/>
  <c r="N16" i="47"/>
  <c r="P16" i="47" s="1"/>
  <c r="N11" i="47"/>
  <c r="P11" i="47" s="1"/>
  <c r="N9" i="45"/>
  <c r="P9" i="45" s="1"/>
  <c r="N17" i="47"/>
  <c r="P17" i="47" s="1"/>
  <c r="N10" i="45"/>
  <c r="P10" i="45" s="1"/>
  <c r="N18" i="48"/>
  <c r="P18" i="48" s="1"/>
  <c r="N11" i="45"/>
  <c r="P11" i="45" s="1"/>
  <c r="N9" i="48"/>
  <c r="P9" i="48" s="1"/>
  <c r="N6" i="45"/>
  <c r="P6" i="45" s="1"/>
  <c r="N13" i="46"/>
  <c r="N18" i="45"/>
  <c r="P18" i="45" s="1"/>
  <c r="N17" i="45"/>
  <c r="P17" i="45" s="1"/>
  <c r="N16" i="32"/>
  <c r="P16" i="32" s="1"/>
  <c r="N8" i="32"/>
  <c r="P8" i="32" s="1"/>
  <c r="N11" i="33"/>
  <c r="P11" i="33" s="1"/>
  <c r="N7" i="33"/>
  <c r="P7" i="33" s="1"/>
  <c r="N6" i="37"/>
  <c r="P6" i="37" s="1"/>
  <c r="N6" i="32"/>
  <c r="P6" i="32" s="1"/>
  <c r="N12" i="37"/>
  <c r="P12" i="37" s="1"/>
  <c r="N13" i="32"/>
  <c r="P13" i="32" s="1"/>
  <c r="N10" i="37"/>
  <c r="P10" i="37" s="1"/>
  <c r="N12" i="33"/>
  <c r="P12" i="33" s="1"/>
  <c r="N6" i="47"/>
  <c r="P6" i="47" s="1"/>
  <c r="N12" i="32"/>
  <c r="P12" i="32" s="1"/>
  <c r="N17" i="33"/>
  <c r="P17" i="33" s="1"/>
  <c r="N13" i="33"/>
  <c r="P13" i="33" s="1"/>
  <c r="N16" i="33"/>
  <c r="P16" i="33" s="1"/>
  <c r="N17" i="43"/>
  <c r="P17" i="43" s="1"/>
  <c r="N6" i="33"/>
  <c r="P6" i="33" s="1"/>
  <c r="N9" i="33"/>
  <c r="P9" i="33" s="1"/>
  <c r="N8" i="48"/>
  <c r="P8" i="48" s="1"/>
  <c r="N12" i="48"/>
  <c r="P12" i="48" s="1"/>
  <c r="N8" i="43"/>
  <c r="P8" i="43" s="1"/>
  <c r="N18" i="32"/>
  <c r="P18" i="32" s="1"/>
  <c r="N11" i="37"/>
  <c r="P11" i="37" s="1"/>
  <c r="N17" i="32"/>
  <c r="P17" i="32" s="1"/>
  <c r="N17" i="37"/>
  <c r="P17" i="37" s="1"/>
  <c r="N11" i="43"/>
  <c r="P11" i="43" s="1"/>
  <c r="N10" i="33"/>
  <c r="P10" i="33" s="1"/>
  <c r="N12" i="43"/>
  <c r="P12" i="43" s="1"/>
  <c r="N16" i="48"/>
  <c r="N7" i="30"/>
  <c r="P7" i="30" s="1"/>
  <c r="N6" i="35"/>
  <c r="P6" i="35" s="1"/>
  <c r="N8" i="37"/>
  <c r="P8" i="37" s="1"/>
  <c r="N11" i="48"/>
  <c r="P11" i="48" s="1"/>
  <c r="N13" i="45"/>
  <c r="P13" i="45" s="1"/>
  <c r="N12" i="47"/>
  <c r="P12" i="47" s="1"/>
  <c r="N6" i="30"/>
  <c r="P6" i="30" s="1"/>
  <c r="N11" i="35"/>
  <c r="P11" i="35" s="1"/>
  <c r="N13" i="37"/>
  <c r="S10" i="37" s="1"/>
  <c r="N6" i="48"/>
  <c r="P6" i="48" s="1"/>
  <c r="N16" i="45"/>
  <c r="P16" i="45" s="1"/>
  <c r="N7" i="47"/>
  <c r="P7" i="47" s="1"/>
  <c r="N18" i="35"/>
  <c r="P18" i="35" s="1"/>
  <c r="N16" i="37"/>
  <c r="P16" i="37" s="1"/>
  <c r="N10" i="30"/>
  <c r="P10" i="30" s="1"/>
  <c r="N7" i="35"/>
  <c r="P7" i="35" s="1"/>
  <c r="N9" i="37"/>
  <c r="P9" i="37" s="1"/>
  <c r="S10" i="30"/>
  <c r="N8" i="45"/>
  <c r="P8" i="45" s="1"/>
  <c r="N18" i="47"/>
  <c r="P18" i="47" s="1"/>
  <c r="N12" i="40"/>
  <c r="P12" i="40" s="1"/>
  <c r="N16" i="30"/>
  <c r="N7" i="31"/>
  <c r="P7" i="31" s="1"/>
  <c r="N16" i="35"/>
  <c r="P16" i="35" s="1"/>
  <c r="N18" i="37"/>
  <c r="P18" i="37" s="1"/>
  <c r="S9" i="30"/>
  <c r="N13" i="47"/>
  <c r="P13" i="47" s="1"/>
  <c r="N16" i="31"/>
  <c r="P16" i="31" s="1"/>
  <c r="N12" i="35"/>
  <c r="P12" i="35" s="1"/>
  <c r="N8" i="35"/>
  <c r="P8" i="35" s="1"/>
  <c r="N13" i="35"/>
  <c r="P13" i="35" s="1"/>
  <c r="N6" i="38"/>
  <c r="P6" i="38" s="1"/>
  <c r="N10" i="38"/>
  <c r="P10" i="38" s="1"/>
  <c r="N7" i="38"/>
  <c r="P7" i="38" s="1"/>
  <c r="N10" i="41"/>
  <c r="P10" i="41" s="1"/>
  <c r="N11" i="41"/>
  <c r="P11" i="41" s="1"/>
  <c r="N7" i="36"/>
  <c r="P7" i="36" s="1"/>
  <c r="N12" i="41"/>
  <c r="P12" i="41" s="1"/>
  <c r="N7" i="41"/>
  <c r="P7" i="41" s="1"/>
  <c r="N8" i="41"/>
  <c r="P8" i="41" s="1"/>
  <c r="N17" i="41"/>
  <c r="P17" i="41" s="1"/>
  <c r="N16" i="41"/>
  <c r="N9" i="41"/>
  <c r="P9" i="41" s="1"/>
  <c r="N18" i="41"/>
  <c r="P18" i="41" s="1"/>
  <c r="N11" i="38"/>
  <c r="P11" i="38" s="1"/>
  <c r="N7" i="44"/>
  <c r="P7" i="44" s="1"/>
  <c r="N10" i="47"/>
  <c r="P10" i="47" s="1"/>
  <c r="N13" i="41"/>
  <c r="S9" i="41" s="1"/>
  <c r="N8" i="38"/>
  <c r="P8" i="38" s="1"/>
  <c r="N17" i="38"/>
  <c r="P17" i="38" s="1"/>
  <c r="N8" i="44"/>
  <c r="P8" i="44" s="1"/>
  <c r="N12" i="44"/>
  <c r="P12" i="44" s="1"/>
  <c r="N16" i="38"/>
  <c r="N17" i="44"/>
  <c r="P17" i="44" s="1"/>
  <c r="N13" i="38"/>
  <c r="P13" i="38" s="1"/>
  <c r="N11" i="44"/>
  <c r="P11" i="44" s="1"/>
  <c r="N9" i="38"/>
  <c r="P9" i="38" s="1"/>
  <c r="N13" i="44"/>
  <c r="P13" i="44" s="1"/>
  <c r="N12" i="38"/>
  <c r="P12" i="38" s="1"/>
  <c r="N16" i="39"/>
  <c r="P16" i="39" s="1"/>
  <c r="N17" i="39"/>
  <c r="P17" i="39" s="1"/>
  <c r="N13" i="39"/>
  <c r="P13" i="39" s="1"/>
  <c r="N9" i="39"/>
  <c r="P9" i="39" s="1"/>
  <c r="S10" i="48"/>
  <c r="N11" i="36"/>
  <c r="P11" i="36" s="1"/>
  <c r="N6" i="36"/>
  <c r="P6" i="36" s="1"/>
  <c r="N9" i="44"/>
  <c r="P9" i="44" s="1"/>
  <c r="N10" i="44"/>
  <c r="P10" i="44" s="1"/>
  <c r="N16" i="36"/>
  <c r="N9" i="32"/>
  <c r="P9" i="32" s="1"/>
  <c r="N18" i="36"/>
  <c r="P18" i="36" s="1"/>
  <c r="N18" i="44"/>
  <c r="P18" i="44" s="1"/>
  <c r="N12" i="36"/>
  <c r="P12" i="36" s="1"/>
  <c r="N6" i="44"/>
  <c r="P6" i="44" s="1"/>
  <c r="N8" i="36"/>
  <c r="P8" i="36" s="1"/>
  <c r="N10" i="39"/>
  <c r="P10" i="39" s="1"/>
  <c r="N11" i="32"/>
  <c r="P11" i="32" s="1"/>
  <c r="N17" i="36"/>
  <c r="P17" i="36" s="1"/>
  <c r="N8" i="39"/>
  <c r="P8" i="39" s="1"/>
  <c r="N13" i="36"/>
  <c r="S10" i="36" s="1"/>
  <c r="N7" i="39"/>
  <c r="P7" i="39" s="1"/>
  <c r="N17" i="40"/>
  <c r="P17" i="40" s="1"/>
  <c r="N10" i="40"/>
  <c r="P10" i="40" s="1"/>
  <c r="N9" i="40"/>
  <c r="P9" i="40" s="1"/>
  <c r="N17" i="35"/>
  <c r="P17" i="35" s="1"/>
  <c r="N18" i="40"/>
  <c r="P18" i="40" s="1"/>
  <c r="N18" i="39"/>
  <c r="P18" i="39" s="1"/>
  <c r="N18" i="42"/>
  <c r="P18" i="42" s="1"/>
  <c r="N10" i="42"/>
  <c r="P10" i="42" s="1"/>
  <c r="N6" i="31"/>
  <c r="P6" i="31" s="1"/>
  <c r="N12" i="34"/>
  <c r="P12" i="34" s="1"/>
  <c r="N16" i="42"/>
  <c r="P16" i="42" s="1"/>
  <c r="N7" i="34"/>
  <c r="P7" i="34" s="1"/>
  <c r="N11" i="42"/>
  <c r="P11" i="42" s="1"/>
  <c r="N11" i="31"/>
  <c r="P11" i="31" s="1"/>
  <c r="N10" i="34"/>
  <c r="P10" i="34" s="1"/>
  <c r="N12" i="42"/>
  <c r="P12" i="42" s="1"/>
  <c r="N8" i="40"/>
  <c r="P8" i="40" s="1"/>
  <c r="N10" i="31"/>
  <c r="P10" i="31" s="1"/>
  <c r="N16" i="34"/>
  <c r="N8" i="42"/>
  <c r="P8" i="42" s="1"/>
  <c r="N8" i="31"/>
  <c r="P8" i="31" s="1"/>
  <c r="N8" i="33"/>
  <c r="P8" i="33" s="1"/>
  <c r="N8" i="34"/>
  <c r="P8" i="34" s="1"/>
  <c r="N17" i="42"/>
  <c r="P17" i="42" s="1"/>
  <c r="N13" i="40"/>
  <c r="N6" i="34"/>
  <c r="N17" i="34"/>
  <c r="P17" i="34" s="1"/>
  <c r="N7" i="42"/>
  <c r="P7" i="42" s="1"/>
  <c r="N12" i="31"/>
  <c r="P12" i="31" s="1"/>
  <c r="N13" i="34"/>
  <c r="N13" i="42"/>
  <c r="N6" i="42"/>
  <c r="P6" i="42" s="1"/>
  <c r="N17" i="31"/>
  <c r="P17" i="31" s="1"/>
  <c r="N11" i="34"/>
  <c r="P11" i="34" s="1"/>
  <c r="N13" i="31"/>
  <c r="S10" i="31" s="1"/>
  <c r="N9" i="34"/>
  <c r="P9" i="34" s="1"/>
  <c r="N6" i="40"/>
  <c r="P6" i="40" s="1"/>
  <c r="N6" i="39"/>
  <c r="N10" i="32"/>
  <c r="P10" i="32" s="1"/>
  <c r="N10" i="36"/>
  <c r="P10" i="36" s="1"/>
  <c r="N10" i="35"/>
  <c r="P10" i="35" s="1"/>
  <c r="N11" i="40"/>
  <c r="P11" i="40" s="1"/>
  <c r="N11" i="39"/>
  <c r="P11" i="39" s="1"/>
  <c r="N16" i="40"/>
  <c r="P16" i="40" s="1"/>
  <c r="N9" i="31"/>
  <c r="P9" i="31" s="1"/>
  <c r="P16" i="44"/>
  <c r="P6" i="41"/>
  <c r="P26" i="9"/>
  <c r="P33" i="9"/>
  <c r="J3" i="9"/>
  <c r="N13" i="9" s="1"/>
  <c r="D46" i="29"/>
  <c r="B2" i="29" a="1"/>
  <c r="B2" i="29" s="1"/>
  <c r="B2" i="9" a="1"/>
  <c r="B2" i="9" s="1"/>
  <c r="N19" i="46" l="1"/>
  <c r="P16" i="46"/>
  <c r="P19" i="46" s="1"/>
  <c r="N14" i="46"/>
  <c r="R3" i="46" s="1"/>
  <c r="U3" i="46" s="1"/>
  <c r="N19" i="43"/>
  <c r="S9" i="32"/>
  <c r="P19" i="43"/>
  <c r="P13" i="46"/>
  <c r="P14" i="46" s="1"/>
  <c r="P19" i="33"/>
  <c r="S10" i="35"/>
  <c r="S10" i="47"/>
  <c r="P19" i="32"/>
  <c r="S9" i="47"/>
  <c r="N19" i="33"/>
  <c r="N14" i="41"/>
  <c r="R3" i="41" s="1"/>
  <c r="U3" i="41" s="1"/>
  <c r="N19" i="48"/>
  <c r="S10" i="46"/>
  <c r="N19" i="30"/>
  <c r="P19" i="42"/>
  <c r="N14" i="37"/>
  <c r="R7" i="37" s="1"/>
  <c r="T7" i="37" s="1"/>
  <c r="P14" i="48"/>
  <c r="P19" i="37"/>
  <c r="N14" i="48"/>
  <c r="R9" i="48" s="1"/>
  <c r="N14" i="43"/>
  <c r="R3" i="43" s="1"/>
  <c r="U3" i="43" s="1"/>
  <c r="N19" i="31"/>
  <c r="P16" i="30"/>
  <c r="P19" i="30" s="1"/>
  <c r="S9" i="46"/>
  <c r="P16" i="48"/>
  <c r="P19" i="48" s="1"/>
  <c r="S9" i="33"/>
  <c r="S10" i="33"/>
  <c r="N19" i="38"/>
  <c r="S9" i="35"/>
  <c r="N14" i="39"/>
  <c r="R3" i="39" s="1"/>
  <c r="U3" i="39" s="1"/>
  <c r="S9" i="37"/>
  <c r="S10" i="32"/>
  <c r="P13" i="37"/>
  <c r="P14" i="37" s="1"/>
  <c r="P13" i="36"/>
  <c r="P14" i="36" s="1"/>
  <c r="S9" i="45"/>
  <c r="N19" i="37"/>
  <c r="P16" i="38"/>
  <c r="P19" i="38" s="1"/>
  <c r="S10" i="45"/>
  <c r="P14" i="43"/>
  <c r="N19" i="32"/>
  <c r="N19" i="41"/>
  <c r="N19" i="45"/>
  <c r="S10" i="41"/>
  <c r="P13" i="41"/>
  <c r="P14" i="41" s="1"/>
  <c r="P19" i="39"/>
  <c r="S10" i="39"/>
  <c r="S9" i="39"/>
  <c r="N14" i="30"/>
  <c r="R10" i="30" s="1"/>
  <c r="P19" i="44"/>
  <c r="P19" i="45"/>
  <c r="S10" i="38"/>
  <c r="N14" i="45"/>
  <c r="R6" i="45" s="1"/>
  <c r="T6" i="45" s="1"/>
  <c r="P14" i="30"/>
  <c r="S9" i="44"/>
  <c r="P14" i="47"/>
  <c r="S10" i="44"/>
  <c r="N19" i="47"/>
  <c r="P19" i="47"/>
  <c r="N19" i="36"/>
  <c r="N14" i="47"/>
  <c r="R3" i="47" s="1"/>
  <c r="U3" i="47" s="1"/>
  <c r="P16" i="41"/>
  <c r="P19" i="41" s="1"/>
  <c r="N14" i="38"/>
  <c r="S9" i="38"/>
  <c r="S9" i="31"/>
  <c r="P6" i="39"/>
  <c r="P14" i="39" s="1"/>
  <c r="N14" i="34"/>
  <c r="R7" i="34" s="1"/>
  <c r="T7" i="34" s="1"/>
  <c r="P13" i="31"/>
  <c r="P14" i="31" s="1"/>
  <c r="P14" i="38"/>
  <c r="N19" i="42"/>
  <c r="N14" i="33"/>
  <c r="N14" i="40"/>
  <c r="N19" i="35"/>
  <c r="P19" i="40"/>
  <c r="N14" i="42"/>
  <c r="P16" i="34"/>
  <c r="P19" i="34" s="1"/>
  <c r="N19" i="34"/>
  <c r="N14" i="35"/>
  <c r="N14" i="32"/>
  <c r="P14" i="32"/>
  <c r="N19" i="40"/>
  <c r="P16" i="36"/>
  <c r="P19" i="36" s="1"/>
  <c r="N14" i="36"/>
  <c r="N19" i="39"/>
  <c r="N14" i="31"/>
  <c r="N14" i="44"/>
  <c r="P6" i="34"/>
  <c r="S9" i="36"/>
  <c r="P19" i="31"/>
  <c r="R4" i="46"/>
  <c r="U4" i="46" s="1"/>
  <c r="R6" i="46"/>
  <c r="T6" i="46" s="1"/>
  <c r="R7" i="46"/>
  <c r="T7" i="46" s="1"/>
  <c r="R9" i="46"/>
  <c r="R10" i="46"/>
  <c r="N19" i="44"/>
  <c r="P13" i="40"/>
  <c r="P14" i="40" s="1"/>
  <c r="S10" i="40"/>
  <c r="S9" i="40"/>
  <c r="P19" i="35"/>
  <c r="P14" i="35"/>
  <c r="P14" i="33"/>
  <c r="P14" i="44"/>
  <c r="P14" i="45"/>
  <c r="P3" i="45" s="1"/>
  <c r="P4" i="45" s="1"/>
  <c r="P13" i="42"/>
  <c r="P14" i="42" s="1"/>
  <c r="S9" i="42"/>
  <c r="S10" i="42"/>
  <c r="P13" i="34"/>
  <c r="S9" i="34"/>
  <c r="S10" i="34"/>
  <c r="P13" i="9"/>
  <c r="S9" i="9"/>
  <c r="S10" i="9"/>
  <c r="N12" i="9"/>
  <c r="P12" i="9" s="1"/>
  <c r="N11" i="9"/>
  <c r="P11" i="9" s="1"/>
  <c r="N10" i="9"/>
  <c r="P10" i="9" s="1"/>
  <c r="N9" i="9"/>
  <c r="P9" i="9" s="1"/>
  <c r="N8" i="9"/>
  <c r="P8" i="9" s="1"/>
  <c r="N7" i="9"/>
  <c r="P7" i="9" s="1"/>
  <c r="N6" i="9"/>
  <c r="N16" i="9"/>
  <c r="N18" i="9"/>
  <c r="P18" i="9" s="1"/>
  <c r="N17" i="9"/>
  <c r="P17" i="9" s="1"/>
  <c r="O19" i="33" l="1"/>
  <c r="O19" i="46"/>
  <c r="P3" i="32"/>
  <c r="P4" i="32" s="1"/>
  <c r="O4" i="32" s="1"/>
  <c r="O19" i="43"/>
  <c r="P3" i="46"/>
  <c r="P4" i="46" s="1"/>
  <c r="P3" i="33"/>
  <c r="P4" i="33" s="1"/>
  <c r="O19" i="32"/>
  <c r="O14" i="41"/>
  <c r="P3" i="48"/>
  <c r="P4" i="48" s="1"/>
  <c r="O19" i="41"/>
  <c r="R4" i="48"/>
  <c r="U4" i="48" s="1"/>
  <c r="R6" i="48"/>
  <c r="T6" i="48" s="1"/>
  <c r="O19" i="30"/>
  <c r="R7" i="48"/>
  <c r="T7" i="48" s="1"/>
  <c r="O14" i="48"/>
  <c r="R10" i="41"/>
  <c r="R9" i="41"/>
  <c r="R3" i="48"/>
  <c r="U3" i="48" s="1"/>
  <c r="R7" i="41"/>
  <c r="T7" i="41" s="1"/>
  <c r="R6" i="41"/>
  <c r="T6" i="41" s="1"/>
  <c r="R4" i="41"/>
  <c r="U4" i="41" s="1"/>
  <c r="O19" i="42"/>
  <c r="O19" i="44"/>
  <c r="R6" i="37"/>
  <c r="T6" i="37" s="1"/>
  <c r="R7" i="43"/>
  <c r="T7" i="43" s="1"/>
  <c r="R6" i="43"/>
  <c r="T6" i="43" s="1"/>
  <c r="R4" i="37"/>
  <c r="U4" i="37" s="1"/>
  <c r="R4" i="30"/>
  <c r="U4" i="30" s="1"/>
  <c r="R9" i="43"/>
  <c r="R6" i="30"/>
  <c r="T6" i="30" s="1"/>
  <c r="R10" i="37"/>
  <c r="R10" i="43"/>
  <c r="R3" i="37"/>
  <c r="U3" i="37" s="1"/>
  <c r="R3" i="34"/>
  <c r="U3" i="34" s="1"/>
  <c r="R10" i="48"/>
  <c r="R9" i="37"/>
  <c r="O14" i="30"/>
  <c r="R7" i="30"/>
  <c r="T7" i="30" s="1"/>
  <c r="P3" i="44"/>
  <c r="P4" i="44" s="1"/>
  <c r="R9" i="30"/>
  <c r="P3" i="39"/>
  <c r="P4" i="39" s="1"/>
  <c r="R6" i="39"/>
  <c r="T6" i="39" s="1"/>
  <c r="R4" i="39"/>
  <c r="U4" i="39" s="1"/>
  <c r="O19" i="48"/>
  <c r="O19" i="36"/>
  <c r="O19" i="38"/>
  <c r="R4" i="43"/>
  <c r="U4" i="43" s="1"/>
  <c r="O19" i="37"/>
  <c r="R6" i="34"/>
  <c r="T6" i="34" s="1"/>
  <c r="P3" i="37"/>
  <c r="P4" i="37" s="1"/>
  <c r="R3" i="30"/>
  <c r="U3" i="30" s="1"/>
  <c r="R10" i="39"/>
  <c r="R9" i="39"/>
  <c r="R7" i="39"/>
  <c r="T7" i="39" s="1"/>
  <c r="O19" i="45"/>
  <c r="O19" i="31"/>
  <c r="O14" i="43"/>
  <c r="O14" i="46"/>
  <c r="P3" i="43"/>
  <c r="P4" i="43" s="1"/>
  <c r="O19" i="47"/>
  <c r="P3" i="47"/>
  <c r="P4" i="47" s="1"/>
  <c r="O4" i="47" s="1"/>
  <c r="P3" i="38"/>
  <c r="P4" i="38" s="1"/>
  <c r="O19" i="39"/>
  <c r="O14" i="31"/>
  <c r="R4" i="45"/>
  <c r="U4" i="45" s="1"/>
  <c r="R3" i="45"/>
  <c r="U3" i="45" s="1"/>
  <c r="O14" i="37"/>
  <c r="O14" i="47"/>
  <c r="R4" i="34"/>
  <c r="U4" i="34" s="1"/>
  <c r="R10" i="47"/>
  <c r="R9" i="47"/>
  <c r="O14" i="45"/>
  <c r="R10" i="34"/>
  <c r="R7" i="47"/>
  <c r="T7" i="47" s="1"/>
  <c r="R6" i="47"/>
  <c r="T6" i="47" s="1"/>
  <c r="R10" i="45"/>
  <c r="R4" i="47"/>
  <c r="U4" i="47" s="1"/>
  <c r="R7" i="45"/>
  <c r="T7" i="45" s="1"/>
  <c r="P3" i="30"/>
  <c r="P4" i="30" s="1"/>
  <c r="R9" i="45"/>
  <c r="R4" i="38"/>
  <c r="U4" i="38" s="1"/>
  <c r="R10" i="38"/>
  <c r="R6" i="38"/>
  <c r="T6" i="38" s="1"/>
  <c r="R3" i="38"/>
  <c r="U3" i="38" s="1"/>
  <c r="R7" i="38"/>
  <c r="T7" i="38" s="1"/>
  <c r="R9" i="38"/>
  <c r="P3" i="41"/>
  <c r="P4" i="41" s="1"/>
  <c r="O19" i="35"/>
  <c r="O19" i="40"/>
  <c r="R9" i="34"/>
  <c r="O19" i="34"/>
  <c r="O14" i="38"/>
  <c r="P3" i="40"/>
  <c r="P4" i="40" s="1"/>
  <c r="O14" i="40"/>
  <c r="R6" i="36"/>
  <c r="T6" i="36" s="1"/>
  <c r="R7" i="36"/>
  <c r="T7" i="36" s="1"/>
  <c r="R9" i="36"/>
  <c r="R10" i="36"/>
  <c r="R3" i="36"/>
  <c r="U3" i="36" s="1"/>
  <c r="R4" i="36"/>
  <c r="U4" i="36" s="1"/>
  <c r="R3" i="44"/>
  <c r="U3" i="44" s="1"/>
  <c r="R4" i="44"/>
  <c r="U4" i="44" s="1"/>
  <c r="R6" i="44"/>
  <c r="T6" i="44" s="1"/>
  <c r="R7" i="44"/>
  <c r="T7" i="44" s="1"/>
  <c r="R9" i="44"/>
  <c r="R10" i="44"/>
  <c r="R10" i="31"/>
  <c r="R3" i="31"/>
  <c r="U3" i="31" s="1"/>
  <c r="R4" i="31"/>
  <c r="U4" i="31" s="1"/>
  <c r="R6" i="31"/>
  <c r="T6" i="31" s="1"/>
  <c r="R7" i="31"/>
  <c r="T7" i="31" s="1"/>
  <c r="R9" i="31"/>
  <c r="R3" i="42"/>
  <c r="U3" i="42" s="1"/>
  <c r="R4" i="42"/>
  <c r="U4" i="42" s="1"/>
  <c r="R6" i="42"/>
  <c r="T6" i="42" s="1"/>
  <c r="R7" i="42"/>
  <c r="T7" i="42" s="1"/>
  <c r="R9" i="42"/>
  <c r="R10" i="42"/>
  <c r="P3" i="35"/>
  <c r="P4" i="35" s="1"/>
  <c r="R9" i="33"/>
  <c r="R10" i="33"/>
  <c r="R3" i="33"/>
  <c r="U3" i="33" s="1"/>
  <c r="R4" i="33"/>
  <c r="U4" i="33" s="1"/>
  <c r="R6" i="33"/>
  <c r="T6" i="33" s="1"/>
  <c r="R7" i="33"/>
  <c r="T7" i="33" s="1"/>
  <c r="P16" i="9"/>
  <c r="N19" i="9"/>
  <c r="R3" i="40"/>
  <c r="U3" i="40" s="1"/>
  <c r="R4" i="40"/>
  <c r="U4" i="40" s="1"/>
  <c r="R6" i="40"/>
  <c r="T6" i="40" s="1"/>
  <c r="R7" i="40"/>
  <c r="T7" i="40" s="1"/>
  <c r="R9" i="40"/>
  <c r="R10" i="40"/>
  <c r="O14" i="36"/>
  <c r="P3" i="31"/>
  <c r="P4" i="31" s="1"/>
  <c r="R9" i="32"/>
  <c r="R10" i="32"/>
  <c r="R3" i="32"/>
  <c r="U3" i="32" s="1"/>
  <c r="R4" i="32"/>
  <c r="U4" i="32" s="1"/>
  <c r="R6" i="32"/>
  <c r="T6" i="32" s="1"/>
  <c r="R7" i="32"/>
  <c r="T7" i="32" s="1"/>
  <c r="R7" i="35"/>
  <c r="T7" i="35" s="1"/>
  <c r="R9" i="35"/>
  <c r="R10" i="35"/>
  <c r="R3" i="35"/>
  <c r="U3" i="35" s="1"/>
  <c r="R4" i="35"/>
  <c r="U4" i="35" s="1"/>
  <c r="R6" i="35"/>
  <c r="T6" i="35" s="1"/>
  <c r="P6" i="9"/>
  <c r="P14" i="9" s="1"/>
  <c r="N14" i="9"/>
  <c r="O14" i="32"/>
  <c r="P14" i="34"/>
  <c r="P3" i="34" s="1"/>
  <c r="P4" i="34" s="1"/>
  <c r="P3" i="42"/>
  <c r="P4" i="42" s="1"/>
  <c r="O14" i="42"/>
  <c r="O4" i="46"/>
  <c r="O14" i="39"/>
  <c r="O14" i="35"/>
  <c r="P3" i="36"/>
  <c r="P4" i="36" s="1"/>
  <c r="O14" i="33"/>
  <c r="O14" i="44"/>
  <c r="O4" i="45"/>
  <c r="O4" i="33" l="1"/>
  <c r="O4" i="48"/>
  <c r="O4" i="39"/>
  <c r="O4" i="43"/>
  <c r="O4" i="38"/>
  <c r="O4" i="44"/>
  <c r="O4" i="41"/>
  <c r="O4" i="37"/>
  <c r="O4" i="30"/>
  <c r="O4" i="36"/>
  <c r="O4" i="35"/>
  <c r="O4" i="40"/>
  <c r="O4" i="31"/>
  <c r="O14" i="34"/>
  <c r="O4" i="34"/>
  <c r="R3" i="9"/>
  <c r="U3" i="9" s="1"/>
  <c r="R4" i="9"/>
  <c r="U4" i="9" s="1"/>
  <c r="R6" i="9"/>
  <c r="T6" i="9" s="1"/>
  <c r="R7" i="9"/>
  <c r="T7" i="9" s="1"/>
  <c r="R9" i="9"/>
  <c r="R10" i="9"/>
  <c r="O4" i="42"/>
  <c r="O14" i="9"/>
  <c r="P19" i="9"/>
  <c r="O19" i="9" l="1"/>
  <c r="P3" i="9"/>
  <c r="P4" i="9" s="1"/>
  <c r="O4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<sst xmlns="http://schemas.openxmlformats.org/spreadsheetml/2006/main" count="2215" uniqueCount="277">
  <si>
    <t>NETA '25</t>
  </si>
  <si>
    <t>NETA '23</t>
  </si>
  <si>
    <t>Labor</t>
  </si>
  <si>
    <t>Project</t>
  </si>
  <si>
    <t>ATS</t>
  </si>
  <si>
    <t>MTS</t>
  </si>
  <si>
    <t>Scope of Work</t>
  </si>
  <si>
    <t>Totals</t>
  </si>
  <si>
    <t>TOTAL</t>
  </si>
  <si>
    <t>Circuit Breaker MV - Vacuum Bkr</t>
  </si>
  <si>
    <t>Arrestor (SPD) - Low Voltage</t>
  </si>
  <si>
    <t>Automatic Transfer Switch - (IR/DLRO)</t>
  </si>
  <si>
    <t>Automatic Transfer Switch - Iso Bypass (IR/DLRO)</t>
  </si>
  <si>
    <t>Automatic Transfer Switch (Functional Testing)</t>
  </si>
  <si>
    <t>NA</t>
  </si>
  <si>
    <t>Bus Duct - Low Voltage (IR/DLRO)</t>
  </si>
  <si>
    <t>Bus Duct - Medium Voltage (IR/CR)</t>
  </si>
  <si>
    <t>Bus Structure - Outdoor (IR/DLRO)</t>
  </si>
  <si>
    <t>Capacitor - Power Factor Correction (per Unit)</t>
  </si>
  <si>
    <t>Capcitors - Per Unit</t>
  </si>
  <si>
    <t>CCVT Voltage Transformer - Individual</t>
  </si>
  <si>
    <t>CCVT Voltage Transformer - Set of 3</t>
  </si>
  <si>
    <t>Circuit Breaker LV - Draw-Out (LS/LSI)</t>
  </si>
  <si>
    <t>Circuit Breaker LV - Draw-Out (LSIG)</t>
  </si>
  <si>
    <t>Circuit Breaker LV - Electrically Operated (LS/LSI)</t>
  </si>
  <si>
    <t>Circuit Breaker LV - Electrically Operated (LSIG)</t>
  </si>
  <si>
    <t>Circuit Breaker LV - Generator Main</t>
  </si>
  <si>
    <t>Circuit Breaker LV - Insulated Case (LS/LSI)</t>
  </si>
  <si>
    <t>Circuit Breaker LV - Insulated Case (LSIG)</t>
  </si>
  <si>
    <t>Circuit Breaker LV - Molded Case Thermal/Mag</t>
  </si>
  <si>
    <t>Circuit Breaker LV - Panelboard MCB</t>
  </si>
  <si>
    <t>Circuit Breaker LV - Secondary Injection</t>
  </si>
  <si>
    <t>Circuit Breaker MV - Air Frame</t>
  </si>
  <si>
    <t>Circuit Breaker MV - Oil Insluated</t>
  </si>
  <si>
    <t>Circuit Breaker MV - SF6 (230kV &amp; Under)</t>
  </si>
  <si>
    <t>Circuit Breaker MV - SF6 (Gassing Only)</t>
  </si>
  <si>
    <t>Circuit Breaker MV - SF6 (Over 230kV)</t>
  </si>
  <si>
    <t>Circuit Switcher MV/HV</t>
  </si>
  <si>
    <t>Conductors LV - 3 Phase Feeder</t>
  </si>
  <si>
    <t>Conductors MV - Set of 3 (DC Hipotential)</t>
  </si>
  <si>
    <t>Conductors MV - Set of 3 (Offline PD)</t>
  </si>
  <si>
    <t>Conductors MV - Set of 3 (Tan Delta)</t>
  </si>
  <si>
    <t>Conductors MV - Set of 3 (VLF Hipotential)</t>
  </si>
  <si>
    <t>Conductors MV - Set of 3 (VLF/Tan Delta)</t>
  </si>
  <si>
    <t>Conductors MV - Set of 3 (VLF/Tan Delta/PD)</t>
  </si>
  <si>
    <t>Control Power Transformer - LV Swbd</t>
  </si>
  <si>
    <t>Control Power Transformer - MV Swgr</t>
  </si>
  <si>
    <t xml:space="preserve">Current Transformer LV - Set of 3 </t>
  </si>
  <si>
    <t>Current Transformer MV - Set of 3</t>
  </si>
  <si>
    <t>Generator - Rotating Machinary (IR/PI)</t>
  </si>
  <si>
    <t>Ground Fault Protection Device LV</t>
  </si>
  <si>
    <t>Ground Resistance Test -  Two-Point (Individual)</t>
  </si>
  <si>
    <t>Ground Resistance Test - Clamp Method</t>
  </si>
  <si>
    <t>Ground Resistance Test - FOP (Large Scale)</t>
  </si>
  <si>
    <t>Ground Resistance Test - FOP (Substation)</t>
  </si>
  <si>
    <t>Ground Resistance Test - FOP or Clamp Method</t>
  </si>
  <si>
    <t>IR</t>
  </si>
  <si>
    <t>Infrared Scan - ATS</t>
  </si>
  <si>
    <t>Infrared Scan - Panelboard</t>
  </si>
  <si>
    <t>Infrared Scan - Switchboard</t>
  </si>
  <si>
    <t>Infrared Scan - Transformer</t>
  </si>
  <si>
    <t>Manual Transfer Switch - (IR/DLRO)</t>
  </si>
  <si>
    <t>Meter - Electromechanical (Single Element)</t>
  </si>
  <si>
    <t>Meter - PQM/Microprocessor Based</t>
  </si>
  <si>
    <t>Misc Labor - One Tech Day</t>
  </si>
  <si>
    <t>Misc Service - One Tech Day</t>
  </si>
  <si>
    <t>Misc Testing - One Tech Day</t>
  </si>
  <si>
    <t>Motor - Low Voltage</t>
  </si>
  <si>
    <t>Motor - Medium Voltage</t>
  </si>
  <si>
    <t>Motor Control Center LV</t>
  </si>
  <si>
    <t>Motor Control Center MV</t>
  </si>
  <si>
    <t>Motor Starter (Contactor) MV</t>
  </si>
  <si>
    <t>Motor Starter LV</t>
  </si>
  <si>
    <t>Neutral Grounding Resistor</t>
  </si>
  <si>
    <t>Panelboard - Low Voltage</t>
  </si>
  <si>
    <t>Protective Relay (Differential Protection)</t>
  </si>
  <si>
    <t>Protective Relay (Feeder Protection)</t>
  </si>
  <si>
    <t>Protective Relay (Generator Protection)</t>
  </si>
  <si>
    <t>Protective Relay (Motor Control)</t>
  </si>
  <si>
    <t>Protective Relay (Multi-function w Meter)</t>
  </si>
  <si>
    <t>Resistor (IR/DLRO)</t>
  </si>
  <si>
    <t>Switch (Pad Mount Vista) - Medium Voltage</t>
  </si>
  <si>
    <t>Switch (SF6) - Medium Voltage</t>
  </si>
  <si>
    <t>Switch LV - Fused Disconnect</t>
  </si>
  <si>
    <t>Switch LV - Fused Disconnect (Open)</t>
  </si>
  <si>
    <t>Switch MV - Cutout</t>
  </si>
  <si>
    <t>Switch MV - Fused Disconnect</t>
  </si>
  <si>
    <t>Switch MV - Oil Insulated</t>
  </si>
  <si>
    <t>Switch MV - Open</t>
  </si>
  <si>
    <t>Switchboard - Low Voltage</t>
  </si>
  <si>
    <t>Switchgear - Medium Voltage</t>
  </si>
  <si>
    <t>Transformer - Dry Type (TTR/IR)</t>
  </si>
  <si>
    <t>Transformer - Dry Type (TTR/IR/WR/PF)</t>
  </si>
  <si>
    <t>Transformer - Dry Type (TTR/WR/IR)</t>
  </si>
  <si>
    <t>Transformer - Oil Sample Draw</t>
  </si>
  <si>
    <t>Transformer - Pad Mount Oil (TTR/IR/WR/PF/Oil)</t>
  </si>
  <si>
    <t>Transformer - Pad Mount Oil (TTR/WR/IR)</t>
  </si>
  <si>
    <t>Transformer Tap Changer</t>
  </si>
  <si>
    <t>VFD - Adustable Speed Drives</t>
  </si>
  <si>
    <t>Unit (x)</t>
  </si>
  <si>
    <t>% Adjust</t>
  </si>
  <si>
    <t>$ Adjust</t>
  </si>
  <si>
    <t>Cost Total</t>
  </si>
  <si>
    <t>NETA</t>
  </si>
  <si>
    <t>TOTAL SHEET $$$ - ADJUSTED</t>
  </si>
  <si>
    <t>QTY</t>
  </si>
  <si>
    <t>Apparatus Type</t>
  </si>
  <si>
    <t>Designation</t>
  </si>
  <si>
    <t>Hrs/Unit</t>
  </si>
  <si>
    <t>Hrs/Line</t>
  </si>
  <si>
    <t>Hrs</t>
  </si>
  <si>
    <t>Bill Rate</t>
  </si>
  <si>
    <t>Bill Totals</t>
  </si>
  <si>
    <t>Travel Cost/Rate Groups</t>
  </si>
  <si>
    <t>Units</t>
  </si>
  <si>
    <t>Flights</t>
  </si>
  <si>
    <t>Misc</t>
  </si>
  <si>
    <t>Generator Rental</t>
  </si>
  <si>
    <t>Oil Sample (Lab)</t>
  </si>
  <si>
    <t>Test Equipment Rental</t>
  </si>
  <si>
    <t>Switch HV - Open</t>
  </si>
  <si>
    <t>Distribution Board - Low Voltage</t>
  </si>
  <si>
    <t>Project Info, Drawing #, Building</t>
  </si>
  <si>
    <t>SLD:</t>
  </si>
  <si>
    <t>Address or Other Sheet Information</t>
  </si>
  <si>
    <t>10.X</t>
  </si>
  <si>
    <t>Labor2</t>
  </si>
  <si>
    <t>ATS25</t>
  </si>
  <si>
    <t>MTS23</t>
  </si>
  <si>
    <t>Arrester - SS, High Voltage (Set)</t>
  </si>
  <si>
    <t>Arrester - SS, Medium Volatge (Set)</t>
  </si>
  <si>
    <t>Arrestor - Medium Voltage (Set)</t>
  </si>
  <si>
    <t xml:space="preserve">Current Transformer - Bushing HV/MV </t>
  </si>
  <si>
    <t>Current Transformer - Bushing, HV/MV (Set)</t>
  </si>
  <si>
    <t>CKT</t>
  </si>
  <si>
    <t>LOT, Circuit Checks (Bays)</t>
  </si>
  <si>
    <t>LOT, Circuit Checks (SS-MV)</t>
  </si>
  <si>
    <t>FUNCT</t>
  </si>
  <si>
    <t>LOT, Functional Testing (Bays)</t>
  </si>
  <si>
    <t>LOT, Functional Testing (SS-MV)</t>
  </si>
  <si>
    <t>Potential Transformer - MV Set</t>
  </si>
  <si>
    <t>Protective Relay - (Bus Differential)</t>
  </si>
  <si>
    <t>Protective Relay - (Line Protection)</t>
  </si>
  <si>
    <t>Protective Relay (Overcurrent Protection)</t>
  </si>
  <si>
    <t>Switch HV - Motor Operated</t>
  </si>
  <si>
    <t>Switch MV - Motor Operated</t>
  </si>
  <si>
    <t>Transformer - Power HV/MV w/ LTC</t>
  </si>
  <si>
    <t>Direct-Current Systems - Batteries</t>
  </si>
  <si>
    <t>Direct-Current Systems - Chargers</t>
  </si>
  <si>
    <t>Protective Relay (Electromechanical)</t>
  </si>
  <si>
    <t>Vaccum Frequency Interrupter</t>
  </si>
  <si>
    <t>11.X</t>
  </si>
  <si>
    <t>12.X</t>
  </si>
  <si>
    <t>13.X</t>
  </si>
  <si>
    <t>14.X</t>
  </si>
  <si>
    <t>15.X</t>
  </si>
  <si>
    <t>16.X</t>
  </si>
  <si>
    <t>17.X</t>
  </si>
  <si>
    <t>7.X</t>
  </si>
  <si>
    <t>8.X</t>
  </si>
  <si>
    <t>9.X</t>
  </si>
  <si>
    <t>18.X</t>
  </si>
  <si>
    <t>19.X</t>
  </si>
  <si>
    <t>20.X</t>
  </si>
  <si>
    <t>Notes</t>
  </si>
  <si>
    <t>Onsite Labor</t>
  </si>
  <si>
    <t>Onsite LOTO Hours</t>
  </si>
  <si>
    <t>Daily Commute Hours</t>
  </si>
  <si>
    <t>Labor - Blended 10hr Rate</t>
  </si>
  <si>
    <t>Labor - Blended 12hr Rate</t>
  </si>
  <si>
    <t>Labor - OT Rate</t>
  </si>
  <si>
    <t>Labor - DT Rate</t>
  </si>
  <si>
    <t>Offsite Labor</t>
  </si>
  <si>
    <t>Onsite PM Hours</t>
  </si>
  <si>
    <t>Onsite Badging/Parking/Misc</t>
  </si>
  <si>
    <t>Report Hours - Office</t>
  </si>
  <si>
    <t>Project Mgmt - Office</t>
  </si>
  <si>
    <t>Loading/Prep/Misc - Office</t>
  </si>
  <si>
    <t>Travel Hours</t>
  </si>
  <si>
    <t>Hotel &amp; Per Diem (Tech Days)</t>
  </si>
  <si>
    <t>Car Rental (Tech Days/2)</t>
  </si>
  <si>
    <t>TOTAL SHEET $$$ -NOT ADJUSTED</t>
  </si>
  <si>
    <t>Section</t>
  </si>
  <si>
    <t xml:space="preserve">  TOTAL COST</t>
  </si>
  <si>
    <t xml:space="preserve">Dated: </t>
  </si>
  <si>
    <t>Onsite Labor Totals</t>
  </si>
  <si>
    <t>% of App</t>
  </si>
  <si>
    <t xml:space="preserve">Cost </t>
  </si>
  <si>
    <t>Mult(x)</t>
  </si>
  <si>
    <t>Offsite Labor Totals</t>
  </si>
  <si>
    <t>Travel Totals</t>
  </si>
  <si>
    <t>Outside Services Totals</t>
  </si>
  <si>
    <t xml:space="preserve">Outside Services  </t>
  </si>
  <si>
    <t>Total App Hours</t>
  </si>
  <si>
    <t xml:space="preserve"> # Techs /Day</t>
  </si>
  <si>
    <t>Hours/Day</t>
  </si>
  <si>
    <t>Days to Complete</t>
  </si>
  <si>
    <t>Onsite Hrs Adjusted</t>
  </si>
  <si>
    <t>Hrs Adjusted</t>
  </si>
  <si>
    <t>Total Onsite</t>
  </si>
  <si>
    <t>7.1</t>
  </si>
  <si>
    <t>7.19</t>
  </si>
  <si>
    <t>2</t>
  </si>
  <si>
    <t>1.5</t>
  </si>
  <si>
    <t>7.22</t>
  </si>
  <si>
    <t>7.18</t>
  </si>
  <si>
    <t>7.4</t>
  </si>
  <si>
    <t>7.21</t>
  </si>
  <si>
    <t>7.2</t>
  </si>
  <si>
    <t>7.6</t>
  </si>
  <si>
    <t>7.3</t>
  </si>
  <si>
    <t>7.7</t>
  </si>
  <si>
    <t>4</t>
  </si>
  <si>
    <t>2.5</t>
  </si>
  <si>
    <t>7.14</t>
  </si>
  <si>
    <t>Current Transformer - MV</t>
  </si>
  <si>
    <t>`.75</t>
  </si>
  <si>
    <t>7.15</t>
  </si>
  <si>
    <t>8</t>
  </si>
  <si>
    <t>3</t>
  </si>
  <si>
    <t>7.13</t>
  </si>
  <si>
    <t>Ground Resistance Test -  Two-Point (Half Day)</t>
  </si>
  <si>
    <t>7.11</t>
  </si>
  <si>
    <t>7.16</t>
  </si>
  <si>
    <t>7.10</t>
  </si>
  <si>
    <t>Potential Transformer - MV SWGR</t>
  </si>
  <si>
    <t>7.9</t>
  </si>
  <si>
    <t>5</t>
  </si>
  <si>
    <t>7.5</t>
  </si>
  <si>
    <t>6</t>
  </si>
  <si>
    <t>Switchboard - Service Entrance</t>
  </si>
  <si>
    <t>7.12</t>
  </si>
  <si>
    <t>SPEC</t>
  </si>
  <si>
    <t>Uninterruptible Power Supply - UPS</t>
  </si>
  <si>
    <t>7.17</t>
  </si>
  <si>
    <t>7.20</t>
  </si>
  <si>
    <t xml:space="preserve">Reactors - (Shunt and Current-Limiting) Dry-Type  </t>
  </si>
  <si>
    <t>Power Distribution SLD - SES-00-001</t>
  </si>
  <si>
    <t>SES-00-001</t>
  </si>
  <si>
    <t>E-00-108</t>
  </si>
  <si>
    <t>Power Distribution SLD - SWGR-00-001</t>
  </si>
  <si>
    <t>SWGR-00-001</t>
  </si>
  <si>
    <t>Power Distribution SLD - MV Distribution</t>
  </si>
  <si>
    <t>Portable Docking Station</t>
  </si>
  <si>
    <t>XFMR00001-1</t>
  </si>
  <si>
    <t>Lot</t>
  </si>
  <si>
    <t>4160 VFD &amp; Motor Control - MV Distribution</t>
  </si>
  <si>
    <t>26 19 24_SUB_059</t>
  </si>
  <si>
    <t>600V MCC SLD - LV Distribution</t>
  </si>
  <si>
    <t>MCC-00-001</t>
  </si>
  <si>
    <t>E-00-110</t>
  </si>
  <si>
    <t>LOT</t>
  </si>
  <si>
    <t>Ludvik Electric - Central Mesa Resuse - Plants</t>
  </si>
  <si>
    <t>3626 E. Thomas Road, Mesa, AZ 85213</t>
  </si>
  <si>
    <t>SLD: SLD: E-00-108/110</t>
  </si>
  <si>
    <t>Dated: 04/2025</t>
  </si>
  <si>
    <t xml:space="preserve">NWWRP - E-00-104 IFC </t>
  </si>
  <si>
    <t>Hi-Potential</t>
  </si>
  <si>
    <t>E-00-104</t>
  </si>
  <si>
    <t>Engineering</t>
  </si>
  <si>
    <t>Relay Protection</t>
  </si>
  <si>
    <t>IPS NETA ATS</t>
  </si>
  <si>
    <t>NWWRP NETA ATS</t>
  </si>
  <si>
    <t>IPS PSS</t>
  </si>
  <si>
    <t>Engineering (minimum)</t>
  </si>
  <si>
    <t>NWWRP PSS</t>
  </si>
  <si>
    <t>1</t>
  </si>
  <si>
    <t>GWRP NETA ATS</t>
  </si>
  <si>
    <t>SEWRP NETA ATS</t>
  </si>
  <si>
    <t xml:space="preserve">  IPS NETA ATS</t>
  </si>
  <si>
    <t xml:space="preserve">  NWWRP NETA ATS</t>
  </si>
  <si>
    <t xml:space="preserve">  IPS PSS</t>
  </si>
  <si>
    <t xml:space="preserve">  NWWRP PSS</t>
  </si>
  <si>
    <t xml:space="preserve">  SEWRP NETA ATS</t>
  </si>
  <si>
    <t xml:space="preserve">  GWRP NETA ATS</t>
  </si>
  <si>
    <t>3.5</t>
  </si>
  <si>
    <t>Potential Transformer - LV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</si>
</sst>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7" formatCode="&quot;$&quot;#,##0.00_);\(&quot;$&quot;#,##0.00\)"/>
    <numFmt numFmtId="164" formatCode="&quot;$&quot;#,##0.00"/>
    <numFmt numFmtId="165" formatCode="&quot;$&quot;#,##0"/>
    <numFmt numFmtId="166" formatCode="0.0"/>
  </numFmts>
  <fonts count="2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"/>
      <color rgb="FF000000"/>
      <name val="Calibri"/>
      <family val="2"/>
    </font>
    <font>
      <sz val="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2CC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rgb="FF0070C0"/>
      </bottom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medium">
        <color rgb="FF0070C0"/>
      </right>
      <top/>
      <bottom style="thick">
        <color rgb="FF0070C0"/>
      </bottom>
      <diagonal/>
    </border>
    <border>
      <left style="medium">
        <color rgb="FF0070C0"/>
      </left>
      <right/>
      <top/>
      <bottom style="thick">
        <color rgb="FF0070C0"/>
      </bottom>
      <diagonal/>
    </border>
    <border>
      <left style="medium">
        <color rgb="FF0070C0"/>
      </left>
      <right style="medium">
        <color rgb="FF0070C0"/>
      </right>
      <top style="thick">
        <color rgb="FF0070C0"/>
      </top>
      <bottom/>
      <diagonal/>
    </border>
    <border>
      <left style="medium">
        <color rgb="FF0070C0"/>
      </left>
      <right style="medium">
        <color rgb="FF0070C0"/>
      </right>
      <top/>
      <bottom style="thick">
        <color rgb="FF0070C0"/>
      </bottom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/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10" fillId="0" borderId="0" xfId="0" applyFont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0" fontId="10" fillId="3" borderId="0" xfId="0" applyFont="1" applyFill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10" fillId="3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9" fillId="3" borderId="0" xfId="0" applyFont="1" applyFill="1" applyAlignment="1" applyProtection="1">
      <alignment horizontal="center" vertical="center"/>
      <protection locked="0"/>
    </xf>
    <xf numFmtId="0" fontId="9" fillId="3" borderId="0" xfId="0" applyFont="1" applyFill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2" fillId="3" borderId="0" xfId="0" applyFont="1" applyFill="1" applyProtection="1">
      <protection locked="0"/>
    </xf>
    <xf numFmtId="0" fontId="7" fillId="3" borderId="0" xfId="0" applyFont="1" applyFill="1" applyAlignment="1" applyProtection="1">
      <alignment horizontal="left" vertical="center" wrapText="1"/>
      <protection locked="0"/>
    </xf>
    <xf numFmtId="0" fontId="10" fillId="3" borderId="0" xfId="0" applyFont="1" applyFill="1" applyAlignment="1">
      <alignment vertical="center"/>
    </xf>
    <xf numFmtId="49" fontId="9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49" fontId="9" fillId="3" borderId="0" xfId="0" applyNumberFormat="1" applyFont="1" applyFill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164" fontId="1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5" fillId="0" borderId="0" xfId="0" applyFont="1" applyAlignment="1">
      <alignment vertical="center"/>
    </xf>
    <xf numFmtId="164" fontId="10" fillId="0" borderId="0" xfId="0" applyNumberFormat="1" applyFont="1" applyAlignment="1">
      <alignment horizontal="center" vertical="center"/>
    </xf>
    <xf numFmtId="0" fontId="12" fillId="3" borderId="0" xfId="0" applyFont="1" applyFill="1"/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0" fontId="7" fillId="3" borderId="0" xfId="0" applyFont="1" applyFill="1" applyAlignment="1">
      <alignment horizontal="left" vertical="center" wrapText="1"/>
    </xf>
    <xf numFmtId="0" fontId="10" fillId="2" borderId="0" xfId="0" applyFont="1" applyFill="1" applyAlignment="1">
      <alignment horizontal="center" vertical="center"/>
    </xf>
    <xf numFmtId="9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14" fillId="3" borderId="0" xfId="0" applyFont="1" applyFill="1" applyAlignment="1">
      <alignment vertical="center"/>
    </xf>
    <xf numFmtId="6" fontId="13" fillId="3" borderId="0" xfId="0" applyNumberFormat="1" applyFont="1" applyFill="1" applyAlignment="1">
      <alignment horizontal="center" vertical="center"/>
    </xf>
    <xf numFmtId="164" fontId="13" fillId="3" borderId="0" xfId="0" applyNumberFormat="1" applyFont="1" applyFill="1" applyAlignment="1">
      <alignment horizontal="center" vertical="center"/>
    </xf>
    <xf numFmtId="6" fontId="15" fillId="0" borderId="0" xfId="0" applyNumberFormat="1" applyFont="1" applyAlignment="1">
      <alignment horizontal="left" vertical="center"/>
    </xf>
    <xf numFmtId="0" fontId="15" fillId="3" borderId="0" xfId="0" applyFont="1" applyFill="1" applyAlignment="1">
      <alignment vertical="center"/>
    </xf>
    <xf numFmtId="164" fontId="10" fillId="3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/>
    </xf>
    <xf numFmtId="0" fontId="18" fillId="3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14" fillId="3" borderId="0" xfId="0" applyFont="1" applyFill="1" applyAlignment="1" applyProtection="1">
      <alignment horizontal="center" vertical="center"/>
      <protection locked="0"/>
    </xf>
    <xf numFmtId="6" fontId="8" fillId="3" borderId="0" xfId="0" applyNumberFormat="1" applyFont="1" applyFill="1" applyAlignment="1">
      <alignment vertical="center"/>
    </xf>
    <xf numFmtId="164" fontId="8" fillId="3" borderId="0" xfId="0" applyNumberFormat="1" applyFont="1" applyFill="1" applyAlignment="1">
      <alignment horizontal="center" vertical="center"/>
    </xf>
    <xf numFmtId="0" fontId="7" fillId="2" borderId="2" xfId="0" applyFont="1" applyFill="1" applyBorder="1" applyAlignment="1">
      <alignment vertical="center"/>
    </xf>
    <xf numFmtId="9" fontId="7" fillId="2" borderId="3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164" fontId="7" fillId="2" borderId="3" xfId="0" applyNumberFormat="1" applyFont="1" applyFill="1" applyBorder="1" applyAlignment="1">
      <alignment horizontal="center" vertical="center"/>
    </xf>
    <xf numFmtId="164" fontId="7" fillId="2" borderId="4" xfId="0" applyNumberFormat="1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164" fontId="10" fillId="2" borderId="3" xfId="0" applyNumberFormat="1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164" fontId="13" fillId="3" borderId="1" xfId="0" applyNumberFormat="1" applyFont="1" applyFill="1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9" fontId="10" fillId="2" borderId="3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15" fillId="0" borderId="8" xfId="0" applyFont="1" applyBorder="1" applyAlignment="1">
      <alignment vertical="center"/>
    </xf>
    <xf numFmtId="164" fontId="10" fillId="0" borderId="8" xfId="0" applyNumberFormat="1" applyFont="1" applyBorder="1" applyAlignment="1">
      <alignment horizontal="center" vertical="center"/>
    </xf>
    <xf numFmtId="0" fontId="13" fillId="3" borderId="1" xfId="0" applyFont="1" applyFill="1" applyBorder="1" applyAlignment="1">
      <alignment vertical="center"/>
    </xf>
    <xf numFmtId="0" fontId="8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2" fontId="7" fillId="5" borderId="0" xfId="0" applyNumberFormat="1" applyFont="1" applyFill="1" applyAlignment="1">
      <alignment horizontal="center"/>
    </xf>
    <xf numFmtId="0" fontId="10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0" fontId="7" fillId="0" borderId="14" xfId="0" applyFont="1" applyBorder="1" applyAlignment="1">
      <alignment horizontal="left" vertical="center"/>
    </xf>
    <xf numFmtId="0" fontId="10" fillId="6" borderId="11" xfId="0" applyFont="1" applyFill="1" applyBorder="1" applyAlignment="1">
      <alignment vertical="center"/>
    </xf>
    <xf numFmtId="0" fontId="7" fillId="6" borderId="16" xfId="0" applyFont="1" applyFill="1" applyBorder="1" applyAlignment="1">
      <alignment horizontal="left" vertical="center"/>
    </xf>
    <xf numFmtId="0" fontId="10" fillId="6" borderId="17" xfId="0" applyFont="1" applyFill="1" applyBorder="1" applyAlignment="1">
      <alignment vertical="center"/>
    </xf>
    <xf numFmtId="0" fontId="10" fillId="6" borderId="18" xfId="0" applyFont="1" applyFill="1" applyBorder="1" applyAlignment="1">
      <alignment vertical="center"/>
    </xf>
    <xf numFmtId="0" fontId="10" fillId="6" borderId="19" xfId="0" applyFont="1" applyFill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7" fillId="0" borderId="18" xfId="0" applyFont="1" applyBorder="1" applyAlignment="1">
      <alignment horizontal="left" vertical="center"/>
    </xf>
    <xf numFmtId="0" fontId="10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9" fillId="3" borderId="0" xfId="0" applyFont="1" applyFill="1" applyAlignment="1">
      <alignment vertical="center" wrapText="1"/>
    </xf>
    <xf numFmtId="0" fontId="7" fillId="2" borderId="12" xfId="0" applyFont="1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0" borderId="0" xfId="0" applyFont="1" applyAlignment="1" applyProtection="1">
      <alignment vertical="center" wrapText="1"/>
      <protection locked="0"/>
    </xf>
    <xf numFmtId="49" fontId="10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9" fontId="10" fillId="7" borderId="0" xfId="0" quotePrefix="1" applyNumberFormat="1" applyFont="1" applyFill="1" applyAlignment="1" applyProtection="1">
      <alignment horizontal="center" vertical="center"/>
      <protection locked="0"/>
    </xf>
    <xf numFmtId="49" fontId="10" fillId="7" borderId="0" xfId="0" applyNumberFormat="1" applyFont="1" applyFill="1" applyAlignment="1" applyProtection="1">
      <alignment vertical="center"/>
      <protection locked="0"/>
    </xf>
    <xf numFmtId="49" fontId="10" fillId="7" borderId="0" xfId="0" applyNumberFormat="1" applyFont="1" applyFill="1" applyAlignment="1" applyProtection="1">
      <alignment horizontal="center" vertical="center"/>
      <protection locked="0"/>
    </xf>
    <xf numFmtId="49" fontId="10" fillId="7" borderId="0" xfId="0" quotePrefix="1" applyNumberFormat="1" applyFont="1" applyFill="1" applyAlignment="1">
      <alignment horizontal="center" vertical="center"/>
    </xf>
    <xf numFmtId="49" fontId="10" fillId="7" borderId="0" xfId="0" applyNumberFormat="1" applyFont="1" applyFill="1" applyAlignment="1">
      <alignment vertical="center"/>
    </xf>
    <xf numFmtId="49" fontId="10" fillId="7" borderId="0" xfId="0" applyNumberFormat="1" applyFont="1" applyFill="1" applyAlignment="1">
      <alignment horizontal="center" vertical="center"/>
    </xf>
    <xf numFmtId="49" fontId="10" fillId="7" borderId="0" xfId="0" applyNumberFormat="1" applyFont="1" applyFill="1"/>
    <xf numFmtId="49" fontId="10" fillId="0" borderId="0" xfId="0" quotePrefix="1" applyNumberFormat="1" applyFont="1" applyAlignment="1">
      <alignment horizontal="center" vertical="center"/>
    </xf>
    <xf numFmtId="49" fontId="10" fillId="0" borderId="0" xfId="0" applyNumberFormat="1" applyFont="1" applyAlignment="1" applyProtection="1">
      <alignment horizontal="center" vertical="center"/>
      <protection locked="0"/>
    </xf>
    <xf numFmtId="49" fontId="10" fillId="0" borderId="0" xfId="0" applyNumberFormat="1" applyFont="1" applyAlignment="1" applyProtection="1">
      <alignment vertical="center"/>
      <protection locked="0"/>
    </xf>
    <xf numFmtId="49" fontId="10" fillId="0" borderId="0" xfId="0" quotePrefix="1" applyNumberFormat="1" applyFont="1" applyAlignment="1" applyProtection="1">
      <alignment horizontal="center" vertical="center"/>
      <protection locked="0"/>
    </xf>
    <xf numFmtId="166" fontId="10" fillId="0" borderId="0" xfId="0" applyNumberFormat="1" applyFont="1" applyAlignment="1">
      <alignment horizontal="center" vertical="center"/>
    </xf>
    <xf numFmtId="166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7" fontId="2" fillId="0" borderId="0" xfId="0" applyNumberFormat="1" applyFont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164" fontId="1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2" fillId="3" borderId="0" xfId="0" applyFont="1" applyFill="1" applyAlignment="1" applyProtection="1">
      <alignment horizontal="left" vertical="center"/>
      <protection locked="0"/>
    </xf>
    <xf numFmtId="164" fontId="2" fillId="3" borderId="0" xfId="0" applyNumberFormat="1" applyFont="1" applyFill="1" applyAlignment="1" applyProtection="1">
      <alignment horizontal="center" vertical="center"/>
      <protection locked="0"/>
    </xf>
    <xf numFmtId="0" fontId="7" fillId="2" borderId="6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 applyProtection="1">
      <alignment horizontal="left" vertical="center" wrapText="1"/>
      <protection locked="0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fill>
        <patternFill>
          <bgColor theme="4"/>
        </patternFill>
      </fill>
    </dxf>
  </dxfs>
  <tableStyles count="2" defaultTableStyle="TableStyleMedium2" defaultPivotStyle="PivotStyleLight16">
    <tableStyle name="Blank" pivot="0" count="1" xr9:uid="{A4346E37-0C18-47F8-8734-B9B51ACA4697}">
      <tableStyleElement type="headerRow" dxfId="7"/>
    </tableStyle>
    <tableStyle name="Invisible" pivot="0" table="0" count="0" xr9:uid="{AE2FBBAC-7BAB-4E1B-87C2-D0E75219982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9" Type="http://schemas.openxmlformats.org/officeDocument/2006/relationships/externalLink" Target="externalLinks/externalLink17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2.xml"/><Relationship Id="rId42" Type="http://schemas.openxmlformats.org/officeDocument/2006/relationships/externalLink" Target="externalLinks/externalLink20.xml"/><Relationship Id="rId47" Type="http://schemas.openxmlformats.org/officeDocument/2006/relationships/calcChain" Target="calcChain.xml"/><Relationship Id="rId50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7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openxmlformats.org/officeDocument/2006/relationships/externalLink" Target="externalLinks/externalLink10.xml"/><Relationship Id="rId37" Type="http://schemas.openxmlformats.org/officeDocument/2006/relationships/externalLink" Target="externalLinks/externalLink15.xml"/><Relationship Id="rId40" Type="http://schemas.openxmlformats.org/officeDocument/2006/relationships/externalLink" Target="externalLinks/externalLink18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externalLink" Target="externalLinks/externalLink6.xml"/><Relationship Id="rId36" Type="http://schemas.openxmlformats.org/officeDocument/2006/relationships/externalLink" Target="externalLinks/externalLink14.xml"/><Relationship Id="rId49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9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externalLink" Target="externalLinks/externalLink8.xml"/><Relationship Id="rId35" Type="http://schemas.openxmlformats.org/officeDocument/2006/relationships/externalLink" Target="externalLinks/externalLink13.xml"/><Relationship Id="rId43" Type="http://schemas.openxmlformats.org/officeDocument/2006/relationships/theme" Target="theme/theme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33" Type="http://schemas.openxmlformats.org/officeDocument/2006/relationships/externalLink" Target="externalLinks/externalLink11.xml"/><Relationship Id="rId38" Type="http://schemas.openxmlformats.org/officeDocument/2006/relationships/externalLink" Target="externalLinks/externalLink16.xml"/><Relationship Id="rId46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666750</xdr:colOff>
          <xdr:row>0</xdr:row>
          <xdr:rowOff>85725</xdr:rowOff>
        </xdr:from>
        <xdr:to>
          <xdr:col>12</xdr:col>
          <xdr:colOff>171450</xdr:colOff>
          <xdr:row>1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25</xdr:row>
          <xdr:rowOff>66675</xdr:rowOff>
        </xdr:from>
        <xdr:to>
          <xdr:col>12</xdr:col>
          <xdr:colOff>333375</xdr:colOff>
          <xdr:row>27</xdr:row>
          <xdr:rowOff>47625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Project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10</xdr:row>
          <xdr:rowOff>0</xdr:rowOff>
        </xdr:from>
        <xdr:to>
          <xdr:col>19</xdr:col>
          <xdr:colOff>504825</xdr:colOff>
          <xdr:row>11</xdr:row>
          <xdr:rowOff>171450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Total Onsite Hours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</xdr:row>
          <xdr:rowOff>9525</xdr:rowOff>
        </xdr:from>
        <xdr:to>
          <xdr:col>9</xdr:col>
          <xdr:colOff>619125</xdr:colOff>
          <xdr:row>3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Scope Sheets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542925</xdr:colOff>
          <xdr:row>8</xdr:row>
          <xdr:rowOff>19050</xdr:rowOff>
        </xdr:from>
        <xdr:to>
          <xdr:col>15</xdr:col>
          <xdr:colOff>419100</xdr:colOff>
          <xdr:row>10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Project Totals for Word Doc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0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1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2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3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4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5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6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7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8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9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2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20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3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4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5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6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7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8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9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0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1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2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3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4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5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6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7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8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9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2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20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3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4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5"/>
    </sheetNames>
    <sheetDataSet>
      <sheetData sheetId="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6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7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8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9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C2728D-0DE4-460F-A96A-A1CC8D60EC3A}" name="tblEquipment" displayName="tblEquipment" ref="B2:F485" totalsRowShown="0" headerRowDxfId="6" dataDxfId="5">
  <autoFilter ref="B2:F485" xr:uid="{BAC2728D-0DE4-460F-A96A-A1CC8D60EC3A}"/>
  <sortState xmlns:xlrd2="http://schemas.microsoft.com/office/spreadsheetml/2017/richdata2" ref="B3:F485">
    <sortCondition ref="D2:D485"/>
  </sortState>
  <tableColumns count="5">
    <tableColumn id="1" xr3:uid="{99CB43DD-3F77-4633-A8A6-82B7D1C82B2B}" name="ATS" dataDxfId="2"/>
    <tableColumn id="2" xr3:uid="{7F3B033E-FA5B-48B7-9622-E1ADCC7AFB67}" name="MTS" dataDxfId="0"/>
    <tableColumn id="3" xr3:uid="{B36A59D4-277A-4D84-A90D-7F2EBC905967}" name="Scope of Work" dataDxfId="1"/>
    <tableColumn id="4" xr3:uid="{E92BE23D-7D17-4A42-AB1F-06E5C2035FBF}" name="ATS25" dataDxfId="4"/>
    <tableColumn id="5" xr3:uid="{7738CC6F-26A2-426D-BF51-764458DCEA44}" name="MTS23" dataDxfId="3"/>
  </tableColumns>
  <tableStyleInfo name="Blank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21D04-25D1-4D70-BC2A-959711FF88E3}">
  <sheetPr codeName="Equipment_Reference"/>
  <dimension ref="A1:W485"/>
  <sheetViews>
    <sheetView zoomScaleNormal="100" workbookViewId="0">
      <pane ySplit="2" topLeftCell="A3" activePane="bottomLeft" state="frozen"/>
      <selection activeCell="B7" sqref="B7"/>
      <selection pane="bottomLeft" activeCell="E8" sqref="E8"/>
    </sheetView>
  </sheetViews>
  <sheetFormatPr defaultColWidth="9" defaultRowHeight="15" customHeight="1" x14ac:dyDescent="0.25"/>
  <cols>
    <col min="1" max="1" width="2.625" style="18" customWidth="1"/>
    <col min="2" max="3" width="8" style="25" customWidth="1"/>
    <col min="4" max="4" width="39.5" style="18" customWidth="1"/>
    <col min="5" max="6" width="8" style="26" customWidth="1"/>
    <col min="7" max="7" width="2.625" style="18" customWidth="1"/>
    <col min="8" max="8" width="8.625" style="26" customWidth="1"/>
    <col min="9" max="9" width="2.625" style="18" customWidth="1"/>
    <col min="10" max="10" width="9" style="18"/>
    <col min="11" max="11" width="3" style="18" customWidth="1"/>
    <col min="12" max="12" width="14.75" style="18" customWidth="1"/>
    <col min="13" max="13" width="14.5" style="26" customWidth="1"/>
    <col min="14" max="14" width="3" style="18" customWidth="1"/>
    <col min="15" max="16" width="9" style="18"/>
    <col min="17" max="17" width="3" style="18" customWidth="1"/>
    <col min="18" max="18" width="12.75" style="18" customWidth="1"/>
    <col min="19" max="19" width="13.25" style="18" customWidth="1"/>
    <col min="20" max="20" width="13" style="18" customWidth="1"/>
    <col min="21" max="21" width="14.875" style="18" customWidth="1"/>
    <col min="22" max="22" width="3" style="18" customWidth="1"/>
    <col min="23" max="16384" width="9" style="18"/>
  </cols>
  <sheetData>
    <row r="1" spans="1:23" ht="15" customHeight="1" x14ac:dyDescent="0.25">
      <c r="A1" s="14"/>
      <c r="B1" s="15" t="s">
        <v>0</v>
      </c>
      <c r="C1" s="15" t="s">
        <v>1</v>
      </c>
      <c r="D1" s="16"/>
      <c r="E1" s="17" t="s">
        <v>2</v>
      </c>
      <c r="F1" s="17" t="s">
        <v>126</v>
      </c>
      <c r="G1" s="14"/>
      <c r="H1" s="17" t="s">
        <v>3</v>
      </c>
      <c r="I1" s="14"/>
      <c r="K1" s="14"/>
      <c r="L1" s="14"/>
      <c r="M1" s="19" t="str">
        <f ca="1">IFERROR(INDIRECT("'" &amp; L1 &amp; "'!P4"),"")</f>
        <v/>
      </c>
      <c r="N1" s="14"/>
      <c r="Q1" s="14"/>
      <c r="R1" s="22" t="s">
        <v>199</v>
      </c>
      <c r="S1" s="96"/>
      <c r="T1" s="96"/>
      <c r="U1" s="96"/>
      <c r="V1" s="14"/>
    </row>
    <row r="2" spans="1:23" s="23" customFormat="1" ht="15" customHeight="1" x14ac:dyDescent="0.25">
      <c r="A2" s="20"/>
      <c r="B2" s="21" t="s">
        <v>4</v>
      </c>
      <c r="C2" s="21" t="s">
        <v>5</v>
      </c>
      <c r="D2" s="17" t="s">
        <v>6</v>
      </c>
      <c r="E2" s="22" t="s">
        <v>127</v>
      </c>
      <c r="F2" s="22" t="s">
        <v>128</v>
      </c>
      <c r="G2" s="20"/>
      <c r="H2" s="22" t="s">
        <v>7</v>
      </c>
      <c r="I2" s="20"/>
      <c r="K2" s="20"/>
      <c r="L2" s="20"/>
      <c r="M2" s="24" t="str">
        <f ca="1">IFERROR(INDIRECT("'" &amp; L2 &amp; "'!P4"),"")</f>
        <v/>
      </c>
      <c r="N2" s="20"/>
      <c r="Q2" s="20"/>
      <c r="R2" s="22" t="s">
        <v>198</v>
      </c>
      <c r="S2" s="22" t="s">
        <v>194</v>
      </c>
      <c r="T2" s="22" t="s">
        <v>195</v>
      </c>
      <c r="U2" s="22" t="s">
        <v>196</v>
      </c>
      <c r="V2" s="20"/>
    </row>
    <row r="3" spans="1:23" ht="15" customHeight="1" x14ac:dyDescent="0.25">
      <c r="A3" s="14"/>
      <c r="B3" s="107" t="s">
        <v>210</v>
      </c>
      <c r="C3" s="107" t="s">
        <v>210</v>
      </c>
      <c r="D3" s="108" t="s">
        <v>38</v>
      </c>
      <c r="E3" s="109" t="s">
        <v>266</v>
      </c>
      <c r="F3" s="109">
        <v>0.5</v>
      </c>
      <c r="G3" s="14"/>
      <c r="H3" s="26">
        <v>23</v>
      </c>
      <c r="I3" s="14"/>
      <c r="K3" s="14"/>
      <c r="L3" s="27" t="s">
        <v>8</v>
      </c>
      <c r="M3" s="28">
        <f ca="1">SUM(M4:M23)</f>
        <v>97139.375</v>
      </c>
      <c r="N3" s="14"/>
      <c r="Q3" s="14"/>
      <c r="R3" s="97">
        <v>0</v>
      </c>
      <c r="T3" s="92"/>
      <c r="U3" s="87" t="str">
        <f>IFERROR(R3/(S3*T3),"")</f>
        <v/>
      </c>
      <c r="V3" s="14"/>
    </row>
    <row r="4" spans="1:23" ht="15" customHeight="1" thickBot="1" x14ac:dyDescent="0.3">
      <c r="A4" s="14"/>
      <c r="B4" s="107" t="s">
        <v>214</v>
      </c>
      <c r="C4" s="107" t="s">
        <v>214</v>
      </c>
      <c r="D4" s="108" t="s">
        <v>48</v>
      </c>
      <c r="E4" s="109">
        <v>2</v>
      </c>
      <c r="F4" s="109">
        <v>2.5</v>
      </c>
      <c r="G4" s="14"/>
      <c r="H4" s="26">
        <v>13</v>
      </c>
      <c r="I4" s="14"/>
      <c r="K4" s="14"/>
      <c r="L4" s="29" t="s">
        <v>261</v>
      </c>
      <c r="M4" s="30">
        <f ca="1">IFERROR(INDIRECT("'" &amp; L4 &amp; "'!P4"),"")</f>
        <v>61025.625</v>
      </c>
      <c r="N4" s="14"/>
      <c r="Q4" s="20"/>
      <c r="R4" s="98">
        <v>0</v>
      </c>
      <c r="S4" s="86"/>
      <c r="T4" s="93"/>
      <c r="U4" s="88" t="str">
        <f>IFERROR(R4/(S4*T4),"")</f>
        <v/>
      </c>
      <c r="V4" s="20"/>
    </row>
    <row r="5" spans="1:23" ht="15" customHeight="1" thickTop="1" x14ac:dyDescent="0.25">
      <c r="A5" s="14"/>
      <c r="B5" s="107" t="s">
        <v>201</v>
      </c>
      <c r="C5" s="107" t="s">
        <v>201</v>
      </c>
      <c r="D5" s="108" t="s">
        <v>131</v>
      </c>
      <c r="E5" s="109" t="s">
        <v>202</v>
      </c>
      <c r="F5" s="109" t="s">
        <v>203</v>
      </c>
      <c r="G5" s="14"/>
      <c r="H5" s="26">
        <v>10</v>
      </c>
      <c r="I5" s="14"/>
      <c r="K5" s="14"/>
      <c r="L5" s="29" t="s">
        <v>262</v>
      </c>
      <c r="M5" s="30">
        <f ca="1">IFERROR(INDIRECT("'" &amp; L5 &amp; "'!P4"),"")</f>
        <v>3448.5</v>
      </c>
      <c r="N5" s="14"/>
      <c r="Q5" s="14"/>
      <c r="R5" s="99">
        <v>0</v>
      </c>
      <c r="T5" s="89" t="str">
        <f>IFERROR(R5/(S5*U5),"")</f>
        <v/>
      </c>
      <c r="V5" s="14"/>
    </row>
    <row r="6" spans="1:23" ht="15" customHeight="1" thickBot="1" x14ac:dyDescent="0.3">
      <c r="A6" s="14"/>
      <c r="B6" s="107" t="s">
        <v>210</v>
      </c>
      <c r="C6" s="107" t="s">
        <v>210</v>
      </c>
      <c r="D6" s="108" t="s">
        <v>42</v>
      </c>
      <c r="E6" s="109" t="s">
        <v>212</v>
      </c>
      <c r="F6" s="109">
        <v>5</v>
      </c>
      <c r="G6" s="14"/>
      <c r="H6" s="26">
        <v>9</v>
      </c>
      <c r="I6" s="14"/>
      <c r="K6" s="14"/>
      <c r="L6" s="29" t="s">
        <v>263</v>
      </c>
      <c r="M6" s="30">
        <f ca="1">IFERROR(INDIRECT("'" &amp; L6 &amp; "'!P4"),"")</f>
        <v>26910</v>
      </c>
      <c r="N6" s="14"/>
      <c r="Q6" s="14"/>
      <c r="R6" s="98">
        <v>0</v>
      </c>
      <c r="S6" s="85"/>
      <c r="T6" s="90" t="str">
        <f>IFERROR(R6/(S6*U6),"")</f>
        <v/>
      </c>
      <c r="U6" s="85"/>
      <c r="V6" s="14"/>
    </row>
    <row r="7" spans="1:23" ht="15" customHeight="1" thickTop="1" x14ac:dyDescent="0.25">
      <c r="A7" s="14"/>
      <c r="B7" s="107" t="s">
        <v>211</v>
      </c>
      <c r="C7" s="107" t="s">
        <v>211</v>
      </c>
      <c r="D7" s="108" t="s">
        <v>9</v>
      </c>
      <c r="E7" s="109" t="s">
        <v>212</v>
      </c>
      <c r="F7" s="109">
        <v>6</v>
      </c>
      <c r="G7" s="14"/>
      <c r="H7" s="26">
        <v>7</v>
      </c>
      <c r="I7" s="14"/>
      <c r="K7" s="14"/>
      <c r="L7" s="29" t="s">
        <v>265</v>
      </c>
      <c r="M7" s="30">
        <f ca="1">IFERROR(INDIRECT("'" &amp; L7 &amp; "'!P4"),"")</f>
        <v>2150</v>
      </c>
      <c r="N7" s="14"/>
      <c r="Q7" s="14"/>
      <c r="R7" s="99">
        <v>0</v>
      </c>
      <c r="S7" s="89" t="str">
        <f>IFERROR(R7/(T7*U7),"")</f>
        <v/>
      </c>
      <c r="T7" s="94"/>
      <c r="V7" s="14"/>
    </row>
    <row r="8" spans="1:23" ht="15" customHeight="1" thickBot="1" x14ac:dyDescent="0.3">
      <c r="A8" s="14"/>
      <c r="B8" s="106" t="s">
        <v>214</v>
      </c>
      <c r="C8" s="106" t="s">
        <v>214</v>
      </c>
      <c r="D8" s="105" t="s">
        <v>215</v>
      </c>
      <c r="E8" s="106">
        <v>0.75</v>
      </c>
      <c r="F8" s="106" t="s">
        <v>216</v>
      </c>
      <c r="G8" s="14"/>
      <c r="H8" s="26">
        <v>7</v>
      </c>
      <c r="I8" s="14"/>
      <c r="K8" s="14"/>
      <c r="L8" s="29" t="s">
        <v>268</v>
      </c>
      <c r="M8" s="30">
        <f ca="1">IFERROR(INDIRECT("'" &amp; L8 &amp; "'!P4"),"")</f>
        <v>1518</v>
      </c>
      <c r="N8" s="14"/>
      <c r="Q8" s="14"/>
      <c r="R8" s="100">
        <v>0</v>
      </c>
      <c r="S8" s="91" t="str">
        <f>IFERROR(R8/(T8*U8),"")</f>
        <v/>
      </c>
      <c r="T8" s="95"/>
      <c r="U8" s="84"/>
      <c r="V8" s="14"/>
    </row>
    <row r="9" spans="1:23" ht="15" customHeight="1" x14ac:dyDescent="0.25">
      <c r="A9" s="14"/>
      <c r="B9" s="107" t="s">
        <v>226</v>
      </c>
      <c r="C9" s="107" t="s">
        <v>226</v>
      </c>
      <c r="D9" s="108" t="s">
        <v>76</v>
      </c>
      <c r="E9" s="109" t="s">
        <v>227</v>
      </c>
      <c r="F9" s="109">
        <v>5</v>
      </c>
      <c r="G9" s="14"/>
      <c r="H9" s="26">
        <v>7</v>
      </c>
      <c r="I9" s="14"/>
      <c r="K9" s="14"/>
      <c r="L9" s="29" t="s">
        <v>267</v>
      </c>
      <c r="M9" s="30">
        <f ca="1">IFERROR(INDIRECT("'" &amp; L9 &amp; "'!P4"),"")</f>
        <v>2087.25</v>
      </c>
      <c r="N9" s="14"/>
      <c r="Q9" s="14"/>
      <c r="R9" s="14"/>
      <c r="S9" s="14"/>
      <c r="T9" s="14"/>
      <c r="U9" s="14"/>
      <c r="V9" s="14"/>
    </row>
    <row r="10" spans="1:23" ht="15" customHeight="1" x14ac:dyDescent="0.25">
      <c r="A10" s="14"/>
      <c r="B10" s="107" t="s">
        <v>223</v>
      </c>
      <c r="C10" s="107" t="s">
        <v>223</v>
      </c>
      <c r="D10" s="108" t="s">
        <v>71</v>
      </c>
      <c r="E10" s="109">
        <v>4</v>
      </c>
      <c r="F10" s="109">
        <v>6</v>
      </c>
      <c r="G10" s="14"/>
      <c r="H10" s="26">
        <v>6</v>
      </c>
      <c r="I10" s="14"/>
      <c r="K10" s="14"/>
      <c r="L10" s="29" t="s">
        <v>158</v>
      </c>
      <c r="M10" s="30">
        <f ca="1">IFERROR(INDIRECT("'" &amp; L10 &amp; "'!P4"),"")</f>
        <v>0</v>
      </c>
      <c r="N10" s="14"/>
    </row>
    <row r="11" spans="1:23" ht="15" customHeight="1" x14ac:dyDescent="0.25">
      <c r="A11" s="14"/>
      <c r="B11" s="107" t="s">
        <v>224</v>
      </c>
      <c r="C11" s="107" t="s">
        <v>224</v>
      </c>
      <c r="D11" s="108" t="s">
        <v>225</v>
      </c>
      <c r="E11" s="109" t="s">
        <v>213</v>
      </c>
      <c r="F11" s="109" t="s">
        <v>219</v>
      </c>
      <c r="G11" s="14"/>
      <c r="H11" s="26">
        <v>4</v>
      </c>
      <c r="I11" s="14"/>
      <c r="K11" s="14"/>
      <c r="L11" s="29" t="s">
        <v>159</v>
      </c>
      <c r="M11" s="30">
        <f ca="1">IFERROR(INDIRECT("'" &amp; L11 &amp; "'!P4"),"")</f>
        <v>0</v>
      </c>
      <c r="N11" s="14"/>
    </row>
    <row r="12" spans="1:23" ht="15" customHeight="1" x14ac:dyDescent="0.25">
      <c r="A12" s="14"/>
      <c r="B12" s="107" t="s">
        <v>201</v>
      </c>
      <c r="C12" s="107" t="s">
        <v>201</v>
      </c>
      <c r="D12" s="108" t="s">
        <v>10</v>
      </c>
      <c r="E12" s="109">
        <v>0.5</v>
      </c>
      <c r="F12" s="109">
        <v>1</v>
      </c>
      <c r="G12" s="14"/>
      <c r="H12" s="26">
        <v>4</v>
      </c>
      <c r="I12" s="14"/>
      <c r="K12" s="14"/>
      <c r="L12" s="29" t="s">
        <v>160</v>
      </c>
      <c r="M12" s="30">
        <f ca="1">IFERROR(INDIRECT("'" &amp; L12 &amp; "'!P4"),"")</f>
        <v>0</v>
      </c>
      <c r="N12" s="14"/>
    </row>
    <row r="13" spans="1:23" ht="15" customHeight="1" x14ac:dyDescent="0.25">
      <c r="A13" s="14"/>
      <c r="B13" s="107" t="s">
        <v>217</v>
      </c>
      <c r="C13" s="107" t="s">
        <v>217</v>
      </c>
      <c r="D13" s="108" t="s">
        <v>47</v>
      </c>
      <c r="E13" s="109">
        <v>2</v>
      </c>
      <c r="F13" s="109">
        <v>2.5</v>
      </c>
      <c r="G13" s="14"/>
      <c r="H13" s="26">
        <v>4</v>
      </c>
      <c r="I13" s="14"/>
      <c r="K13" s="14"/>
      <c r="L13" s="29" t="s">
        <v>125</v>
      </c>
      <c r="M13" s="30">
        <f ca="1">IFERROR(INDIRECT("'" &amp; L13 &amp; "'!P4"),"")</f>
        <v>0</v>
      </c>
      <c r="N13" s="14"/>
    </row>
    <row r="14" spans="1:23" ht="15" customHeight="1" x14ac:dyDescent="0.25">
      <c r="A14" s="14"/>
      <c r="B14" s="107" t="s">
        <v>200</v>
      </c>
      <c r="C14" s="107" t="s">
        <v>200</v>
      </c>
      <c r="D14" s="108" t="s">
        <v>46</v>
      </c>
      <c r="E14" s="109" t="s">
        <v>213</v>
      </c>
      <c r="F14" s="109">
        <v>2.5</v>
      </c>
      <c r="G14" s="14"/>
      <c r="H14" s="26">
        <v>3</v>
      </c>
      <c r="I14" s="14"/>
      <c r="K14" s="14"/>
      <c r="L14" s="29" t="s">
        <v>151</v>
      </c>
      <c r="M14" s="31">
        <f ca="1">IFERROR(INDIRECT("'" &amp; L14 &amp; "'!P4"),"")</f>
        <v>0</v>
      </c>
      <c r="N14" s="14"/>
    </row>
    <row r="15" spans="1:23" ht="15" customHeight="1" x14ac:dyDescent="0.25">
      <c r="A15" s="14"/>
      <c r="B15" s="107" t="s">
        <v>220</v>
      </c>
      <c r="C15" s="107" t="s">
        <v>220</v>
      </c>
      <c r="D15" s="108" t="s">
        <v>55</v>
      </c>
      <c r="E15" s="109" t="s">
        <v>213</v>
      </c>
      <c r="F15" s="109">
        <v>6</v>
      </c>
      <c r="G15" s="14"/>
      <c r="H15" s="26">
        <v>3</v>
      </c>
      <c r="I15" s="14"/>
      <c r="K15" s="14"/>
      <c r="L15" s="29" t="s">
        <v>152</v>
      </c>
      <c r="M15" s="31">
        <f ca="1">IFERROR(INDIRECT("'" &amp; L15 &amp; "'!P4"),"")</f>
        <v>0</v>
      </c>
      <c r="N15" s="14"/>
    </row>
    <row r="16" spans="1:23" ht="15" customHeight="1" x14ac:dyDescent="0.25">
      <c r="A16" s="14"/>
      <c r="B16" s="107" t="s">
        <v>226</v>
      </c>
      <c r="C16" s="107" t="s">
        <v>226</v>
      </c>
      <c r="D16" s="108" t="s">
        <v>78</v>
      </c>
      <c r="E16" s="109" t="s">
        <v>218</v>
      </c>
      <c r="F16" s="109">
        <v>8</v>
      </c>
      <c r="G16" s="14"/>
      <c r="H16" s="26">
        <v>3</v>
      </c>
      <c r="I16" s="14"/>
      <c r="K16" s="14"/>
      <c r="L16" s="29" t="s">
        <v>153</v>
      </c>
      <c r="M16" s="31">
        <f ca="1">IFERROR(INDIRECT("'" &amp; L16 &amp; "'!P4"),"")</f>
        <v>0</v>
      </c>
      <c r="N16" s="14"/>
      <c r="W16" s="18">
        <v>4</v>
      </c>
    </row>
    <row r="17" spans="1:23" ht="15" customHeight="1" x14ac:dyDescent="0.25">
      <c r="A17" s="14"/>
      <c r="B17" s="107" t="s">
        <v>228</v>
      </c>
      <c r="C17" s="107" t="s">
        <v>228</v>
      </c>
      <c r="D17" s="108" t="s">
        <v>86</v>
      </c>
      <c r="E17" s="109">
        <v>2.5</v>
      </c>
      <c r="F17" s="109">
        <v>3</v>
      </c>
      <c r="G17" s="14"/>
      <c r="H17" s="26">
        <v>3</v>
      </c>
      <c r="I17" s="14"/>
      <c r="K17" s="14"/>
      <c r="L17" s="29" t="s">
        <v>154</v>
      </c>
      <c r="M17" s="31">
        <f ca="1">IFERROR(INDIRECT("'" &amp; L17 &amp; "'!P4"),"")</f>
        <v>0</v>
      </c>
      <c r="N17" s="14"/>
      <c r="W17" s="18">
        <v>4</v>
      </c>
    </row>
    <row r="18" spans="1:23" ht="15" customHeight="1" x14ac:dyDescent="0.25">
      <c r="A18" s="14"/>
      <c r="B18" s="107" t="s">
        <v>200</v>
      </c>
      <c r="C18" s="107" t="s">
        <v>200</v>
      </c>
      <c r="D18" s="108" t="s">
        <v>90</v>
      </c>
      <c r="E18" s="109" t="s">
        <v>213</v>
      </c>
      <c r="F18" s="109">
        <v>10</v>
      </c>
      <c r="G18" s="14"/>
      <c r="H18" s="26">
        <v>3</v>
      </c>
      <c r="I18" s="14"/>
      <c r="K18" s="14"/>
      <c r="L18" s="50" t="s">
        <v>155</v>
      </c>
      <c r="M18" s="31">
        <f ca="1">IFERROR(INDIRECT("'" &amp; L18 &amp; "'!P4"),"")</f>
        <v>0</v>
      </c>
      <c r="N18" s="14"/>
      <c r="W18" s="18">
        <v>2.5</v>
      </c>
    </row>
    <row r="19" spans="1:23" ht="15" customHeight="1" x14ac:dyDescent="0.25">
      <c r="A19" s="14"/>
      <c r="B19" s="107" t="s">
        <v>208</v>
      </c>
      <c r="C19" s="107" t="s">
        <v>208</v>
      </c>
      <c r="D19" s="108" t="s">
        <v>93</v>
      </c>
      <c r="E19" s="109">
        <v>3</v>
      </c>
      <c r="F19" s="109">
        <v>4</v>
      </c>
      <c r="G19" s="14"/>
      <c r="H19" s="26">
        <v>3</v>
      </c>
      <c r="I19" s="14"/>
      <c r="K19" s="14"/>
      <c r="L19" s="50" t="s">
        <v>156</v>
      </c>
      <c r="M19" s="31">
        <f ca="1">IFERROR(INDIRECT("'" &amp; L19 &amp; "'!P4"),"")</f>
        <v>0</v>
      </c>
      <c r="N19" s="14"/>
      <c r="W19" s="18">
        <v>3.5</v>
      </c>
    </row>
    <row r="20" spans="1:23" ht="15" customHeight="1" x14ac:dyDescent="0.25">
      <c r="A20" s="14"/>
      <c r="B20" s="106" t="s">
        <v>235</v>
      </c>
      <c r="C20" s="106" t="s">
        <v>235</v>
      </c>
      <c r="D20" s="105" t="s">
        <v>236</v>
      </c>
      <c r="E20" s="106" t="s">
        <v>202</v>
      </c>
      <c r="F20" s="106">
        <v>2.5</v>
      </c>
      <c r="G20" s="14"/>
      <c r="H20" s="26">
        <v>3</v>
      </c>
      <c r="I20" s="14"/>
      <c r="K20" s="14"/>
      <c r="L20" s="50" t="s">
        <v>157</v>
      </c>
      <c r="M20" s="31">
        <f ca="1">IFERROR(INDIRECT("'" &amp; L20 &amp; "'!P4"),"")</f>
        <v>0</v>
      </c>
      <c r="N20" s="14"/>
      <c r="W20" s="18" t="s">
        <v>213</v>
      </c>
    </row>
    <row r="21" spans="1:23" ht="15" customHeight="1" x14ac:dyDescent="0.25">
      <c r="A21" s="14"/>
      <c r="B21" s="107" t="s">
        <v>224</v>
      </c>
      <c r="C21" s="107" t="s">
        <v>224</v>
      </c>
      <c r="D21" s="108" t="s">
        <v>140</v>
      </c>
      <c r="E21" s="109" t="s">
        <v>213</v>
      </c>
      <c r="F21" s="109" t="s">
        <v>219</v>
      </c>
      <c r="G21" s="14"/>
      <c r="H21" s="26">
        <v>3</v>
      </c>
      <c r="I21" s="14"/>
      <c r="K21" s="14"/>
      <c r="L21" s="50" t="s">
        <v>161</v>
      </c>
      <c r="M21" s="31">
        <f ca="1">IFERROR(INDIRECT("'" &amp; L21 &amp; "'!P4"),"")</f>
        <v>0</v>
      </c>
      <c r="N21" s="14"/>
      <c r="W21" s="18">
        <v>2</v>
      </c>
    </row>
    <row r="22" spans="1:23" ht="15" customHeight="1" x14ac:dyDescent="0.25">
      <c r="A22" s="14"/>
      <c r="B22" s="107" t="s">
        <v>209</v>
      </c>
      <c r="C22" s="107" t="s">
        <v>209</v>
      </c>
      <c r="D22" s="108" t="s">
        <v>30</v>
      </c>
      <c r="E22" s="109">
        <v>2.5</v>
      </c>
      <c r="F22" s="109">
        <v>3</v>
      </c>
      <c r="G22" s="14"/>
      <c r="H22" s="26">
        <v>2</v>
      </c>
      <c r="I22" s="14"/>
      <c r="K22" s="14"/>
      <c r="L22" s="50" t="s">
        <v>162</v>
      </c>
      <c r="M22" s="31">
        <f ca="1">IFERROR(INDIRECT("'" &amp; L22 &amp; "'!P4"),"")</f>
        <v>0</v>
      </c>
      <c r="N22" s="14"/>
      <c r="W22" s="18">
        <v>1.5</v>
      </c>
    </row>
    <row r="23" spans="1:23" ht="15" customHeight="1" x14ac:dyDescent="0.25">
      <c r="A23" s="14"/>
      <c r="B23" s="107" t="s">
        <v>222</v>
      </c>
      <c r="C23" s="107" t="s">
        <v>222</v>
      </c>
      <c r="D23" s="108" t="s">
        <v>63</v>
      </c>
      <c r="E23" s="109">
        <v>2.5</v>
      </c>
      <c r="F23" s="109">
        <v>3</v>
      </c>
      <c r="G23" s="14"/>
      <c r="H23" s="26">
        <v>2</v>
      </c>
      <c r="I23" s="14"/>
      <c r="K23" s="14"/>
      <c r="L23" s="51" t="s">
        <v>163</v>
      </c>
      <c r="M23" s="31">
        <f ca="1">IFERROR(INDIRECT("'" &amp; L23 &amp; "'!P4"),"")</f>
        <v>0</v>
      </c>
      <c r="N23" s="14"/>
      <c r="W23" s="18" t="s">
        <v>218</v>
      </c>
    </row>
    <row r="24" spans="1:23" ht="15" customHeight="1" x14ac:dyDescent="0.25">
      <c r="A24" s="14"/>
      <c r="B24" s="107" t="s">
        <v>217</v>
      </c>
      <c r="C24" s="107" t="s">
        <v>217</v>
      </c>
      <c r="D24" s="108" t="s">
        <v>67</v>
      </c>
      <c r="E24" s="109">
        <v>2</v>
      </c>
      <c r="F24" s="109">
        <v>3</v>
      </c>
      <c r="G24" s="14"/>
      <c r="H24" s="26">
        <v>2</v>
      </c>
      <c r="I24" s="14"/>
      <c r="K24" s="14"/>
      <c r="L24" s="14"/>
      <c r="M24" s="19"/>
      <c r="N24" s="14"/>
      <c r="W24" s="18">
        <v>3</v>
      </c>
    </row>
    <row r="25" spans="1:23" ht="15" customHeight="1" x14ac:dyDescent="0.25">
      <c r="A25" s="14"/>
      <c r="B25" s="107" t="s">
        <v>223</v>
      </c>
      <c r="C25" s="107" t="s">
        <v>223</v>
      </c>
      <c r="D25" s="108" t="s">
        <v>69</v>
      </c>
      <c r="E25" s="109" t="s">
        <v>218</v>
      </c>
      <c r="F25" s="109">
        <v>6</v>
      </c>
      <c r="G25" s="14"/>
      <c r="H25" s="26">
        <v>2</v>
      </c>
      <c r="I25" s="14"/>
      <c r="W25" s="18" t="s">
        <v>213</v>
      </c>
    </row>
    <row r="26" spans="1:23" ht="15" customHeight="1" x14ac:dyDescent="0.25">
      <c r="A26" s="14"/>
      <c r="B26" s="107" t="s">
        <v>200</v>
      </c>
      <c r="C26" s="107" t="s">
        <v>200</v>
      </c>
      <c r="D26" s="108" t="s">
        <v>74</v>
      </c>
      <c r="E26" s="109">
        <v>0.5</v>
      </c>
      <c r="F26" s="109">
        <v>1</v>
      </c>
      <c r="G26" s="14"/>
      <c r="H26" s="26">
        <v>2</v>
      </c>
      <c r="I26" s="14"/>
      <c r="W26" s="18" t="s">
        <v>212</v>
      </c>
    </row>
    <row r="27" spans="1:23" ht="15" customHeight="1" x14ac:dyDescent="0.25">
      <c r="A27" s="14"/>
      <c r="B27" s="107" t="s">
        <v>228</v>
      </c>
      <c r="C27" s="107" t="s">
        <v>228</v>
      </c>
      <c r="D27" s="108" t="s">
        <v>83</v>
      </c>
      <c r="E27" s="109">
        <v>1</v>
      </c>
      <c r="F27" s="109">
        <v>1.5</v>
      </c>
      <c r="G27" s="14"/>
      <c r="H27" s="26">
        <v>2</v>
      </c>
      <c r="I27" s="14"/>
      <c r="W27" s="18">
        <v>4</v>
      </c>
    </row>
    <row r="28" spans="1:23" ht="15" customHeight="1" x14ac:dyDescent="0.25">
      <c r="A28" s="14"/>
      <c r="B28" s="107" t="s">
        <v>208</v>
      </c>
      <c r="C28" s="107" t="s">
        <v>208</v>
      </c>
      <c r="D28" s="108" t="s">
        <v>91</v>
      </c>
      <c r="E28" s="109">
        <v>1.5</v>
      </c>
      <c r="F28" s="109">
        <v>2</v>
      </c>
      <c r="G28" s="14"/>
      <c r="H28" s="26">
        <v>2</v>
      </c>
      <c r="I28" s="14"/>
      <c r="W28" s="18">
        <v>4</v>
      </c>
    </row>
    <row r="29" spans="1:23" ht="15" customHeight="1" x14ac:dyDescent="0.25">
      <c r="A29" s="14"/>
      <c r="B29" s="107" t="s">
        <v>209</v>
      </c>
      <c r="C29" s="107" t="s">
        <v>209</v>
      </c>
      <c r="D29" s="108" t="s">
        <v>23</v>
      </c>
      <c r="E29" s="109">
        <v>4</v>
      </c>
      <c r="F29" s="109">
        <v>4.5</v>
      </c>
      <c r="G29" s="14"/>
      <c r="H29" s="26">
        <v>1</v>
      </c>
      <c r="I29" s="14"/>
      <c r="W29" s="18">
        <v>2.5</v>
      </c>
    </row>
    <row r="30" spans="1:23" ht="15" customHeight="1" x14ac:dyDescent="0.25">
      <c r="A30" s="14"/>
      <c r="B30" s="107" t="s">
        <v>209</v>
      </c>
      <c r="C30" s="107" t="s">
        <v>209</v>
      </c>
      <c r="D30" s="108" t="s">
        <v>29</v>
      </c>
      <c r="E30" s="109" t="s">
        <v>212</v>
      </c>
      <c r="F30" s="109">
        <v>2</v>
      </c>
      <c r="G30" s="14"/>
      <c r="H30" s="26">
        <v>1</v>
      </c>
      <c r="I30" s="14"/>
      <c r="W30" s="18">
        <v>3.5</v>
      </c>
    </row>
    <row r="31" spans="1:23" ht="15" customHeight="1" x14ac:dyDescent="0.25">
      <c r="A31" s="14"/>
      <c r="B31" s="107" t="s">
        <v>200</v>
      </c>
      <c r="C31" s="107" t="s">
        <v>200</v>
      </c>
      <c r="D31" s="108" t="s">
        <v>45</v>
      </c>
      <c r="E31" s="109">
        <v>1.5</v>
      </c>
      <c r="F31" s="109">
        <v>2</v>
      </c>
      <c r="G31" s="14"/>
      <c r="H31" s="26">
        <v>1</v>
      </c>
      <c r="I31" s="14"/>
      <c r="W31" s="18" t="s">
        <v>213</v>
      </c>
    </row>
    <row r="32" spans="1:23" ht="15" customHeight="1" x14ac:dyDescent="0.25">
      <c r="A32" s="14"/>
      <c r="B32" s="107" t="s">
        <v>220</v>
      </c>
      <c r="C32" s="107" t="s">
        <v>220</v>
      </c>
      <c r="D32" s="108" t="s">
        <v>221</v>
      </c>
      <c r="E32" s="109" t="s">
        <v>227</v>
      </c>
      <c r="F32" s="109" t="s">
        <v>218</v>
      </c>
      <c r="G32" s="14"/>
      <c r="H32" s="26">
        <v>1</v>
      </c>
      <c r="I32" s="14"/>
      <c r="W32" s="18">
        <v>2</v>
      </c>
    </row>
    <row r="33" spans="1:23" ht="15" customHeight="1" x14ac:dyDescent="0.25">
      <c r="A33" s="14"/>
      <c r="B33" s="104" t="s">
        <v>226</v>
      </c>
      <c r="C33" s="104" t="s">
        <v>226</v>
      </c>
      <c r="D33" s="105" t="s">
        <v>141</v>
      </c>
      <c r="E33" s="106" t="s">
        <v>227</v>
      </c>
      <c r="F33" s="106">
        <v>8</v>
      </c>
      <c r="G33" s="14"/>
      <c r="H33" s="26">
        <v>1</v>
      </c>
      <c r="I33" s="14"/>
      <c r="W33" s="18">
        <v>1.5</v>
      </c>
    </row>
    <row r="34" spans="1:23" ht="15" customHeight="1" x14ac:dyDescent="0.25">
      <c r="A34" s="14"/>
      <c r="B34" s="107" t="s">
        <v>200</v>
      </c>
      <c r="C34" s="107" t="s">
        <v>200</v>
      </c>
      <c r="D34" s="108" t="s">
        <v>230</v>
      </c>
      <c r="E34" s="109" t="s">
        <v>203</v>
      </c>
      <c r="F34" s="109" t="s">
        <v>203</v>
      </c>
      <c r="G34" s="14"/>
      <c r="H34" s="26">
        <v>1</v>
      </c>
      <c r="I34" s="14"/>
      <c r="W34" s="18" t="s">
        <v>218</v>
      </c>
    </row>
    <row r="35" spans="1:23" ht="15" customHeight="1" x14ac:dyDescent="0.25">
      <c r="A35" s="14"/>
      <c r="B35" s="107" t="s">
        <v>208</v>
      </c>
      <c r="C35" s="107" t="s">
        <v>208</v>
      </c>
      <c r="D35" s="108" t="s">
        <v>94</v>
      </c>
      <c r="E35" s="109">
        <v>1</v>
      </c>
      <c r="F35" s="109">
        <v>2</v>
      </c>
      <c r="G35" s="14"/>
      <c r="H35" s="26">
        <v>1</v>
      </c>
      <c r="I35" s="14"/>
      <c r="W35" s="18">
        <v>3</v>
      </c>
    </row>
    <row r="36" spans="1:23" ht="15" customHeight="1" x14ac:dyDescent="0.25">
      <c r="A36" s="14"/>
      <c r="B36" s="107" t="s">
        <v>208</v>
      </c>
      <c r="C36" s="107" t="s">
        <v>208</v>
      </c>
      <c r="D36" s="108" t="s">
        <v>95</v>
      </c>
      <c r="E36" s="109">
        <v>12</v>
      </c>
      <c r="F36" s="109">
        <v>14</v>
      </c>
      <c r="G36" s="14"/>
      <c r="H36" s="26">
        <v>1</v>
      </c>
      <c r="I36" s="14"/>
      <c r="W36" s="18" t="s">
        <v>213</v>
      </c>
    </row>
    <row r="37" spans="1:23" ht="15" customHeight="1" x14ac:dyDescent="0.2">
      <c r="A37" s="14"/>
      <c r="B37" s="107" t="s">
        <v>232</v>
      </c>
      <c r="C37" s="107" t="s">
        <v>232</v>
      </c>
      <c r="D37" s="110" t="s">
        <v>233</v>
      </c>
      <c r="E37" s="109" t="s">
        <v>219</v>
      </c>
      <c r="F37" s="109" t="s">
        <v>219</v>
      </c>
      <c r="G37" s="14"/>
      <c r="H37" s="26">
        <v>1</v>
      </c>
      <c r="I37" s="14"/>
      <c r="W37" s="18" t="s">
        <v>212</v>
      </c>
    </row>
    <row r="38" spans="1:23" ht="15" customHeight="1" x14ac:dyDescent="0.25">
      <c r="A38" s="14"/>
      <c r="B38" s="107" t="s">
        <v>209</v>
      </c>
      <c r="C38" s="107" t="s">
        <v>209</v>
      </c>
      <c r="D38" s="108" t="s">
        <v>28</v>
      </c>
      <c r="E38" s="109" t="s">
        <v>275</v>
      </c>
      <c r="F38" s="109">
        <v>4</v>
      </c>
      <c r="G38" s="14"/>
      <c r="H38" s="26">
        <v>1</v>
      </c>
      <c r="I38" s="14"/>
      <c r="W38" s="18">
        <v>4</v>
      </c>
    </row>
    <row r="39" spans="1:23" ht="15" customHeight="1" x14ac:dyDescent="0.25">
      <c r="A39" s="14"/>
      <c r="B39" s="106" t="s">
        <v>224</v>
      </c>
      <c r="C39" s="106" t="s">
        <v>224</v>
      </c>
      <c r="D39" s="105" t="s">
        <v>276</v>
      </c>
      <c r="E39" s="106" t="s">
        <v>203</v>
      </c>
      <c r="F39" s="106" t="s">
        <v>219</v>
      </c>
      <c r="G39" s="14"/>
      <c r="H39" s="26">
        <v>1</v>
      </c>
      <c r="I39" s="14"/>
      <c r="W39" s="18">
        <v>4</v>
      </c>
    </row>
    <row r="40" spans="1:23" ht="15" customHeight="1" x14ac:dyDescent="0.25">
      <c r="A40" s="14"/>
      <c r="B40" s="114" t="s">
        <v>201</v>
      </c>
      <c r="C40" s="114" t="s">
        <v>201</v>
      </c>
      <c r="D40" s="113" t="s">
        <v>130</v>
      </c>
      <c r="E40" s="112">
        <v>3.5</v>
      </c>
      <c r="F40" s="112">
        <v>3.5</v>
      </c>
      <c r="G40" s="14"/>
      <c r="H40" s="26">
        <v>0</v>
      </c>
      <c r="I40" s="14"/>
      <c r="W40" s="18">
        <v>2.5</v>
      </c>
    </row>
    <row r="41" spans="1:23" ht="15" customHeight="1" x14ac:dyDescent="0.25">
      <c r="A41" s="14"/>
      <c r="B41" s="114" t="s">
        <v>201</v>
      </c>
      <c r="C41" s="114" t="s">
        <v>201</v>
      </c>
      <c r="D41" s="113" t="s">
        <v>129</v>
      </c>
      <c r="E41" s="112">
        <v>4</v>
      </c>
      <c r="F41" s="112">
        <v>4</v>
      </c>
      <c r="G41" s="14"/>
      <c r="H41" s="26">
        <v>0</v>
      </c>
      <c r="I41" s="14"/>
      <c r="W41" s="18">
        <v>3.5</v>
      </c>
    </row>
    <row r="42" spans="1:23" ht="15" customHeight="1" x14ac:dyDescent="0.25">
      <c r="A42" s="14"/>
      <c r="B42" s="111" t="s">
        <v>204</v>
      </c>
      <c r="C42" s="111" t="s">
        <v>204</v>
      </c>
      <c r="D42" s="102" t="s">
        <v>11</v>
      </c>
      <c r="E42" s="25">
        <v>3</v>
      </c>
      <c r="F42" s="25">
        <v>4</v>
      </c>
      <c r="G42" s="14"/>
      <c r="H42" s="26">
        <v>0</v>
      </c>
      <c r="I42" s="14"/>
      <c r="W42" s="18" t="s">
        <v>213</v>
      </c>
    </row>
    <row r="43" spans="1:23" ht="15" customHeight="1" x14ac:dyDescent="0.25">
      <c r="A43" s="14"/>
      <c r="B43" s="111" t="s">
        <v>204</v>
      </c>
      <c r="C43" s="111" t="s">
        <v>204</v>
      </c>
      <c r="D43" s="102" t="s">
        <v>12</v>
      </c>
      <c r="E43" s="25">
        <v>4</v>
      </c>
      <c r="F43" s="25">
        <v>6</v>
      </c>
      <c r="G43" s="14"/>
      <c r="H43" s="26">
        <v>0</v>
      </c>
      <c r="I43" s="14"/>
      <c r="W43" s="18">
        <v>2</v>
      </c>
    </row>
    <row r="44" spans="1:23" ht="15" customHeight="1" x14ac:dyDescent="0.25">
      <c r="A44" s="14"/>
      <c r="B44" s="111" t="s">
        <v>205</v>
      </c>
      <c r="C44" s="111" t="s">
        <v>205</v>
      </c>
      <c r="D44" s="102" t="s">
        <v>13</v>
      </c>
      <c r="E44" s="25" t="s">
        <v>14</v>
      </c>
      <c r="F44" s="25">
        <v>4</v>
      </c>
      <c r="G44" s="14"/>
      <c r="H44" s="26">
        <v>0</v>
      </c>
      <c r="I44" s="14"/>
      <c r="W44" s="18">
        <v>1.5</v>
      </c>
    </row>
    <row r="45" spans="1:23" ht="15" customHeight="1" x14ac:dyDescent="0.25">
      <c r="A45" s="14"/>
      <c r="B45" s="111" t="s">
        <v>206</v>
      </c>
      <c r="C45" s="111" t="s">
        <v>206</v>
      </c>
      <c r="D45" s="102" t="s">
        <v>15</v>
      </c>
      <c r="E45" s="25">
        <v>3</v>
      </c>
      <c r="F45" s="25">
        <v>4</v>
      </c>
      <c r="G45" s="14"/>
      <c r="H45" s="26">
        <v>0</v>
      </c>
      <c r="I45" s="14"/>
      <c r="W45" s="18" t="s">
        <v>218</v>
      </c>
    </row>
    <row r="46" spans="1:23" ht="15" customHeight="1" x14ac:dyDescent="0.25">
      <c r="A46" s="14"/>
      <c r="B46" s="111" t="s">
        <v>207</v>
      </c>
      <c r="C46" s="111" t="s">
        <v>207</v>
      </c>
      <c r="D46" s="102" t="s">
        <v>16</v>
      </c>
      <c r="E46" s="25">
        <v>6</v>
      </c>
      <c r="F46" s="25">
        <v>8</v>
      </c>
      <c r="G46" s="14"/>
      <c r="H46" s="26">
        <v>0</v>
      </c>
      <c r="I46" s="14"/>
      <c r="W46" s="18">
        <v>3</v>
      </c>
    </row>
    <row r="47" spans="1:23" ht="15" customHeight="1" x14ac:dyDescent="0.25">
      <c r="A47" s="14"/>
      <c r="B47" s="111" t="s">
        <v>208</v>
      </c>
      <c r="C47" s="111" t="s">
        <v>208</v>
      </c>
      <c r="D47" s="102" t="s">
        <v>17</v>
      </c>
      <c r="E47" s="25">
        <v>16</v>
      </c>
      <c r="F47" s="25">
        <v>16</v>
      </c>
      <c r="G47" s="14"/>
      <c r="H47" s="26">
        <v>0</v>
      </c>
      <c r="I47" s="14"/>
      <c r="W47" s="18" t="s">
        <v>213</v>
      </c>
    </row>
    <row r="48" spans="1:23" ht="15" customHeight="1" x14ac:dyDescent="0.25">
      <c r="A48" s="14"/>
      <c r="B48" s="111" t="s">
        <v>208</v>
      </c>
      <c r="C48" s="111" t="s">
        <v>208</v>
      </c>
      <c r="D48" s="102" t="s">
        <v>18</v>
      </c>
      <c r="E48" s="25">
        <v>1</v>
      </c>
      <c r="F48" s="25">
        <v>1.5</v>
      </c>
      <c r="G48" s="14"/>
      <c r="H48" s="26">
        <v>0</v>
      </c>
      <c r="I48" s="14"/>
      <c r="W48" s="18" t="s">
        <v>212</v>
      </c>
    </row>
    <row r="49" spans="1:9" ht="15" customHeight="1" x14ac:dyDescent="0.25">
      <c r="A49" s="14"/>
      <c r="B49" s="111" t="s">
        <v>200</v>
      </c>
      <c r="C49" s="111" t="s">
        <v>200</v>
      </c>
      <c r="D49" s="102" t="s">
        <v>19</v>
      </c>
      <c r="E49" s="25">
        <v>1</v>
      </c>
      <c r="F49" s="25">
        <v>1.5</v>
      </c>
      <c r="G49" s="14"/>
      <c r="H49" s="26">
        <v>0</v>
      </c>
      <c r="I49" s="14"/>
    </row>
    <row r="50" spans="1:9" ht="15" customHeight="1" x14ac:dyDescent="0.25">
      <c r="A50" s="14"/>
      <c r="B50" s="111" t="s">
        <v>200</v>
      </c>
      <c r="C50" s="111" t="s">
        <v>200</v>
      </c>
      <c r="D50" s="102" t="s">
        <v>20</v>
      </c>
      <c r="E50" s="25">
        <v>5</v>
      </c>
      <c r="F50" s="25">
        <v>5</v>
      </c>
      <c r="G50" s="14"/>
      <c r="H50" s="26">
        <v>0</v>
      </c>
      <c r="I50" s="14"/>
    </row>
    <row r="51" spans="1:9" ht="15" customHeight="1" x14ac:dyDescent="0.25">
      <c r="A51" s="14"/>
      <c r="B51" s="111" t="s">
        <v>209</v>
      </c>
      <c r="C51" s="111" t="s">
        <v>209</v>
      </c>
      <c r="D51" s="102" t="s">
        <v>21</v>
      </c>
      <c r="E51" s="25">
        <v>12</v>
      </c>
      <c r="F51" s="25">
        <v>12</v>
      </c>
      <c r="G51" s="14"/>
      <c r="H51" s="26">
        <v>0</v>
      </c>
      <c r="I51" s="14"/>
    </row>
    <row r="52" spans="1:9" ht="15" customHeight="1" x14ac:dyDescent="0.25">
      <c r="A52" s="14"/>
      <c r="B52" s="111" t="s">
        <v>209</v>
      </c>
      <c r="C52" s="111" t="s">
        <v>209</v>
      </c>
      <c r="D52" s="102" t="s">
        <v>22</v>
      </c>
      <c r="E52" s="25">
        <v>3</v>
      </c>
      <c r="F52" s="25">
        <v>3.5</v>
      </c>
      <c r="G52" s="14"/>
      <c r="H52" s="26">
        <v>0</v>
      </c>
      <c r="I52" s="14"/>
    </row>
    <row r="53" spans="1:9" ht="15" customHeight="1" x14ac:dyDescent="0.25">
      <c r="A53" s="14"/>
      <c r="B53" s="111" t="s">
        <v>209</v>
      </c>
      <c r="C53" s="111" t="s">
        <v>209</v>
      </c>
      <c r="D53" s="102" t="s">
        <v>24</v>
      </c>
      <c r="E53" s="25">
        <v>4</v>
      </c>
      <c r="F53" s="25">
        <v>4.5</v>
      </c>
      <c r="G53" s="14"/>
      <c r="H53" s="26">
        <v>0</v>
      </c>
      <c r="I53" s="14"/>
    </row>
    <row r="54" spans="1:9" ht="15" customHeight="1" x14ac:dyDescent="0.25">
      <c r="A54" s="14"/>
      <c r="B54" s="111" t="s">
        <v>209</v>
      </c>
      <c r="C54" s="111" t="s">
        <v>209</v>
      </c>
      <c r="D54" s="102" t="s">
        <v>25</v>
      </c>
      <c r="E54" s="25">
        <v>5</v>
      </c>
      <c r="F54" s="25">
        <v>5.5</v>
      </c>
      <c r="G54" s="14"/>
      <c r="H54" s="26">
        <v>0</v>
      </c>
      <c r="I54" s="14"/>
    </row>
    <row r="55" spans="1:9" ht="15" customHeight="1" x14ac:dyDescent="0.25">
      <c r="A55" s="14"/>
      <c r="B55" s="111" t="s">
        <v>209</v>
      </c>
      <c r="C55" s="111" t="s">
        <v>209</v>
      </c>
      <c r="D55" s="102" t="s">
        <v>26</v>
      </c>
      <c r="E55" s="25">
        <v>6</v>
      </c>
      <c r="F55" s="25">
        <v>8</v>
      </c>
      <c r="G55" s="14"/>
      <c r="H55" s="26">
        <v>0</v>
      </c>
      <c r="I55" s="14"/>
    </row>
    <row r="56" spans="1:9" ht="15" customHeight="1" x14ac:dyDescent="0.25">
      <c r="A56" s="14"/>
      <c r="B56" s="111" t="s">
        <v>209</v>
      </c>
      <c r="C56" s="111" t="s">
        <v>209</v>
      </c>
      <c r="D56" s="102" t="s">
        <v>27</v>
      </c>
      <c r="E56" s="25">
        <v>2.5</v>
      </c>
      <c r="F56" s="25">
        <v>3</v>
      </c>
      <c r="G56" s="14"/>
      <c r="H56" s="26">
        <v>0</v>
      </c>
      <c r="I56" s="14"/>
    </row>
    <row r="57" spans="1:9" ht="15" customHeight="1" x14ac:dyDescent="0.25">
      <c r="A57" s="14"/>
      <c r="B57" s="111" t="s">
        <v>209</v>
      </c>
      <c r="C57" s="111" t="s">
        <v>209</v>
      </c>
      <c r="D57" s="102" t="s">
        <v>31</v>
      </c>
      <c r="E57" s="25">
        <v>1.5</v>
      </c>
      <c r="F57" s="25">
        <v>2</v>
      </c>
      <c r="G57" s="14"/>
      <c r="H57" s="26">
        <v>0</v>
      </c>
      <c r="I57" s="14"/>
    </row>
    <row r="58" spans="1:9" ht="15" customHeight="1" x14ac:dyDescent="0.25">
      <c r="A58" s="14"/>
      <c r="B58" s="111" t="s">
        <v>209</v>
      </c>
      <c r="C58" s="111" t="s">
        <v>209</v>
      </c>
      <c r="D58" s="102" t="s">
        <v>32</v>
      </c>
      <c r="E58" s="25">
        <v>6</v>
      </c>
      <c r="F58" s="25">
        <v>8</v>
      </c>
      <c r="G58" s="14"/>
      <c r="H58" s="26">
        <v>0</v>
      </c>
      <c r="I58" s="14"/>
    </row>
    <row r="59" spans="1:9" ht="15" customHeight="1" x14ac:dyDescent="0.25">
      <c r="A59" s="14"/>
      <c r="B59" s="111" t="s">
        <v>210</v>
      </c>
      <c r="C59" s="111" t="s">
        <v>210</v>
      </c>
      <c r="D59" s="102" t="s">
        <v>33</v>
      </c>
      <c r="E59" s="25">
        <v>6</v>
      </c>
      <c r="F59" s="25">
        <v>8</v>
      </c>
      <c r="G59" s="14"/>
      <c r="H59" s="26">
        <v>0</v>
      </c>
      <c r="I59" s="14"/>
    </row>
    <row r="60" spans="1:9" ht="15" customHeight="1" x14ac:dyDescent="0.25">
      <c r="A60" s="14"/>
      <c r="B60" s="111" t="s">
        <v>209</v>
      </c>
      <c r="C60" s="111" t="s">
        <v>209</v>
      </c>
      <c r="D60" s="102" t="s">
        <v>34</v>
      </c>
      <c r="E60" s="25">
        <v>20</v>
      </c>
      <c r="F60" s="25">
        <v>24</v>
      </c>
      <c r="G60" s="14"/>
      <c r="H60" s="26">
        <v>0</v>
      </c>
      <c r="I60" s="14"/>
    </row>
    <row r="61" spans="1:9" ht="15" customHeight="1" x14ac:dyDescent="0.25">
      <c r="A61" s="14"/>
      <c r="B61" s="111" t="s">
        <v>209</v>
      </c>
      <c r="C61" s="111" t="s">
        <v>209</v>
      </c>
      <c r="D61" s="102" t="s">
        <v>35</v>
      </c>
      <c r="E61" s="25">
        <v>6</v>
      </c>
      <c r="F61" s="25">
        <v>6</v>
      </c>
      <c r="G61" s="14"/>
      <c r="H61" s="26">
        <v>0</v>
      </c>
      <c r="I61" s="14"/>
    </row>
    <row r="62" spans="1:9" ht="15" customHeight="1" x14ac:dyDescent="0.25">
      <c r="A62" s="14"/>
      <c r="B62" s="111" t="s">
        <v>209</v>
      </c>
      <c r="C62" s="111" t="s">
        <v>209</v>
      </c>
      <c r="D62" s="102" t="s">
        <v>36</v>
      </c>
      <c r="E62" s="25">
        <v>32</v>
      </c>
      <c r="F62" s="25">
        <v>32</v>
      </c>
      <c r="G62" s="14"/>
      <c r="H62" s="26">
        <v>0</v>
      </c>
      <c r="I62" s="14"/>
    </row>
    <row r="63" spans="1:9" ht="15" customHeight="1" x14ac:dyDescent="0.25">
      <c r="A63" s="14"/>
      <c r="B63" s="111" t="s">
        <v>210</v>
      </c>
      <c r="C63" s="111" t="s">
        <v>210</v>
      </c>
      <c r="D63" s="102" t="s">
        <v>37</v>
      </c>
      <c r="E63" s="25">
        <v>16</v>
      </c>
      <c r="F63" s="25">
        <v>16</v>
      </c>
      <c r="G63" s="14"/>
      <c r="H63" s="26">
        <v>0</v>
      </c>
      <c r="I63" s="14"/>
    </row>
    <row r="64" spans="1:9" ht="15" customHeight="1" x14ac:dyDescent="0.25">
      <c r="A64" s="14"/>
      <c r="B64" s="111" t="s">
        <v>210</v>
      </c>
      <c r="C64" s="111" t="s">
        <v>210</v>
      </c>
      <c r="D64" s="102" t="s">
        <v>39</v>
      </c>
      <c r="E64" s="25">
        <v>6</v>
      </c>
      <c r="F64" s="25">
        <v>6</v>
      </c>
      <c r="G64" s="14"/>
      <c r="H64" s="26">
        <v>0</v>
      </c>
      <c r="I64" s="14"/>
    </row>
    <row r="65" spans="1:9" ht="15" customHeight="1" x14ac:dyDescent="0.25">
      <c r="A65" s="14"/>
      <c r="B65" s="111" t="s">
        <v>210</v>
      </c>
      <c r="C65" s="111" t="s">
        <v>210</v>
      </c>
      <c r="D65" s="102" t="s">
        <v>40</v>
      </c>
      <c r="E65" s="25">
        <v>4</v>
      </c>
      <c r="F65" s="25">
        <v>5</v>
      </c>
      <c r="G65" s="14"/>
      <c r="H65" s="26">
        <v>0</v>
      </c>
      <c r="I65" s="14"/>
    </row>
    <row r="66" spans="1:9" ht="15" customHeight="1" x14ac:dyDescent="0.25">
      <c r="A66" s="14"/>
      <c r="B66" s="111" t="s">
        <v>210</v>
      </c>
      <c r="C66" s="111" t="s">
        <v>210</v>
      </c>
      <c r="D66" s="102" t="s">
        <v>41</v>
      </c>
      <c r="E66" s="25">
        <v>4</v>
      </c>
      <c r="F66" s="25">
        <v>5</v>
      </c>
      <c r="G66" s="14"/>
      <c r="H66" s="26">
        <v>0</v>
      </c>
      <c r="I66" s="14"/>
    </row>
    <row r="67" spans="1:9" ht="15" customHeight="1" x14ac:dyDescent="0.25">
      <c r="A67" s="14"/>
      <c r="B67" s="111" t="s">
        <v>210</v>
      </c>
      <c r="C67" s="111" t="s">
        <v>210</v>
      </c>
      <c r="D67" s="102" t="s">
        <v>43</v>
      </c>
      <c r="E67" s="25">
        <v>4.5</v>
      </c>
      <c r="F67" s="25">
        <v>5</v>
      </c>
      <c r="G67" s="14"/>
      <c r="H67" s="26">
        <v>0</v>
      </c>
      <c r="I67" s="14"/>
    </row>
    <row r="68" spans="1:9" ht="15" customHeight="1" x14ac:dyDescent="0.25">
      <c r="A68" s="14"/>
      <c r="B68" s="111" t="s">
        <v>210</v>
      </c>
      <c r="C68" s="111" t="s">
        <v>210</v>
      </c>
      <c r="D68" s="102" t="s">
        <v>44</v>
      </c>
      <c r="E68" s="25">
        <v>6</v>
      </c>
      <c r="F68" s="25">
        <v>8</v>
      </c>
      <c r="G68" s="14"/>
      <c r="H68" s="26">
        <v>0</v>
      </c>
      <c r="I68" s="14"/>
    </row>
    <row r="69" spans="1:9" ht="15" customHeight="1" x14ac:dyDescent="0.25">
      <c r="A69" s="14"/>
      <c r="B69" s="114" t="s">
        <v>214</v>
      </c>
      <c r="C69" s="114" t="s">
        <v>214</v>
      </c>
      <c r="D69" s="113" t="s">
        <v>132</v>
      </c>
      <c r="E69" s="112">
        <v>2</v>
      </c>
      <c r="F69" s="112">
        <v>2</v>
      </c>
      <c r="G69" s="14"/>
      <c r="H69" s="26">
        <v>0</v>
      </c>
      <c r="I69" s="14"/>
    </row>
    <row r="70" spans="1:9" ht="15" customHeight="1" x14ac:dyDescent="0.25">
      <c r="A70" s="14"/>
      <c r="B70" s="114" t="s">
        <v>214</v>
      </c>
      <c r="C70" s="114" t="s">
        <v>214</v>
      </c>
      <c r="D70" s="113" t="s">
        <v>133</v>
      </c>
      <c r="E70" s="112">
        <v>6</v>
      </c>
      <c r="F70" s="112">
        <v>6</v>
      </c>
      <c r="G70" s="14"/>
      <c r="H70" s="26">
        <v>0</v>
      </c>
      <c r="I70" s="14"/>
    </row>
    <row r="71" spans="1:9" ht="15" customHeight="1" x14ac:dyDescent="0.25">
      <c r="A71" s="14"/>
      <c r="B71" s="111" t="s">
        <v>205</v>
      </c>
      <c r="C71" s="111" t="s">
        <v>205</v>
      </c>
      <c r="D71" s="102" t="s">
        <v>147</v>
      </c>
      <c r="E71" s="25" t="s">
        <v>218</v>
      </c>
      <c r="F71" s="25" t="s">
        <v>218</v>
      </c>
      <c r="G71" s="14"/>
      <c r="H71" s="26">
        <v>0</v>
      </c>
      <c r="I71" s="14"/>
    </row>
    <row r="72" spans="1:9" ht="15" customHeight="1" x14ac:dyDescent="0.25">
      <c r="A72" s="14"/>
      <c r="B72" s="111" t="s">
        <v>205</v>
      </c>
      <c r="C72" s="111" t="s">
        <v>205</v>
      </c>
      <c r="D72" s="102" t="s">
        <v>148</v>
      </c>
      <c r="E72" s="25" t="s">
        <v>202</v>
      </c>
      <c r="F72" s="25" t="s">
        <v>202</v>
      </c>
      <c r="G72" s="14"/>
      <c r="H72" s="26">
        <v>0</v>
      </c>
      <c r="I72" s="14"/>
    </row>
    <row r="73" spans="1:9" ht="15" customHeight="1" x14ac:dyDescent="0.25">
      <c r="A73" s="14"/>
      <c r="B73" s="111" t="s">
        <v>200</v>
      </c>
      <c r="C73" s="111" t="s">
        <v>200</v>
      </c>
      <c r="D73" s="102" t="s">
        <v>121</v>
      </c>
      <c r="E73" s="25" t="s">
        <v>219</v>
      </c>
      <c r="F73" s="25" t="s">
        <v>219</v>
      </c>
      <c r="G73" s="14"/>
      <c r="H73" s="26">
        <v>0</v>
      </c>
      <c r="I73" s="14"/>
    </row>
    <row r="74" spans="1:9" ht="15" customHeight="1" x14ac:dyDescent="0.25">
      <c r="A74" s="14"/>
      <c r="B74" s="111" t="s">
        <v>220</v>
      </c>
      <c r="C74" s="111" t="s">
        <v>220</v>
      </c>
      <c r="D74" s="102" t="s">
        <v>49</v>
      </c>
      <c r="E74" s="25">
        <v>6</v>
      </c>
      <c r="F74" s="25">
        <v>6</v>
      </c>
      <c r="G74" s="14"/>
      <c r="H74" s="26">
        <v>0</v>
      </c>
      <c r="I74" s="14"/>
    </row>
    <row r="75" spans="1:9" ht="15" customHeight="1" x14ac:dyDescent="0.25">
      <c r="A75" s="14"/>
      <c r="B75" s="111" t="s">
        <v>214</v>
      </c>
      <c r="C75" s="111" t="s">
        <v>214</v>
      </c>
      <c r="D75" s="102" t="s">
        <v>50</v>
      </c>
      <c r="E75" s="25">
        <v>4</v>
      </c>
      <c r="F75" s="25">
        <v>4</v>
      </c>
      <c r="G75" s="14"/>
      <c r="H75" s="26">
        <v>0</v>
      </c>
      <c r="I75" s="14"/>
    </row>
    <row r="76" spans="1:9" ht="15" customHeight="1" x14ac:dyDescent="0.25">
      <c r="A76" s="14"/>
      <c r="B76" s="111" t="s">
        <v>220</v>
      </c>
      <c r="C76" s="111" t="s">
        <v>220</v>
      </c>
      <c r="D76" s="102" t="s">
        <v>51</v>
      </c>
      <c r="E76" s="25">
        <v>0.25</v>
      </c>
      <c r="F76" s="25">
        <v>0.25</v>
      </c>
      <c r="G76" s="14"/>
      <c r="H76" s="26">
        <v>0</v>
      </c>
      <c r="I76" s="14"/>
    </row>
    <row r="77" spans="1:9" ht="15" customHeight="1" x14ac:dyDescent="0.25">
      <c r="A77" s="14"/>
      <c r="B77" s="111" t="s">
        <v>220</v>
      </c>
      <c r="C77" s="111" t="s">
        <v>220</v>
      </c>
      <c r="D77" s="102" t="s">
        <v>52</v>
      </c>
      <c r="E77" s="25">
        <v>4</v>
      </c>
      <c r="F77" s="25">
        <v>4</v>
      </c>
      <c r="G77" s="14"/>
      <c r="H77" s="26">
        <v>0</v>
      </c>
      <c r="I77" s="14"/>
    </row>
    <row r="78" spans="1:9" ht="15" customHeight="1" x14ac:dyDescent="0.25">
      <c r="A78" s="14"/>
      <c r="B78" s="111" t="s">
        <v>220</v>
      </c>
      <c r="C78" s="111" t="s">
        <v>220</v>
      </c>
      <c r="D78" s="102" t="s">
        <v>53</v>
      </c>
      <c r="E78" s="25">
        <v>12</v>
      </c>
      <c r="F78" s="25">
        <v>12</v>
      </c>
      <c r="G78" s="14"/>
      <c r="H78" s="26">
        <v>0</v>
      </c>
      <c r="I78" s="14"/>
    </row>
    <row r="79" spans="1:9" ht="15" customHeight="1" x14ac:dyDescent="0.25">
      <c r="A79" s="14"/>
      <c r="B79" s="111" t="s">
        <v>220</v>
      </c>
      <c r="C79" s="111" t="s">
        <v>220</v>
      </c>
      <c r="D79" s="102" t="s">
        <v>54</v>
      </c>
      <c r="E79" s="25">
        <v>12</v>
      </c>
      <c r="F79" s="25">
        <v>12</v>
      </c>
      <c r="G79" s="14"/>
      <c r="H79" s="26">
        <v>0</v>
      </c>
      <c r="I79" s="14"/>
    </row>
    <row r="80" spans="1:9" ht="15" customHeight="1" x14ac:dyDescent="0.25">
      <c r="A80" s="14"/>
      <c r="B80" s="111" t="s">
        <v>56</v>
      </c>
      <c r="C80" s="111" t="s">
        <v>56</v>
      </c>
      <c r="D80" s="102" t="s">
        <v>57</v>
      </c>
      <c r="E80" s="25" t="s">
        <v>14</v>
      </c>
      <c r="F80" s="25">
        <v>0.25</v>
      </c>
      <c r="G80" s="14"/>
      <c r="H80" s="26">
        <v>0</v>
      </c>
      <c r="I80" s="14"/>
    </row>
    <row r="81" spans="1:9" ht="15" customHeight="1" x14ac:dyDescent="0.25">
      <c r="A81" s="14"/>
      <c r="B81" s="111" t="s">
        <v>56</v>
      </c>
      <c r="C81" s="111" t="s">
        <v>56</v>
      </c>
      <c r="D81" s="102" t="s">
        <v>58</v>
      </c>
      <c r="E81" s="25" t="s">
        <v>14</v>
      </c>
      <c r="F81" s="25">
        <v>0.25</v>
      </c>
      <c r="G81" s="14"/>
      <c r="H81" s="26">
        <v>0</v>
      </c>
      <c r="I81" s="14"/>
    </row>
    <row r="82" spans="1:9" ht="15" customHeight="1" x14ac:dyDescent="0.25">
      <c r="A82" s="14"/>
      <c r="B82" s="111" t="s">
        <v>56</v>
      </c>
      <c r="C82" s="111" t="s">
        <v>56</v>
      </c>
      <c r="D82" s="102" t="s">
        <v>59</v>
      </c>
      <c r="E82" s="25" t="s">
        <v>14</v>
      </c>
      <c r="F82" s="25">
        <v>1</v>
      </c>
      <c r="G82" s="14"/>
      <c r="H82" s="26">
        <v>0</v>
      </c>
      <c r="I82" s="14"/>
    </row>
    <row r="83" spans="1:9" ht="15" customHeight="1" x14ac:dyDescent="0.25">
      <c r="A83" s="14"/>
      <c r="B83" s="111" t="s">
        <v>56</v>
      </c>
      <c r="C83" s="111" t="s">
        <v>56</v>
      </c>
      <c r="D83" s="102" t="s">
        <v>60</v>
      </c>
      <c r="E83" s="25" t="s">
        <v>14</v>
      </c>
      <c r="F83" s="25">
        <v>0.25</v>
      </c>
      <c r="G83" s="14"/>
      <c r="H83" s="26">
        <v>0</v>
      </c>
      <c r="I83" s="14"/>
    </row>
    <row r="84" spans="1:9" ht="15" customHeight="1" x14ac:dyDescent="0.25">
      <c r="A84" s="14"/>
      <c r="B84" s="114" t="s">
        <v>134</v>
      </c>
      <c r="C84" s="114" t="s">
        <v>134</v>
      </c>
      <c r="D84" s="113" t="s">
        <v>135</v>
      </c>
      <c r="E84" s="112">
        <v>25</v>
      </c>
      <c r="F84" s="112">
        <v>25</v>
      </c>
      <c r="G84" s="14"/>
      <c r="H84" s="26">
        <v>0</v>
      </c>
      <c r="I84" s="14"/>
    </row>
    <row r="85" spans="1:9" ht="15" customHeight="1" x14ac:dyDescent="0.25">
      <c r="A85" s="14"/>
      <c r="B85" s="114" t="s">
        <v>134</v>
      </c>
      <c r="C85" s="114" t="s">
        <v>134</v>
      </c>
      <c r="D85" s="113" t="s">
        <v>136</v>
      </c>
      <c r="E85" s="112">
        <v>12</v>
      </c>
      <c r="F85" s="112">
        <v>12</v>
      </c>
      <c r="G85" s="14"/>
      <c r="H85" s="26">
        <v>0</v>
      </c>
      <c r="I85" s="14"/>
    </row>
    <row r="86" spans="1:9" ht="15" customHeight="1" x14ac:dyDescent="0.25">
      <c r="A86" s="14"/>
      <c r="B86" s="114" t="s">
        <v>137</v>
      </c>
      <c r="C86" s="114" t="s">
        <v>137</v>
      </c>
      <c r="D86" s="113" t="s">
        <v>138</v>
      </c>
      <c r="E86" s="112">
        <v>15</v>
      </c>
      <c r="F86" s="112">
        <v>15</v>
      </c>
      <c r="G86" s="14"/>
      <c r="H86" s="26">
        <v>0</v>
      </c>
      <c r="I86" s="14"/>
    </row>
    <row r="87" spans="1:9" ht="15" customHeight="1" x14ac:dyDescent="0.25">
      <c r="A87" s="14"/>
      <c r="B87" s="114" t="s">
        <v>137</v>
      </c>
      <c r="C87" s="114" t="s">
        <v>137</v>
      </c>
      <c r="D87" s="113" t="s">
        <v>139</v>
      </c>
      <c r="E87" s="112">
        <v>8</v>
      </c>
      <c r="F87" s="112">
        <v>8</v>
      </c>
      <c r="G87" s="14"/>
      <c r="H87" s="26">
        <v>0</v>
      </c>
      <c r="I87" s="14"/>
    </row>
    <row r="88" spans="1:9" ht="15" customHeight="1" x14ac:dyDescent="0.25">
      <c r="A88" s="14"/>
      <c r="B88" s="111" t="s">
        <v>204</v>
      </c>
      <c r="C88" s="111" t="s">
        <v>204</v>
      </c>
      <c r="D88" s="102" t="s">
        <v>61</v>
      </c>
      <c r="E88" s="25">
        <v>2</v>
      </c>
      <c r="F88" s="25">
        <v>3</v>
      </c>
      <c r="G88" s="14"/>
      <c r="H88" s="26">
        <v>0</v>
      </c>
      <c r="I88" s="14"/>
    </row>
    <row r="89" spans="1:9" ht="15" customHeight="1" x14ac:dyDescent="0.25">
      <c r="A89" s="14"/>
      <c r="B89" s="111" t="s">
        <v>222</v>
      </c>
      <c r="C89" s="111" t="s">
        <v>222</v>
      </c>
      <c r="D89" s="102" t="s">
        <v>62</v>
      </c>
      <c r="E89" s="25">
        <v>1</v>
      </c>
      <c r="F89" s="25">
        <v>1.5</v>
      </c>
      <c r="G89" s="14"/>
      <c r="H89" s="26">
        <v>0</v>
      </c>
      <c r="I89" s="14"/>
    </row>
    <row r="90" spans="1:9" ht="15" customHeight="1" x14ac:dyDescent="0.25">
      <c r="A90" s="14"/>
      <c r="B90" s="111" t="s">
        <v>14</v>
      </c>
      <c r="C90" s="111" t="s">
        <v>14</v>
      </c>
      <c r="D90" s="102" t="s">
        <v>64</v>
      </c>
      <c r="E90" s="25">
        <v>8</v>
      </c>
      <c r="F90" s="25">
        <v>8</v>
      </c>
      <c r="G90" s="14"/>
      <c r="H90" s="26">
        <v>0</v>
      </c>
      <c r="I90" s="14"/>
    </row>
    <row r="91" spans="1:9" ht="15" customHeight="1" x14ac:dyDescent="0.25">
      <c r="A91" s="14"/>
      <c r="B91" s="111" t="s">
        <v>14</v>
      </c>
      <c r="C91" s="111" t="s">
        <v>14</v>
      </c>
      <c r="D91" s="102" t="s">
        <v>65</v>
      </c>
      <c r="E91" s="25">
        <v>8</v>
      </c>
      <c r="F91" s="25">
        <v>8</v>
      </c>
      <c r="G91" s="14"/>
      <c r="H91" s="26">
        <v>0</v>
      </c>
      <c r="I91" s="14"/>
    </row>
    <row r="92" spans="1:9" ht="15" customHeight="1" x14ac:dyDescent="0.25">
      <c r="A92" s="14"/>
      <c r="B92" s="111" t="s">
        <v>14</v>
      </c>
      <c r="C92" s="111" t="s">
        <v>14</v>
      </c>
      <c r="D92" s="102" t="s">
        <v>66</v>
      </c>
      <c r="E92" s="25">
        <v>8</v>
      </c>
      <c r="F92" s="25">
        <v>8</v>
      </c>
      <c r="G92" s="14"/>
      <c r="H92" s="26">
        <v>0</v>
      </c>
      <c r="I92" s="14"/>
    </row>
    <row r="93" spans="1:9" ht="15" customHeight="1" x14ac:dyDescent="0.25">
      <c r="A93" s="14"/>
      <c r="B93" s="111" t="s">
        <v>217</v>
      </c>
      <c r="C93" s="111" t="s">
        <v>217</v>
      </c>
      <c r="D93" s="102" t="s">
        <v>68</v>
      </c>
      <c r="E93" s="25">
        <v>3</v>
      </c>
      <c r="F93" s="25">
        <v>4</v>
      </c>
      <c r="G93" s="14"/>
      <c r="H93" s="26">
        <v>0</v>
      </c>
      <c r="I93" s="14"/>
    </row>
    <row r="94" spans="1:9" ht="15" customHeight="1" x14ac:dyDescent="0.25">
      <c r="A94" s="14"/>
      <c r="B94" s="111" t="s">
        <v>223</v>
      </c>
      <c r="C94" s="111" t="s">
        <v>223</v>
      </c>
      <c r="D94" s="102" t="s">
        <v>70</v>
      </c>
      <c r="E94" s="25">
        <v>6</v>
      </c>
      <c r="F94" s="25">
        <v>8</v>
      </c>
      <c r="G94" s="14"/>
      <c r="H94" s="26">
        <v>0</v>
      </c>
      <c r="I94" s="14"/>
    </row>
    <row r="95" spans="1:9" ht="15" customHeight="1" x14ac:dyDescent="0.25">
      <c r="A95" s="14"/>
      <c r="B95" s="111" t="s">
        <v>223</v>
      </c>
      <c r="C95" s="111" t="s">
        <v>223</v>
      </c>
      <c r="D95" s="102" t="s">
        <v>72</v>
      </c>
      <c r="E95" s="25">
        <v>2</v>
      </c>
      <c r="F95" s="25">
        <v>3</v>
      </c>
      <c r="G95" s="14"/>
      <c r="H95" s="26">
        <v>0</v>
      </c>
      <c r="I95" s="14"/>
    </row>
    <row r="96" spans="1:9" ht="15" customHeight="1" x14ac:dyDescent="0.25">
      <c r="A96" s="14"/>
      <c r="B96" s="111" t="s">
        <v>208</v>
      </c>
      <c r="C96" s="111" t="s">
        <v>208</v>
      </c>
      <c r="D96" s="102" t="s">
        <v>73</v>
      </c>
      <c r="E96" s="25">
        <v>3</v>
      </c>
      <c r="F96" s="25">
        <v>4</v>
      </c>
      <c r="G96" s="14"/>
      <c r="H96" s="26">
        <v>0</v>
      </c>
      <c r="I96" s="14"/>
    </row>
    <row r="97" spans="1:9" ht="15" customHeight="1" x14ac:dyDescent="0.25">
      <c r="A97" s="14"/>
      <c r="B97" s="111" t="s">
        <v>224</v>
      </c>
      <c r="C97" s="111" t="s">
        <v>224</v>
      </c>
      <c r="D97" s="102" t="s">
        <v>142</v>
      </c>
      <c r="E97" s="25">
        <v>2</v>
      </c>
      <c r="F97" s="25">
        <v>2</v>
      </c>
      <c r="G97" s="14"/>
      <c r="H97" s="26">
        <v>0</v>
      </c>
      <c r="I97" s="14"/>
    </row>
    <row r="98" spans="1:9" ht="15" customHeight="1" x14ac:dyDescent="0.25">
      <c r="A98" s="14"/>
      <c r="B98" s="114" t="s">
        <v>226</v>
      </c>
      <c r="C98" s="114" t="s">
        <v>226</v>
      </c>
      <c r="D98" s="113" t="s">
        <v>142</v>
      </c>
      <c r="E98" s="112">
        <v>8</v>
      </c>
      <c r="F98" s="112">
        <v>10</v>
      </c>
      <c r="G98" s="14"/>
      <c r="H98" s="26">
        <v>0</v>
      </c>
      <c r="I98" s="14"/>
    </row>
    <row r="99" spans="1:9" ht="15" customHeight="1" x14ac:dyDescent="0.25">
      <c r="A99" s="14"/>
      <c r="B99" s="111" t="s">
        <v>226</v>
      </c>
      <c r="C99" s="111" t="s">
        <v>226</v>
      </c>
      <c r="D99" s="102" t="s">
        <v>75</v>
      </c>
      <c r="E99" s="25">
        <v>6</v>
      </c>
      <c r="F99" s="25">
        <v>8</v>
      </c>
      <c r="G99" s="14"/>
      <c r="H99" s="26">
        <v>0</v>
      </c>
      <c r="I99" s="14"/>
    </row>
    <row r="100" spans="1:9" ht="15" customHeight="1" x14ac:dyDescent="0.25">
      <c r="A100" s="14"/>
      <c r="B100" s="111" t="s">
        <v>226</v>
      </c>
      <c r="C100" s="111" t="s">
        <v>226</v>
      </c>
      <c r="D100" s="102" t="s">
        <v>149</v>
      </c>
      <c r="E100" s="25">
        <v>1</v>
      </c>
      <c r="F100" s="25">
        <v>1.5</v>
      </c>
      <c r="G100" s="14"/>
      <c r="H100" s="26">
        <v>0</v>
      </c>
      <c r="I100" s="14"/>
    </row>
    <row r="101" spans="1:9" ht="15" customHeight="1" x14ac:dyDescent="0.25">
      <c r="A101" s="14"/>
      <c r="B101" s="111" t="s">
        <v>226</v>
      </c>
      <c r="C101" s="111" t="s">
        <v>226</v>
      </c>
      <c r="D101" s="102" t="s">
        <v>77</v>
      </c>
      <c r="E101" s="25">
        <v>8</v>
      </c>
      <c r="F101" s="25">
        <v>10</v>
      </c>
      <c r="G101" s="14"/>
      <c r="H101" s="26">
        <v>0</v>
      </c>
      <c r="I101" s="14"/>
    </row>
    <row r="102" spans="1:9" ht="15" customHeight="1" x14ac:dyDescent="0.25">
      <c r="A102" s="14"/>
      <c r="B102" s="111" t="s">
        <v>226</v>
      </c>
      <c r="C102" s="111" t="s">
        <v>226</v>
      </c>
      <c r="D102" s="102" t="s">
        <v>79</v>
      </c>
      <c r="E102" s="25">
        <v>8</v>
      </c>
      <c r="F102" s="25">
        <v>10</v>
      </c>
      <c r="G102" s="14"/>
      <c r="H102" s="26">
        <v>0</v>
      </c>
      <c r="I102" s="14"/>
    </row>
    <row r="103" spans="1:9" ht="15" customHeight="1" x14ac:dyDescent="0.25">
      <c r="A103" s="14"/>
      <c r="B103" s="114" t="s">
        <v>226</v>
      </c>
      <c r="C103" s="114" t="s">
        <v>226</v>
      </c>
      <c r="D103" s="113" t="s">
        <v>143</v>
      </c>
      <c r="E103" s="112">
        <v>4</v>
      </c>
      <c r="F103" s="112">
        <v>5</v>
      </c>
      <c r="G103" s="14"/>
      <c r="H103" s="26">
        <v>0</v>
      </c>
      <c r="I103" s="14"/>
    </row>
    <row r="104" spans="1:9" ht="15" customHeight="1" x14ac:dyDescent="0.25">
      <c r="A104" s="14"/>
      <c r="B104" s="111" t="s">
        <v>208</v>
      </c>
      <c r="C104" s="111" t="s">
        <v>208</v>
      </c>
      <c r="D104" s="102" t="s">
        <v>80</v>
      </c>
      <c r="E104" s="25">
        <v>1.5</v>
      </c>
      <c r="F104" s="25">
        <v>2.5</v>
      </c>
      <c r="G104" s="14"/>
      <c r="H104" s="26">
        <v>0</v>
      </c>
      <c r="I104" s="14"/>
    </row>
    <row r="105" spans="1:9" ht="15" customHeight="1" x14ac:dyDescent="0.25">
      <c r="A105" s="14"/>
      <c r="B105" s="111" t="s">
        <v>228</v>
      </c>
      <c r="C105" s="111" t="s">
        <v>228</v>
      </c>
      <c r="D105" s="102" t="s">
        <v>81</v>
      </c>
      <c r="E105" s="25">
        <v>6</v>
      </c>
      <c r="F105" s="25">
        <v>8</v>
      </c>
      <c r="G105" s="14"/>
      <c r="H105" s="26">
        <v>0</v>
      </c>
      <c r="I105" s="14"/>
    </row>
    <row r="106" spans="1:9" ht="15" customHeight="1" x14ac:dyDescent="0.25">
      <c r="A106" s="14"/>
      <c r="B106" s="111" t="s">
        <v>228</v>
      </c>
      <c r="C106" s="111" t="s">
        <v>228</v>
      </c>
      <c r="D106" s="102" t="s">
        <v>82</v>
      </c>
      <c r="E106" s="25">
        <v>6</v>
      </c>
      <c r="F106" s="25">
        <v>8</v>
      </c>
      <c r="G106" s="14"/>
      <c r="H106" s="26">
        <v>0</v>
      </c>
      <c r="I106" s="14"/>
    </row>
    <row r="107" spans="1:9" ht="15" customHeight="1" x14ac:dyDescent="0.25">
      <c r="A107" s="14"/>
      <c r="B107" s="111" t="s">
        <v>228</v>
      </c>
      <c r="C107" s="111" t="s">
        <v>228</v>
      </c>
      <c r="D107" s="102" t="s">
        <v>144</v>
      </c>
      <c r="E107" s="25" t="s">
        <v>229</v>
      </c>
      <c r="F107" s="25" t="s">
        <v>229</v>
      </c>
      <c r="G107" s="14"/>
      <c r="H107" s="26">
        <v>0</v>
      </c>
      <c r="I107" s="14"/>
    </row>
    <row r="108" spans="1:9" ht="15" customHeight="1" x14ac:dyDescent="0.25">
      <c r="A108" s="14"/>
      <c r="B108" s="111" t="s">
        <v>228</v>
      </c>
      <c r="C108" s="111" t="s">
        <v>228</v>
      </c>
      <c r="D108" s="102" t="s">
        <v>120</v>
      </c>
      <c r="E108" s="25" t="s">
        <v>212</v>
      </c>
      <c r="F108" s="25">
        <v>8</v>
      </c>
      <c r="G108" s="14"/>
      <c r="H108" s="26">
        <v>0</v>
      </c>
      <c r="I108" s="14"/>
    </row>
    <row r="109" spans="1:9" ht="15" customHeight="1" x14ac:dyDescent="0.25">
      <c r="A109" s="14"/>
      <c r="B109" s="111" t="s">
        <v>228</v>
      </c>
      <c r="C109" s="111" t="s">
        <v>228</v>
      </c>
      <c r="D109" s="102" t="s">
        <v>84</v>
      </c>
      <c r="E109" s="25">
        <v>2</v>
      </c>
      <c r="F109" s="25">
        <v>3</v>
      </c>
      <c r="G109" s="14"/>
      <c r="H109" s="26">
        <v>0</v>
      </c>
      <c r="I109" s="14"/>
    </row>
    <row r="110" spans="1:9" ht="15" customHeight="1" x14ac:dyDescent="0.25">
      <c r="A110" s="14"/>
      <c r="B110" s="111" t="s">
        <v>228</v>
      </c>
      <c r="C110" s="111" t="s">
        <v>228</v>
      </c>
      <c r="D110" s="102" t="s">
        <v>85</v>
      </c>
      <c r="E110" s="25">
        <v>2</v>
      </c>
      <c r="F110" s="25">
        <v>4</v>
      </c>
      <c r="G110" s="14"/>
      <c r="H110" s="26">
        <v>0</v>
      </c>
      <c r="I110" s="14"/>
    </row>
    <row r="111" spans="1:9" ht="15" customHeight="1" x14ac:dyDescent="0.25">
      <c r="A111" s="14"/>
      <c r="B111" s="111" t="s">
        <v>228</v>
      </c>
      <c r="C111" s="111" t="s">
        <v>228</v>
      </c>
      <c r="D111" s="102" t="s">
        <v>145</v>
      </c>
      <c r="E111" s="25" t="s">
        <v>229</v>
      </c>
      <c r="F111" s="25" t="s">
        <v>229</v>
      </c>
      <c r="G111" s="14"/>
      <c r="H111" s="26">
        <v>0</v>
      </c>
      <c r="I111" s="14"/>
    </row>
    <row r="112" spans="1:9" ht="15" customHeight="1" x14ac:dyDescent="0.25">
      <c r="A112" s="14"/>
      <c r="B112" s="111" t="s">
        <v>228</v>
      </c>
      <c r="C112" s="111" t="s">
        <v>228</v>
      </c>
      <c r="D112" s="102" t="s">
        <v>87</v>
      </c>
      <c r="E112" s="25">
        <v>6</v>
      </c>
      <c r="F112" s="25">
        <v>8</v>
      </c>
      <c r="G112" s="14"/>
      <c r="H112" s="26">
        <v>0</v>
      </c>
      <c r="I112" s="14"/>
    </row>
    <row r="113" spans="1:9" ht="15" customHeight="1" x14ac:dyDescent="0.25">
      <c r="A113" s="14"/>
      <c r="B113" s="111" t="s">
        <v>228</v>
      </c>
      <c r="C113" s="111" t="s">
        <v>228</v>
      </c>
      <c r="D113" s="102" t="s">
        <v>88</v>
      </c>
      <c r="E113" s="25">
        <v>4</v>
      </c>
      <c r="F113" s="25">
        <v>6</v>
      </c>
      <c r="G113" s="14"/>
      <c r="H113" s="26">
        <v>0</v>
      </c>
      <c r="I113" s="14"/>
    </row>
    <row r="114" spans="1:9" ht="15" customHeight="1" x14ac:dyDescent="0.25">
      <c r="A114" s="14"/>
      <c r="B114" s="111" t="s">
        <v>200</v>
      </c>
      <c r="C114" s="111" t="s">
        <v>200</v>
      </c>
      <c r="D114" s="102" t="s">
        <v>89</v>
      </c>
      <c r="E114" s="25">
        <v>4</v>
      </c>
      <c r="F114" s="25">
        <v>6</v>
      </c>
      <c r="G114" s="14"/>
      <c r="H114" s="26">
        <v>0</v>
      </c>
      <c r="I114" s="14"/>
    </row>
    <row r="115" spans="1:9" ht="15" customHeight="1" x14ac:dyDescent="0.25">
      <c r="A115" s="14"/>
      <c r="B115" s="111" t="s">
        <v>208</v>
      </c>
      <c r="C115" s="111" t="s">
        <v>208</v>
      </c>
      <c r="D115" s="102" t="s">
        <v>92</v>
      </c>
      <c r="E115" s="25">
        <v>8</v>
      </c>
      <c r="F115" s="25">
        <v>10</v>
      </c>
      <c r="G115" s="14"/>
      <c r="H115" s="26">
        <v>0</v>
      </c>
      <c r="I115" s="14"/>
    </row>
    <row r="116" spans="1:9" ht="15" customHeight="1" x14ac:dyDescent="0.25">
      <c r="A116" s="14"/>
      <c r="B116" s="111" t="s">
        <v>208</v>
      </c>
      <c r="C116" s="111" t="s">
        <v>208</v>
      </c>
      <c r="D116" s="102" t="s">
        <v>96</v>
      </c>
      <c r="E116" s="25">
        <v>4</v>
      </c>
      <c r="F116" s="25">
        <v>5</v>
      </c>
      <c r="G116" s="14"/>
      <c r="H116" s="26">
        <v>0</v>
      </c>
      <c r="I116" s="14"/>
    </row>
    <row r="117" spans="1:9" ht="15" customHeight="1" x14ac:dyDescent="0.25">
      <c r="A117" s="14"/>
      <c r="B117" s="114" t="s">
        <v>208</v>
      </c>
      <c r="C117" s="114" t="s">
        <v>208</v>
      </c>
      <c r="D117" s="113" t="s">
        <v>146</v>
      </c>
      <c r="E117" s="112">
        <v>80</v>
      </c>
      <c r="F117" s="112">
        <v>80</v>
      </c>
      <c r="G117" s="14"/>
      <c r="H117" s="26">
        <v>0</v>
      </c>
      <c r="I117" s="14"/>
    </row>
    <row r="118" spans="1:9" ht="15" customHeight="1" x14ac:dyDescent="0.25">
      <c r="A118" s="14"/>
      <c r="B118" s="111" t="s">
        <v>231</v>
      </c>
      <c r="C118" s="111" t="s">
        <v>231</v>
      </c>
      <c r="D118" s="102" t="s">
        <v>97</v>
      </c>
      <c r="E118" s="25">
        <v>8</v>
      </c>
      <c r="F118" s="25">
        <v>10</v>
      </c>
      <c r="G118" s="14"/>
      <c r="H118" s="26">
        <v>0</v>
      </c>
      <c r="I118" s="14"/>
    </row>
    <row r="119" spans="1:9" ht="15" customHeight="1" x14ac:dyDescent="0.25">
      <c r="A119" s="14"/>
      <c r="B119" s="111" t="s">
        <v>209</v>
      </c>
      <c r="C119" s="111" t="s">
        <v>209</v>
      </c>
      <c r="D119" s="102" t="s">
        <v>150</v>
      </c>
      <c r="E119" s="25">
        <v>3</v>
      </c>
      <c r="F119" s="25">
        <v>4</v>
      </c>
      <c r="G119" s="14"/>
      <c r="H119" s="26">
        <v>0</v>
      </c>
      <c r="I119" s="14"/>
    </row>
    <row r="120" spans="1:9" ht="15" customHeight="1" x14ac:dyDescent="0.25">
      <c r="A120" s="14"/>
      <c r="B120" s="111" t="s">
        <v>234</v>
      </c>
      <c r="C120" s="111" t="s">
        <v>234</v>
      </c>
      <c r="D120" s="102" t="s">
        <v>98</v>
      </c>
      <c r="E120" s="25">
        <v>8</v>
      </c>
      <c r="F120" s="25">
        <v>8</v>
      </c>
      <c r="G120" s="14"/>
      <c r="H120" s="26">
        <v>0</v>
      </c>
      <c r="I120" s="14"/>
    </row>
    <row r="121" spans="1:9" ht="15" customHeight="1" x14ac:dyDescent="0.25">
      <c r="A121" s="14"/>
      <c r="B121" s="111">
        <v>7.6</v>
      </c>
      <c r="C121" s="111">
        <v>7.6</v>
      </c>
      <c r="D121" s="102" t="s">
        <v>150</v>
      </c>
      <c r="E121" s="115">
        <v>3</v>
      </c>
      <c r="F121" s="115">
        <v>4</v>
      </c>
      <c r="G121" s="14"/>
      <c r="H121" s="26">
        <v>0</v>
      </c>
      <c r="I121" s="14"/>
    </row>
    <row r="122" spans="1:9" ht="15" customHeight="1" x14ac:dyDescent="0.25">
      <c r="A122" s="14"/>
      <c r="B122" s="111">
        <v>7.17</v>
      </c>
      <c r="C122" s="111">
        <v>7.17</v>
      </c>
      <c r="D122" s="102" t="s">
        <v>98</v>
      </c>
      <c r="E122" s="115">
        <v>8</v>
      </c>
      <c r="F122" s="115">
        <v>8</v>
      </c>
      <c r="G122" s="14"/>
      <c r="H122" s="26">
        <v>0</v>
      </c>
      <c r="I122" s="14"/>
    </row>
    <row r="123" spans="1:9" ht="15" customHeight="1" x14ac:dyDescent="0.25">
      <c r="A123" s="14"/>
      <c r="B123" s="111">
        <v>7.17</v>
      </c>
      <c r="C123" s="111">
        <v>7.17</v>
      </c>
      <c r="D123" s="102" t="s">
        <v>98</v>
      </c>
      <c r="E123" s="115">
        <v>8</v>
      </c>
      <c r="F123" s="115">
        <v>8</v>
      </c>
      <c r="G123" s="14"/>
      <c r="H123" s="26">
        <v>0</v>
      </c>
      <c r="I123" s="14"/>
    </row>
    <row r="124" spans="1:9" ht="15" customHeight="1" x14ac:dyDescent="0.25">
      <c r="A124" s="14"/>
      <c r="B124" s="112"/>
      <c r="C124" s="112"/>
      <c r="D124" s="4"/>
      <c r="E124" s="116"/>
      <c r="F124" s="116"/>
      <c r="G124" s="14"/>
      <c r="I124" s="14"/>
    </row>
    <row r="125" spans="1:9" ht="15" customHeight="1" x14ac:dyDescent="0.25">
      <c r="A125" s="14"/>
      <c r="B125" s="112"/>
      <c r="C125" s="112"/>
      <c r="D125" s="4"/>
      <c r="E125" s="116"/>
      <c r="F125" s="116"/>
      <c r="G125" s="14"/>
      <c r="I125" s="14"/>
    </row>
    <row r="126" spans="1:9" ht="15" customHeight="1" x14ac:dyDescent="0.25">
      <c r="A126" s="14"/>
      <c r="B126" s="112"/>
      <c r="C126" s="112"/>
      <c r="D126" s="4"/>
      <c r="E126" s="116"/>
      <c r="F126" s="116"/>
      <c r="G126" s="14"/>
      <c r="I126" s="14"/>
    </row>
    <row r="127" spans="1:9" ht="15" customHeight="1" x14ac:dyDescent="0.25">
      <c r="A127" s="14"/>
      <c r="B127" s="112"/>
      <c r="C127" s="112"/>
      <c r="D127" s="4"/>
      <c r="E127" s="116"/>
      <c r="F127" s="116"/>
      <c r="G127" s="14"/>
      <c r="I127" s="14"/>
    </row>
    <row r="128" spans="1:9" ht="15" customHeight="1" x14ac:dyDescent="0.25">
      <c r="A128" s="14"/>
      <c r="B128" s="112"/>
      <c r="C128" s="112"/>
      <c r="D128" s="4"/>
      <c r="E128" s="116"/>
      <c r="F128" s="116"/>
      <c r="G128" s="14"/>
      <c r="I128" s="14"/>
    </row>
    <row r="129" spans="1:9" ht="15" customHeight="1" x14ac:dyDescent="0.25">
      <c r="A129" s="14"/>
      <c r="B129" s="112"/>
      <c r="C129" s="112"/>
      <c r="D129" s="4"/>
      <c r="E129" s="116"/>
      <c r="F129" s="116"/>
      <c r="G129" s="14"/>
      <c r="I129" s="14"/>
    </row>
    <row r="130" spans="1:9" ht="15" customHeight="1" x14ac:dyDescent="0.25">
      <c r="A130" s="14"/>
      <c r="B130" s="112"/>
      <c r="C130" s="112"/>
      <c r="D130" s="4"/>
      <c r="E130" s="116"/>
      <c r="F130" s="116"/>
      <c r="G130" s="14"/>
      <c r="I130" s="14"/>
    </row>
    <row r="131" spans="1:9" ht="15" customHeight="1" x14ac:dyDescent="0.25">
      <c r="A131" s="14"/>
      <c r="B131" s="112"/>
      <c r="C131" s="112"/>
      <c r="D131" s="4"/>
      <c r="E131" s="116"/>
      <c r="F131" s="116"/>
      <c r="G131" s="14"/>
      <c r="I131" s="14"/>
    </row>
    <row r="132" spans="1:9" ht="15" customHeight="1" x14ac:dyDescent="0.25">
      <c r="A132" s="14"/>
      <c r="B132" s="112"/>
      <c r="C132" s="112"/>
      <c r="D132" s="4"/>
      <c r="E132" s="116"/>
      <c r="F132" s="116"/>
      <c r="G132" s="14"/>
      <c r="I132" s="14"/>
    </row>
    <row r="133" spans="1:9" ht="15" customHeight="1" x14ac:dyDescent="0.25">
      <c r="A133" s="14"/>
      <c r="B133" s="112"/>
      <c r="C133" s="112"/>
      <c r="D133" s="4"/>
      <c r="E133" s="116"/>
      <c r="F133" s="116"/>
      <c r="G133" s="14"/>
      <c r="I133" s="14"/>
    </row>
    <row r="134" spans="1:9" ht="15" customHeight="1" x14ac:dyDescent="0.25">
      <c r="A134" s="14"/>
      <c r="B134" s="112"/>
      <c r="C134" s="112"/>
      <c r="D134" s="4"/>
      <c r="E134" s="116"/>
      <c r="F134" s="116"/>
      <c r="G134" s="14"/>
      <c r="I134" s="14"/>
    </row>
    <row r="135" spans="1:9" ht="15" customHeight="1" x14ac:dyDescent="0.25">
      <c r="A135" s="14"/>
      <c r="B135" s="112"/>
      <c r="C135" s="112"/>
      <c r="D135" s="4"/>
      <c r="E135" s="116"/>
      <c r="F135" s="116"/>
      <c r="G135" s="14"/>
      <c r="I135" s="14"/>
    </row>
    <row r="136" spans="1:9" ht="15" customHeight="1" x14ac:dyDescent="0.25">
      <c r="A136" s="14"/>
      <c r="B136" s="112"/>
      <c r="C136" s="112"/>
      <c r="D136" s="4"/>
      <c r="E136" s="116"/>
      <c r="F136" s="116"/>
      <c r="G136" s="14"/>
      <c r="I136" s="14"/>
    </row>
    <row r="137" spans="1:9" ht="15" customHeight="1" x14ac:dyDescent="0.25">
      <c r="A137" s="14"/>
      <c r="B137" s="112"/>
      <c r="C137" s="112"/>
      <c r="D137" s="4"/>
      <c r="E137" s="116"/>
      <c r="F137" s="116"/>
      <c r="G137" s="14"/>
      <c r="I137" s="14"/>
    </row>
    <row r="138" spans="1:9" ht="15" customHeight="1" x14ac:dyDescent="0.25">
      <c r="A138" s="14"/>
      <c r="B138" s="112"/>
      <c r="C138" s="112"/>
      <c r="D138" s="4"/>
      <c r="E138" s="116"/>
      <c r="F138" s="116"/>
      <c r="G138" s="14"/>
      <c r="I138" s="14"/>
    </row>
    <row r="139" spans="1:9" ht="15" customHeight="1" x14ac:dyDescent="0.25">
      <c r="A139" s="14"/>
      <c r="B139" s="112"/>
      <c r="C139" s="112"/>
      <c r="D139" s="4"/>
      <c r="E139" s="116"/>
      <c r="F139" s="116"/>
      <c r="G139" s="14"/>
      <c r="I139" s="14"/>
    </row>
    <row r="140" spans="1:9" ht="15" customHeight="1" x14ac:dyDescent="0.25">
      <c r="A140" s="14"/>
      <c r="B140" s="112"/>
      <c r="C140" s="112"/>
      <c r="D140" s="4"/>
      <c r="E140" s="116"/>
      <c r="F140" s="116"/>
      <c r="G140" s="14"/>
      <c r="I140" s="14"/>
    </row>
    <row r="141" spans="1:9" ht="15" customHeight="1" x14ac:dyDescent="0.25">
      <c r="A141" s="14"/>
      <c r="B141" s="112"/>
      <c r="C141" s="112"/>
      <c r="D141" s="4"/>
      <c r="E141" s="116"/>
      <c r="F141" s="116"/>
      <c r="G141" s="14"/>
      <c r="I141" s="14"/>
    </row>
    <row r="142" spans="1:9" ht="15" customHeight="1" x14ac:dyDescent="0.25">
      <c r="A142" s="14"/>
      <c r="B142" s="112"/>
      <c r="C142" s="112"/>
      <c r="D142" s="4"/>
      <c r="E142" s="116"/>
      <c r="F142" s="116"/>
      <c r="G142" s="14"/>
      <c r="I142" s="14"/>
    </row>
    <row r="143" spans="1:9" ht="15" customHeight="1" x14ac:dyDescent="0.25">
      <c r="A143" s="14"/>
      <c r="B143" s="112"/>
      <c r="C143" s="112"/>
      <c r="D143" s="4"/>
      <c r="E143" s="116"/>
      <c r="F143" s="116"/>
      <c r="G143" s="14"/>
      <c r="I143" s="14"/>
    </row>
    <row r="144" spans="1:9" ht="15" customHeight="1" x14ac:dyDescent="0.25">
      <c r="A144" s="14"/>
      <c r="B144" s="112"/>
      <c r="C144" s="112"/>
      <c r="D144" s="4"/>
      <c r="E144" s="116"/>
      <c r="F144" s="116"/>
      <c r="G144" s="14"/>
      <c r="I144" s="14"/>
    </row>
    <row r="145" spans="1:9" ht="15" customHeight="1" x14ac:dyDescent="0.25">
      <c r="A145" s="14"/>
      <c r="B145" s="112"/>
      <c r="C145" s="112"/>
      <c r="D145" s="4"/>
      <c r="E145" s="116"/>
      <c r="F145" s="116"/>
      <c r="G145" s="14"/>
      <c r="I145" s="14"/>
    </row>
    <row r="146" spans="1:9" ht="15" customHeight="1" x14ac:dyDescent="0.25">
      <c r="A146" s="14"/>
      <c r="B146" s="112"/>
      <c r="C146" s="112"/>
      <c r="D146" s="4"/>
      <c r="E146" s="116"/>
      <c r="F146" s="116"/>
      <c r="G146" s="14"/>
      <c r="I146" s="14"/>
    </row>
    <row r="147" spans="1:9" ht="15" customHeight="1" x14ac:dyDescent="0.25">
      <c r="A147" s="14"/>
      <c r="B147" s="112"/>
      <c r="C147" s="112"/>
      <c r="D147" s="4"/>
      <c r="E147" s="116"/>
      <c r="F147" s="116"/>
      <c r="G147" s="14"/>
      <c r="I147" s="14"/>
    </row>
    <row r="148" spans="1:9" ht="15" customHeight="1" x14ac:dyDescent="0.25">
      <c r="A148" s="14"/>
      <c r="B148" s="112"/>
      <c r="C148" s="112"/>
      <c r="D148" s="4"/>
      <c r="E148" s="116"/>
      <c r="F148" s="116"/>
      <c r="G148" s="14"/>
      <c r="I148" s="14"/>
    </row>
    <row r="149" spans="1:9" ht="15" customHeight="1" x14ac:dyDescent="0.25">
      <c r="A149" s="14"/>
      <c r="B149" s="112"/>
      <c r="C149" s="112"/>
      <c r="D149" s="4"/>
      <c r="E149" s="116"/>
      <c r="F149" s="116"/>
      <c r="G149" s="14"/>
      <c r="I149" s="14"/>
    </row>
    <row r="150" spans="1:9" ht="15" customHeight="1" x14ac:dyDescent="0.25">
      <c r="A150" s="14"/>
      <c r="B150" s="112"/>
      <c r="C150" s="112"/>
      <c r="D150" s="4"/>
      <c r="E150" s="116"/>
      <c r="F150" s="116"/>
      <c r="G150" s="14"/>
      <c r="I150" s="14"/>
    </row>
    <row r="151" spans="1:9" ht="15" customHeight="1" x14ac:dyDescent="0.25">
      <c r="A151" s="14"/>
      <c r="B151" s="112"/>
      <c r="C151" s="112"/>
      <c r="D151" s="4"/>
      <c r="E151" s="116"/>
      <c r="F151" s="116"/>
      <c r="G151" s="14"/>
      <c r="I151" s="14"/>
    </row>
    <row r="152" spans="1:9" ht="15" customHeight="1" x14ac:dyDescent="0.25">
      <c r="A152" s="14"/>
      <c r="B152" s="112"/>
      <c r="C152" s="112"/>
      <c r="D152" s="4"/>
      <c r="E152" s="116"/>
      <c r="F152" s="116"/>
      <c r="G152" s="14"/>
      <c r="I152" s="14"/>
    </row>
    <row r="153" spans="1:9" ht="15" customHeight="1" x14ac:dyDescent="0.25">
      <c r="A153" s="14"/>
      <c r="B153" s="112"/>
      <c r="C153" s="112"/>
      <c r="D153" s="4"/>
      <c r="E153" s="116"/>
      <c r="F153" s="116"/>
      <c r="G153" s="14"/>
      <c r="I153" s="14"/>
    </row>
    <row r="154" spans="1:9" ht="15" customHeight="1" x14ac:dyDescent="0.25">
      <c r="A154" s="14"/>
      <c r="B154" s="112"/>
      <c r="C154" s="112"/>
      <c r="D154" s="4"/>
      <c r="E154" s="116"/>
      <c r="F154" s="116"/>
      <c r="G154" s="14"/>
      <c r="I154" s="14"/>
    </row>
    <row r="155" spans="1:9" ht="15" customHeight="1" x14ac:dyDescent="0.25">
      <c r="A155" s="14"/>
      <c r="B155" s="112"/>
      <c r="C155" s="112"/>
      <c r="D155" s="4"/>
      <c r="E155" s="116"/>
      <c r="F155" s="116"/>
      <c r="G155" s="14"/>
      <c r="I155" s="14"/>
    </row>
    <row r="156" spans="1:9" ht="15" customHeight="1" x14ac:dyDescent="0.25">
      <c r="A156" s="14"/>
      <c r="B156" s="112"/>
      <c r="C156" s="112"/>
      <c r="D156" s="4"/>
      <c r="E156" s="116"/>
      <c r="F156" s="116"/>
      <c r="G156" s="14"/>
      <c r="I156" s="14"/>
    </row>
    <row r="157" spans="1:9" ht="15" customHeight="1" x14ac:dyDescent="0.25">
      <c r="A157" s="14"/>
      <c r="B157" s="112"/>
      <c r="C157" s="112"/>
      <c r="D157" s="4"/>
      <c r="E157" s="116"/>
      <c r="F157" s="116"/>
      <c r="G157" s="14"/>
      <c r="I157" s="14"/>
    </row>
    <row r="158" spans="1:9" ht="15" customHeight="1" x14ac:dyDescent="0.25">
      <c r="A158" s="14"/>
      <c r="B158" s="112"/>
      <c r="C158" s="112"/>
      <c r="D158" s="4"/>
      <c r="E158" s="116"/>
      <c r="F158" s="116"/>
      <c r="G158" s="14"/>
      <c r="I158" s="14"/>
    </row>
    <row r="159" spans="1:9" ht="15" customHeight="1" x14ac:dyDescent="0.25">
      <c r="A159" s="14"/>
      <c r="B159" s="112"/>
      <c r="C159" s="112"/>
      <c r="D159" s="4"/>
      <c r="E159" s="116"/>
      <c r="F159" s="116"/>
      <c r="G159" s="14"/>
      <c r="I159" s="14"/>
    </row>
    <row r="160" spans="1:9" ht="15" customHeight="1" x14ac:dyDescent="0.25">
      <c r="A160" s="14"/>
      <c r="B160" s="112"/>
      <c r="C160" s="112"/>
      <c r="D160" s="4"/>
      <c r="E160" s="116"/>
      <c r="F160" s="116"/>
      <c r="G160" s="14"/>
      <c r="I160" s="14"/>
    </row>
    <row r="161" spans="1:9" ht="15" customHeight="1" x14ac:dyDescent="0.25">
      <c r="A161" s="14"/>
      <c r="B161" s="112"/>
      <c r="C161" s="112"/>
      <c r="D161" s="4"/>
      <c r="E161" s="116"/>
      <c r="F161" s="116"/>
      <c r="G161" s="14"/>
      <c r="I161" s="14"/>
    </row>
    <row r="162" spans="1:9" ht="15" customHeight="1" x14ac:dyDescent="0.25">
      <c r="A162" s="14"/>
      <c r="B162" s="112"/>
      <c r="C162" s="112"/>
      <c r="D162" s="4"/>
      <c r="E162" s="116"/>
      <c r="F162" s="116"/>
      <c r="G162" s="14"/>
      <c r="I162" s="14"/>
    </row>
    <row r="163" spans="1:9" ht="15" customHeight="1" x14ac:dyDescent="0.25">
      <c r="A163" s="14"/>
      <c r="B163" s="112"/>
      <c r="C163" s="112"/>
      <c r="D163" s="4"/>
      <c r="E163" s="116"/>
      <c r="F163" s="116"/>
      <c r="G163" s="14"/>
      <c r="I163" s="14"/>
    </row>
    <row r="164" spans="1:9" ht="15" customHeight="1" x14ac:dyDescent="0.25">
      <c r="A164" s="14"/>
      <c r="B164" s="112"/>
      <c r="C164" s="112"/>
      <c r="D164" s="4"/>
      <c r="E164" s="116"/>
      <c r="F164" s="116"/>
      <c r="G164" s="14"/>
      <c r="I164" s="14"/>
    </row>
    <row r="165" spans="1:9" ht="15" customHeight="1" x14ac:dyDescent="0.25">
      <c r="A165" s="14"/>
      <c r="B165" s="112"/>
      <c r="C165" s="112"/>
      <c r="D165" s="4"/>
      <c r="E165" s="116"/>
      <c r="F165" s="116"/>
      <c r="G165" s="14"/>
      <c r="I165" s="14"/>
    </row>
    <row r="166" spans="1:9" ht="15" customHeight="1" x14ac:dyDescent="0.25">
      <c r="A166" s="14"/>
      <c r="B166" s="112"/>
      <c r="C166" s="112"/>
      <c r="D166" s="4"/>
      <c r="E166" s="116"/>
      <c r="F166" s="116"/>
      <c r="G166" s="14"/>
      <c r="I166" s="14"/>
    </row>
    <row r="167" spans="1:9" ht="15" customHeight="1" x14ac:dyDescent="0.25">
      <c r="A167" s="14"/>
      <c r="B167" s="112"/>
      <c r="C167" s="112"/>
      <c r="D167" s="4"/>
      <c r="E167" s="116"/>
      <c r="F167" s="116"/>
      <c r="G167" s="14"/>
      <c r="I167" s="14"/>
    </row>
    <row r="168" spans="1:9" ht="15" customHeight="1" x14ac:dyDescent="0.25">
      <c r="A168" s="14"/>
      <c r="B168" s="112"/>
      <c r="C168" s="112"/>
      <c r="D168" s="4"/>
      <c r="E168" s="116"/>
      <c r="F168" s="116"/>
      <c r="G168" s="14"/>
      <c r="I168" s="14"/>
    </row>
    <row r="169" spans="1:9" ht="15" customHeight="1" x14ac:dyDescent="0.25">
      <c r="A169" s="14"/>
      <c r="B169" s="112"/>
      <c r="C169" s="112"/>
      <c r="D169" s="4"/>
      <c r="E169" s="116"/>
      <c r="F169" s="116"/>
      <c r="G169" s="14"/>
      <c r="I169" s="14"/>
    </row>
    <row r="170" spans="1:9" ht="15" customHeight="1" x14ac:dyDescent="0.25">
      <c r="A170" s="14"/>
      <c r="B170" s="112"/>
      <c r="C170" s="112"/>
      <c r="D170" s="4"/>
      <c r="E170" s="116"/>
      <c r="F170" s="116"/>
      <c r="G170" s="14"/>
      <c r="I170" s="14"/>
    </row>
    <row r="171" spans="1:9" ht="15" customHeight="1" x14ac:dyDescent="0.25">
      <c r="A171" s="14"/>
      <c r="B171" s="112"/>
      <c r="C171" s="112"/>
      <c r="D171" s="4"/>
      <c r="E171" s="116"/>
      <c r="F171" s="116"/>
      <c r="G171" s="14"/>
      <c r="I171" s="14"/>
    </row>
    <row r="172" spans="1:9" ht="15" customHeight="1" x14ac:dyDescent="0.25">
      <c r="A172" s="14"/>
      <c r="B172" s="112"/>
      <c r="C172" s="112"/>
      <c r="D172" s="4"/>
      <c r="E172" s="116"/>
      <c r="F172" s="116"/>
      <c r="G172" s="14"/>
      <c r="I172" s="14"/>
    </row>
    <row r="173" spans="1:9" ht="15" customHeight="1" x14ac:dyDescent="0.25">
      <c r="A173" s="14"/>
      <c r="B173" s="112"/>
      <c r="C173" s="112"/>
      <c r="D173" s="4"/>
      <c r="E173" s="116"/>
      <c r="F173" s="116"/>
      <c r="G173" s="14"/>
      <c r="I173" s="14"/>
    </row>
    <row r="174" spans="1:9" ht="15" customHeight="1" x14ac:dyDescent="0.25">
      <c r="A174" s="14"/>
      <c r="B174" s="112"/>
      <c r="C174" s="112"/>
      <c r="D174" s="4"/>
      <c r="E174" s="116"/>
      <c r="F174" s="116"/>
      <c r="G174" s="14"/>
      <c r="I174" s="14"/>
    </row>
    <row r="175" spans="1:9" ht="15" customHeight="1" x14ac:dyDescent="0.25">
      <c r="A175" s="14"/>
      <c r="B175" s="112"/>
      <c r="C175" s="112"/>
      <c r="D175" s="4"/>
      <c r="E175" s="116"/>
      <c r="F175" s="116"/>
      <c r="G175" s="14"/>
      <c r="I175" s="14"/>
    </row>
    <row r="176" spans="1:9" ht="15" customHeight="1" x14ac:dyDescent="0.25">
      <c r="A176" s="14"/>
      <c r="B176" s="112"/>
      <c r="C176" s="112"/>
      <c r="D176" s="4"/>
      <c r="E176" s="116"/>
      <c r="F176" s="116"/>
      <c r="G176" s="14"/>
      <c r="I176" s="14"/>
    </row>
    <row r="177" spans="1:9" ht="15" customHeight="1" x14ac:dyDescent="0.25">
      <c r="A177" s="14"/>
      <c r="B177" s="112"/>
      <c r="C177" s="112"/>
      <c r="D177" s="4"/>
      <c r="E177" s="116"/>
      <c r="F177" s="116"/>
      <c r="G177" s="14"/>
      <c r="I177" s="14"/>
    </row>
    <row r="178" spans="1:9" ht="15" customHeight="1" x14ac:dyDescent="0.25">
      <c r="A178" s="14"/>
      <c r="B178" s="112"/>
      <c r="C178" s="112"/>
      <c r="D178" s="4"/>
      <c r="E178" s="116"/>
      <c r="F178" s="116"/>
      <c r="G178" s="14"/>
      <c r="I178" s="14"/>
    </row>
    <row r="179" spans="1:9" ht="15" customHeight="1" x14ac:dyDescent="0.25">
      <c r="A179" s="14"/>
      <c r="B179" s="112"/>
      <c r="C179" s="112"/>
      <c r="D179" s="4"/>
      <c r="E179" s="116"/>
      <c r="F179" s="116"/>
      <c r="G179" s="14"/>
      <c r="I179" s="14"/>
    </row>
    <row r="180" spans="1:9" ht="15" customHeight="1" x14ac:dyDescent="0.25">
      <c r="A180" s="14"/>
      <c r="B180" s="112"/>
      <c r="C180" s="112"/>
      <c r="D180" s="4"/>
      <c r="E180" s="116"/>
      <c r="F180" s="116"/>
      <c r="G180" s="14"/>
      <c r="I180" s="14"/>
    </row>
    <row r="181" spans="1:9" ht="15" customHeight="1" x14ac:dyDescent="0.25">
      <c r="A181" s="14"/>
      <c r="B181" s="112"/>
      <c r="C181" s="112"/>
      <c r="D181" s="4"/>
      <c r="E181" s="116"/>
      <c r="F181" s="116"/>
      <c r="G181" s="14"/>
      <c r="I181" s="14"/>
    </row>
    <row r="182" spans="1:9" ht="15" customHeight="1" x14ac:dyDescent="0.25">
      <c r="A182" s="14"/>
      <c r="B182" s="112"/>
      <c r="C182" s="112"/>
      <c r="D182" s="4"/>
      <c r="E182" s="116"/>
      <c r="F182" s="116"/>
      <c r="G182" s="14"/>
      <c r="I182" s="14"/>
    </row>
    <row r="183" spans="1:9" ht="15" customHeight="1" x14ac:dyDescent="0.25">
      <c r="A183" s="14"/>
      <c r="B183" s="112"/>
      <c r="C183" s="112"/>
      <c r="D183" s="4"/>
      <c r="E183" s="116"/>
      <c r="F183" s="116"/>
      <c r="G183" s="14"/>
      <c r="I183" s="14"/>
    </row>
    <row r="184" spans="1:9" ht="15" customHeight="1" x14ac:dyDescent="0.25">
      <c r="A184" s="14"/>
      <c r="B184" s="112"/>
      <c r="C184" s="112"/>
      <c r="D184" s="4"/>
      <c r="E184" s="116"/>
      <c r="F184" s="116"/>
      <c r="G184" s="14"/>
      <c r="I184" s="14"/>
    </row>
    <row r="185" spans="1:9" ht="15" customHeight="1" x14ac:dyDescent="0.25">
      <c r="A185" s="14"/>
      <c r="B185" s="112"/>
      <c r="C185" s="112"/>
      <c r="D185" s="4"/>
      <c r="E185" s="116"/>
      <c r="F185" s="116"/>
      <c r="G185" s="14"/>
      <c r="I185" s="14"/>
    </row>
    <row r="186" spans="1:9" ht="15" customHeight="1" x14ac:dyDescent="0.25">
      <c r="A186" s="14"/>
      <c r="B186" s="112"/>
      <c r="C186" s="112"/>
      <c r="D186" s="4"/>
      <c r="E186" s="116"/>
      <c r="F186" s="116"/>
      <c r="G186" s="14"/>
      <c r="I186" s="14"/>
    </row>
    <row r="187" spans="1:9" ht="15" customHeight="1" x14ac:dyDescent="0.25">
      <c r="A187" s="14"/>
      <c r="B187" s="112"/>
      <c r="C187" s="112"/>
      <c r="D187" s="4"/>
      <c r="E187" s="116"/>
      <c r="F187" s="116"/>
      <c r="G187" s="14"/>
      <c r="I187" s="14"/>
    </row>
    <row r="188" spans="1:9" ht="15" customHeight="1" x14ac:dyDescent="0.25">
      <c r="A188" s="14"/>
      <c r="B188" s="112"/>
      <c r="C188" s="112"/>
      <c r="D188" s="4"/>
      <c r="E188" s="116"/>
      <c r="F188" s="116"/>
      <c r="G188" s="14"/>
      <c r="I188" s="14"/>
    </row>
    <row r="189" spans="1:9" ht="15" customHeight="1" x14ac:dyDescent="0.25">
      <c r="A189" s="14"/>
      <c r="B189" s="112"/>
      <c r="C189" s="112"/>
      <c r="D189" s="4"/>
      <c r="E189" s="116"/>
      <c r="F189" s="116"/>
      <c r="G189" s="14"/>
      <c r="I189" s="14"/>
    </row>
    <row r="190" spans="1:9" ht="15" customHeight="1" x14ac:dyDescent="0.25">
      <c r="A190" s="14"/>
      <c r="B190" s="112"/>
      <c r="C190" s="112"/>
      <c r="D190" s="4"/>
      <c r="E190" s="116"/>
      <c r="F190" s="116"/>
      <c r="G190" s="14"/>
      <c r="I190" s="14"/>
    </row>
    <row r="191" spans="1:9" ht="15" customHeight="1" x14ac:dyDescent="0.25">
      <c r="A191" s="14"/>
      <c r="B191" s="112"/>
      <c r="C191" s="112"/>
      <c r="D191" s="4"/>
      <c r="E191" s="116"/>
      <c r="F191" s="116"/>
      <c r="G191" s="14"/>
      <c r="I191" s="14"/>
    </row>
    <row r="192" spans="1:9" ht="15" customHeight="1" x14ac:dyDescent="0.25">
      <c r="A192" s="14"/>
      <c r="B192" s="112"/>
      <c r="C192" s="112"/>
      <c r="D192" s="4"/>
      <c r="E192" s="116"/>
      <c r="F192" s="116"/>
      <c r="G192" s="14"/>
      <c r="I192" s="14"/>
    </row>
    <row r="193" spans="1:9" ht="15" customHeight="1" x14ac:dyDescent="0.25">
      <c r="A193" s="14"/>
      <c r="B193" s="112"/>
      <c r="C193" s="112"/>
      <c r="D193" s="4"/>
      <c r="E193" s="116"/>
      <c r="F193" s="116"/>
      <c r="G193" s="14"/>
      <c r="I193" s="14"/>
    </row>
    <row r="194" spans="1:9" ht="15" customHeight="1" x14ac:dyDescent="0.25">
      <c r="A194" s="14"/>
      <c r="B194" s="112"/>
      <c r="C194" s="112"/>
      <c r="D194" s="4"/>
      <c r="E194" s="116"/>
      <c r="F194" s="116"/>
      <c r="G194" s="14"/>
      <c r="I194" s="14"/>
    </row>
    <row r="195" spans="1:9" ht="15" customHeight="1" x14ac:dyDescent="0.25">
      <c r="A195" s="14"/>
      <c r="B195" s="112"/>
      <c r="C195" s="112"/>
      <c r="D195" s="4"/>
      <c r="E195" s="116"/>
      <c r="F195" s="116"/>
      <c r="G195" s="14"/>
      <c r="I195" s="14"/>
    </row>
    <row r="196" spans="1:9" ht="15" customHeight="1" x14ac:dyDescent="0.25">
      <c r="A196" s="14"/>
      <c r="B196" s="112"/>
      <c r="C196" s="112"/>
      <c r="D196" s="4"/>
      <c r="E196" s="116"/>
      <c r="F196" s="116"/>
      <c r="G196" s="14"/>
      <c r="I196" s="14"/>
    </row>
    <row r="197" spans="1:9" ht="15" customHeight="1" x14ac:dyDescent="0.25">
      <c r="A197" s="14"/>
      <c r="B197" s="112"/>
      <c r="C197" s="112"/>
      <c r="D197" s="4"/>
      <c r="E197" s="116"/>
      <c r="F197" s="116"/>
      <c r="G197" s="14"/>
      <c r="I197" s="14"/>
    </row>
    <row r="198" spans="1:9" ht="15" customHeight="1" x14ac:dyDescent="0.25">
      <c r="A198" s="14"/>
      <c r="B198" s="112"/>
      <c r="C198" s="112"/>
      <c r="D198" s="4"/>
      <c r="E198" s="116"/>
      <c r="F198" s="116"/>
      <c r="G198" s="14"/>
      <c r="I198" s="14"/>
    </row>
    <row r="199" spans="1:9" ht="15" customHeight="1" x14ac:dyDescent="0.25">
      <c r="A199" s="14"/>
      <c r="B199" s="112"/>
      <c r="C199" s="112"/>
      <c r="D199" s="4"/>
      <c r="E199" s="116"/>
      <c r="F199" s="116"/>
      <c r="G199" s="14"/>
      <c r="I199" s="14"/>
    </row>
    <row r="200" spans="1:9" ht="15" customHeight="1" x14ac:dyDescent="0.25">
      <c r="A200" s="14"/>
      <c r="B200" s="112"/>
      <c r="C200" s="112"/>
      <c r="D200" s="4"/>
      <c r="E200" s="116"/>
      <c r="F200" s="116"/>
      <c r="G200" s="14"/>
      <c r="I200" s="14"/>
    </row>
    <row r="201" spans="1:9" ht="15" customHeight="1" x14ac:dyDescent="0.25">
      <c r="A201" s="14"/>
      <c r="B201" s="112"/>
      <c r="C201" s="112"/>
      <c r="D201" s="4"/>
      <c r="E201" s="116"/>
      <c r="F201" s="116"/>
      <c r="G201" s="14"/>
      <c r="I201" s="14"/>
    </row>
    <row r="202" spans="1:9" ht="15" customHeight="1" x14ac:dyDescent="0.25">
      <c r="A202" s="14"/>
      <c r="B202" s="112"/>
      <c r="C202" s="112"/>
      <c r="D202" s="4"/>
      <c r="E202" s="116"/>
      <c r="F202" s="116"/>
      <c r="G202" s="14"/>
      <c r="I202" s="14"/>
    </row>
    <row r="203" spans="1:9" ht="15" customHeight="1" x14ac:dyDescent="0.25">
      <c r="A203" s="14"/>
      <c r="B203" s="112"/>
      <c r="C203" s="112"/>
      <c r="D203" s="4"/>
      <c r="E203" s="116"/>
      <c r="F203" s="116"/>
      <c r="G203" s="14"/>
      <c r="I203" s="14"/>
    </row>
    <row r="204" spans="1:9" ht="15" customHeight="1" x14ac:dyDescent="0.25">
      <c r="A204" s="14"/>
      <c r="B204" s="112"/>
      <c r="C204" s="112"/>
      <c r="D204" s="4"/>
      <c r="E204" s="116"/>
      <c r="F204" s="116"/>
      <c r="G204" s="14"/>
      <c r="I204" s="14"/>
    </row>
    <row r="205" spans="1:9" ht="15" customHeight="1" x14ac:dyDescent="0.25">
      <c r="A205" s="14"/>
      <c r="B205" s="112"/>
      <c r="C205" s="112"/>
      <c r="D205" s="4"/>
      <c r="E205" s="116"/>
      <c r="F205" s="116"/>
      <c r="G205" s="14"/>
      <c r="I205" s="14"/>
    </row>
    <row r="206" spans="1:9" ht="15" customHeight="1" x14ac:dyDescent="0.25">
      <c r="A206" s="14"/>
      <c r="B206" s="112"/>
      <c r="C206" s="112"/>
      <c r="D206" s="4"/>
      <c r="E206" s="116"/>
      <c r="F206" s="116"/>
      <c r="G206" s="14"/>
      <c r="I206" s="14"/>
    </row>
    <row r="207" spans="1:9" ht="15" customHeight="1" x14ac:dyDescent="0.25">
      <c r="A207" s="14"/>
      <c r="B207" s="112"/>
      <c r="C207" s="112"/>
      <c r="D207" s="4"/>
      <c r="E207" s="116"/>
      <c r="F207" s="116"/>
      <c r="G207" s="14"/>
      <c r="I207" s="14"/>
    </row>
    <row r="208" spans="1:9" ht="15" customHeight="1" x14ac:dyDescent="0.25">
      <c r="A208" s="14"/>
      <c r="B208" s="112"/>
      <c r="C208" s="112"/>
      <c r="D208" s="4"/>
      <c r="E208" s="116"/>
      <c r="F208" s="116"/>
      <c r="G208" s="14"/>
      <c r="I208" s="14"/>
    </row>
    <row r="209" spans="1:9" ht="15" customHeight="1" x14ac:dyDescent="0.25">
      <c r="A209" s="14"/>
      <c r="B209" s="112"/>
      <c r="C209" s="112"/>
      <c r="D209" s="4"/>
      <c r="E209" s="116"/>
      <c r="F209" s="116"/>
      <c r="G209" s="14"/>
      <c r="I209" s="14"/>
    </row>
    <row r="210" spans="1:9" ht="15" customHeight="1" x14ac:dyDescent="0.25">
      <c r="A210" s="14"/>
      <c r="B210" s="112"/>
      <c r="C210" s="112"/>
      <c r="D210" s="4"/>
      <c r="E210" s="116"/>
      <c r="F210" s="116"/>
      <c r="G210" s="14"/>
      <c r="I210" s="14"/>
    </row>
    <row r="211" spans="1:9" ht="15" customHeight="1" x14ac:dyDescent="0.25">
      <c r="A211" s="14"/>
      <c r="B211" s="112"/>
      <c r="C211" s="112"/>
      <c r="D211" s="4"/>
      <c r="E211" s="116"/>
      <c r="F211" s="116"/>
      <c r="G211" s="14"/>
      <c r="I211" s="14"/>
    </row>
    <row r="212" spans="1:9" ht="15" customHeight="1" x14ac:dyDescent="0.25">
      <c r="A212" s="14"/>
      <c r="B212" s="112"/>
      <c r="C212" s="112"/>
      <c r="D212" s="4"/>
      <c r="E212" s="116"/>
      <c r="F212" s="116"/>
      <c r="G212" s="14"/>
      <c r="I212" s="14"/>
    </row>
    <row r="213" spans="1:9" ht="15" customHeight="1" x14ac:dyDescent="0.25">
      <c r="A213" s="14"/>
      <c r="B213" s="112"/>
      <c r="C213" s="112"/>
      <c r="D213" s="4"/>
      <c r="E213" s="116"/>
      <c r="F213" s="116"/>
      <c r="G213" s="14"/>
      <c r="I213" s="14"/>
    </row>
    <row r="214" spans="1:9" ht="15" customHeight="1" x14ac:dyDescent="0.25">
      <c r="A214" s="14"/>
      <c r="B214" s="112"/>
      <c r="C214" s="112"/>
      <c r="D214" s="4"/>
      <c r="E214" s="116"/>
      <c r="F214" s="116"/>
      <c r="G214" s="14"/>
      <c r="I214" s="14"/>
    </row>
    <row r="215" spans="1:9" ht="15" customHeight="1" x14ac:dyDescent="0.25">
      <c r="A215" s="14"/>
      <c r="B215" s="112"/>
      <c r="C215" s="112"/>
      <c r="D215" s="4"/>
      <c r="E215" s="116"/>
      <c r="F215" s="116"/>
      <c r="G215" s="14"/>
      <c r="I215" s="14"/>
    </row>
    <row r="216" spans="1:9" ht="15" customHeight="1" x14ac:dyDescent="0.25">
      <c r="A216" s="14"/>
      <c r="B216" s="112"/>
      <c r="C216" s="112"/>
      <c r="D216" s="4"/>
      <c r="E216" s="116"/>
      <c r="F216" s="116"/>
      <c r="G216" s="14"/>
      <c r="I216" s="14"/>
    </row>
    <row r="217" spans="1:9" ht="15" customHeight="1" x14ac:dyDescent="0.25">
      <c r="A217" s="14"/>
      <c r="B217" s="112"/>
      <c r="C217" s="112"/>
      <c r="D217" s="4"/>
      <c r="E217" s="116"/>
      <c r="F217" s="116"/>
      <c r="G217" s="14"/>
      <c r="I217" s="14"/>
    </row>
    <row r="218" spans="1:9" ht="15" customHeight="1" x14ac:dyDescent="0.25">
      <c r="A218" s="14"/>
      <c r="B218" s="112"/>
      <c r="C218" s="112"/>
      <c r="D218" s="4"/>
      <c r="E218" s="116"/>
      <c r="F218" s="116"/>
      <c r="G218" s="14"/>
      <c r="I218" s="14"/>
    </row>
    <row r="219" spans="1:9" ht="15" customHeight="1" x14ac:dyDescent="0.25">
      <c r="A219" s="14"/>
      <c r="B219" s="112"/>
      <c r="C219" s="112"/>
      <c r="D219" s="4"/>
      <c r="E219" s="116"/>
      <c r="F219" s="116"/>
      <c r="G219" s="14"/>
      <c r="I219" s="14"/>
    </row>
    <row r="220" spans="1:9" ht="15" customHeight="1" x14ac:dyDescent="0.25">
      <c r="A220" s="14"/>
      <c r="B220" s="112"/>
      <c r="C220" s="112"/>
      <c r="D220" s="4"/>
      <c r="E220" s="116"/>
      <c r="F220" s="116"/>
      <c r="G220" s="14"/>
      <c r="I220" s="14"/>
    </row>
    <row r="221" spans="1:9" ht="15" customHeight="1" x14ac:dyDescent="0.25">
      <c r="A221" s="14"/>
      <c r="B221" s="112"/>
      <c r="C221" s="112"/>
      <c r="D221" s="4"/>
      <c r="E221" s="116"/>
      <c r="F221" s="116"/>
      <c r="G221" s="14"/>
      <c r="I221" s="14"/>
    </row>
    <row r="222" spans="1:9" ht="15" customHeight="1" x14ac:dyDescent="0.25">
      <c r="A222" s="14"/>
      <c r="B222" s="112"/>
      <c r="C222" s="112"/>
      <c r="D222" s="4"/>
      <c r="E222" s="116"/>
      <c r="F222" s="116"/>
      <c r="G222" s="14"/>
      <c r="I222" s="14"/>
    </row>
    <row r="223" spans="1:9" ht="15" customHeight="1" x14ac:dyDescent="0.25">
      <c r="A223" s="14"/>
      <c r="B223" s="112"/>
      <c r="C223" s="112"/>
      <c r="D223" s="4"/>
      <c r="E223" s="116"/>
      <c r="F223" s="116"/>
      <c r="G223" s="14"/>
      <c r="I223" s="14"/>
    </row>
    <row r="224" spans="1:9" ht="15" customHeight="1" x14ac:dyDescent="0.25">
      <c r="A224" s="14"/>
      <c r="B224" s="112"/>
      <c r="C224" s="112"/>
      <c r="D224" s="4"/>
      <c r="E224" s="116"/>
      <c r="F224" s="116"/>
      <c r="G224" s="14"/>
      <c r="I224" s="14"/>
    </row>
    <row r="225" spans="1:9" ht="15" customHeight="1" x14ac:dyDescent="0.25">
      <c r="A225" s="14"/>
      <c r="B225" s="112"/>
      <c r="C225" s="112"/>
      <c r="D225" s="4"/>
      <c r="E225" s="116"/>
      <c r="F225" s="116"/>
      <c r="G225" s="14"/>
      <c r="I225" s="14"/>
    </row>
    <row r="226" spans="1:9" ht="15" customHeight="1" x14ac:dyDescent="0.25">
      <c r="A226" s="14"/>
      <c r="B226" s="112"/>
      <c r="C226" s="112"/>
      <c r="D226" s="4"/>
      <c r="E226" s="116"/>
      <c r="F226" s="116"/>
      <c r="G226" s="14"/>
      <c r="I226" s="14"/>
    </row>
    <row r="227" spans="1:9" ht="15" customHeight="1" x14ac:dyDescent="0.25">
      <c r="A227" s="14"/>
      <c r="B227" s="112"/>
      <c r="C227" s="112"/>
      <c r="D227" s="4"/>
      <c r="E227" s="116"/>
      <c r="F227" s="116"/>
      <c r="G227" s="14"/>
      <c r="I227" s="14"/>
    </row>
    <row r="228" spans="1:9" ht="15" customHeight="1" x14ac:dyDescent="0.25">
      <c r="A228" s="14"/>
      <c r="B228" s="112"/>
      <c r="C228" s="112"/>
      <c r="D228" s="4"/>
      <c r="E228" s="116"/>
      <c r="F228" s="116"/>
      <c r="G228" s="14"/>
      <c r="I228" s="14"/>
    </row>
    <row r="229" spans="1:9" ht="15" customHeight="1" x14ac:dyDescent="0.25">
      <c r="A229" s="14"/>
      <c r="B229" s="112"/>
      <c r="C229" s="112"/>
      <c r="D229" s="4"/>
      <c r="E229" s="116"/>
      <c r="F229" s="116"/>
      <c r="G229" s="14"/>
      <c r="I229" s="14"/>
    </row>
    <row r="230" spans="1:9" ht="15" customHeight="1" x14ac:dyDescent="0.25">
      <c r="A230" s="14"/>
      <c r="B230" s="112"/>
      <c r="C230" s="112"/>
      <c r="D230" s="4"/>
      <c r="E230" s="116"/>
      <c r="F230" s="116"/>
      <c r="G230" s="14"/>
      <c r="I230" s="14"/>
    </row>
    <row r="231" spans="1:9" ht="15" customHeight="1" x14ac:dyDescent="0.25">
      <c r="A231" s="14"/>
      <c r="B231" s="112"/>
      <c r="C231" s="112"/>
      <c r="D231" s="4"/>
      <c r="E231" s="116"/>
      <c r="F231" s="116"/>
      <c r="G231" s="14"/>
      <c r="I231" s="14"/>
    </row>
    <row r="232" spans="1:9" ht="15" customHeight="1" x14ac:dyDescent="0.25">
      <c r="A232" s="14"/>
      <c r="B232" s="112"/>
      <c r="C232" s="112"/>
      <c r="D232" s="4"/>
      <c r="E232" s="116"/>
      <c r="F232" s="116"/>
      <c r="G232" s="14"/>
      <c r="I232" s="14"/>
    </row>
    <row r="233" spans="1:9" ht="15" customHeight="1" x14ac:dyDescent="0.25">
      <c r="A233" s="14"/>
      <c r="B233" s="112"/>
      <c r="C233" s="112"/>
      <c r="D233" s="4"/>
      <c r="E233" s="116"/>
      <c r="F233" s="116"/>
      <c r="G233" s="14"/>
      <c r="I233" s="14"/>
    </row>
    <row r="234" spans="1:9" ht="15" customHeight="1" x14ac:dyDescent="0.25">
      <c r="A234" s="14"/>
      <c r="B234" s="112"/>
      <c r="C234" s="112"/>
      <c r="D234" s="4"/>
      <c r="E234" s="116"/>
      <c r="F234" s="116"/>
      <c r="G234" s="14"/>
      <c r="I234" s="14"/>
    </row>
    <row r="235" spans="1:9" ht="15" customHeight="1" x14ac:dyDescent="0.25">
      <c r="A235" s="14"/>
      <c r="B235" s="112"/>
      <c r="C235" s="112"/>
      <c r="D235" s="4"/>
      <c r="E235" s="116"/>
      <c r="F235" s="116"/>
      <c r="G235" s="14"/>
      <c r="I235" s="14"/>
    </row>
    <row r="236" spans="1:9" ht="15" customHeight="1" x14ac:dyDescent="0.25">
      <c r="A236" s="14"/>
      <c r="B236" s="112"/>
      <c r="C236" s="112"/>
      <c r="D236" s="4"/>
      <c r="E236" s="116"/>
      <c r="F236" s="116"/>
      <c r="G236" s="14"/>
      <c r="I236" s="14"/>
    </row>
    <row r="237" spans="1:9" ht="15" customHeight="1" x14ac:dyDescent="0.25">
      <c r="A237" s="14"/>
      <c r="B237" s="112"/>
      <c r="C237" s="112"/>
      <c r="D237" s="4"/>
      <c r="E237" s="116"/>
      <c r="F237" s="116"/>
      <c r="G237" s="14"/>
      <c r="I237" s="14"/>
    </row>
    <row r="238" spans="1:9" ht="15" customHeight="1" x14ac:dyDescent="0.25">
      <c r="A238" s="14"/>
      <c r="B238" s="112"/>
      <c r="C238" s="112"/>
      <c r="D238" s="4"/>
      <c r="E238" s="116"/>
      <c r="F238" s="116"/>
      <c r="G238" s="14"/>
      <c r="I238" s="14"/>
    </row>
    <row r="239" spans="1:9" ht="15" customHeight="1" x14ac:dyDescent="0.25">
      <c r="A239" s="14"/>
      <c r="B239" s="112"/>
      <c r="C239" s="112"/>
      <c r="D239" s="4"/>
      <c r="E239" s="116"/>
      <c r="F239" s="116"/>
      <c r="G239" s="14"/>
      <c r="I239" s="14"/>
    </row>
    <row r="240" spans="1:9" ht="15" customHeight="1" x14ac:dyDescent="0.25">
      <c r="A240" s="14"/>
      <c r="B240" s="112"/>
      <c r="C240" s="112"/>
      <c r="D240" s="4"/>
      <c r="E240" s="116"/>
      <c r="F240" s="116"/>
      <c r="G240" s="14"/>
      <c r="I240" s="14"/>
    </row>
    <row r="241" spans="1:9" ht="15" customHeight="1" x14ac:dyDescent="0.25">
      <c r="A241" s="14"/>
      <c r="B241" s="112"/>
      <c r="C241" s="112"/>
      <c r="D241" s="4"/>
      <c r="E241" s="116"/>
      <c r="F241" s="116"/>
      <c r="G241" s="14"/>
      <c r="I241" s="14"/>
    </row>
    <row r="242" spans="1:9" ht="15" customHeight="1" x14ac:dyDescent="0.25">
      <c r="A242" s="14"/>
      <c r="B242" s="112"/>
      <c r="C242" s="112"/>
      <c r="D242" s="4"/>
      <c r="E242" s="116"/>
      <c r="F242" s="116"/>
      <c r="G242" s="14"/>
      <c r="I242" s="14"/>
    </row>
    <row r="243" spans="1:9" ht="15" customHeight="1" x14ac:dyDescent="0.25">
      <c r="A243" s="14"/>
      <c r="B243" s="112"/>
      <c r="C243" s="112"/>
      <c r="D243" s="4"/>
      <c r="E243" s="116"/>
      <c r="F243" s="116"/>
      <c r="G243" s="14"/>
      <c r="I243" s="14"/>
    </row>
    <row r="244" spans="1:9" ht="15" customHeight="1" x14ac:dyDescent="0.25">
      <c r="A244" s="14"/>
      <c r="B244" s="112"/>
      <c r="C244" s="112"/>
      <c r="D244" s="4"/>
      <c r="E244" s="116"/>
      <c r="F244" s="116"/>
      <c r="G244" s="14"/>
      <c r="I244" s="14"/>
    </row>
    <row r="245" spans="1:9" ht="15" customHeight="1" x14ac:dyDescent="0.25">
      <c r="A245" s="14"/>
      <c r="B245" s="112"/>
      <c r="C245" s="112"/>
      <c r="D245" s="4"/>
      <c r="E245" s="116"/>
      <c r="F245" s="116"/>
      <c r="G245" s="14"/>
      <c r="I245" s="14"/>
    </row>
    <row r="246" spans="1:9" ht="15" customHeight="1" x14ac:dyDescent="0.25">
      <c r="A246" s="14"/>
      <c r="B246" s="112"/>
      <c r="C246" s="112"/>
      <c r="D246" s="4"/>
      <c r="E246" s="116"/>
      <c r="F246" s="116"/>
      <c r="G246" s="14"/>
      <c r="I246" s="14"/>
    </row>
    <row r="247" spans="1:9" ht="15" customHeight="1" x14ac:dyDescent="0.25">
      <c r="A247" s="14"/>
      <c r="B247" s="112"/>
      <c r="C247" s="112"/>
      <c r="D247" s="4"/>
      <c r="E247" s="116"/>
      <c r="F247" s="116"/>
      <c r="G247" s="14"/>
      <c r="I247" s="14"/>
    </row>
    <row r="248" spans="1:9" ht="15" customHeight="1" x14ac:dyDescent="0.25">
      <c r="A248" s="14"/>
      <c r="B248" s="112"/>
      <c r="C248" s="112"/>
      <c r="D248" s="4"/>
      <c r="E248" s="116"/>
      <c r="F248" s="116"/>
      <c r="G248" s="14"/>
      <c r="I248" s="14"/>
    </row>
    <row r="249" spans="1:9" ht="15" customHeight="1" x14ac:dyDescent="0.25">
      <c r="A249" s="14"/>
      <c r="B249" s="112"/>
      <c r="C249" s="112"/>
      <c r="D249" s="4"/>
      <c r="E249" s="116"/>
      <c r="F249" s="116"/>
      <c r="G249" s="14"/>
      <c r="I249" s="14"/>
    </row>
    <row r="250" spans="1:9" ht="15" customHeight="1" x14ac:dyDescent="0.25">
      <c r="A250" s="14"/>
      <c r="B250" s="112"/>
      <c r="C250" s="112"/>
      <c r="D250" s="4"/>
      <c r="E250" s="116"/>
      <c r="F250" s="116"/>
      <c r="G250" s="14"/>
      <c r="I250" s="14"/>
    </row>
    <row r="251" spans="1:9" ht="15" customHeight="1" x14ac:dyDescent="0.25">
      <c r="A251" s="14"/>
      <c r="B251" s="112"/>
      <c r="C251" s="112"/>
      <c r="D251" s="4"/>
      <c r="E251" s="116"/>
      <c r="F251" s="116"/>
      <c r="G251" s="14"/>
      <c r="I251" s="14"/>
    </row>
    <row r="252" spans="1:9" ht="15" customHeight="1" x14ac:dyDescent="0.25">
      <c r="A252" s="14"/>
      <c r="B252" s="112"/>
      <c r="C252" s="112"/>
      <c r="D252" s="4"/>
      <c r="E252" s="116"/>
      <c r="F252" s="116"/>
      <c r="G252" s="14"/>
      <c r="I252" s="14"/>
    </row>
    <row r="253" spans="1:9" ht="15" customHeight="1" x14ac:dyDescent="0.25">
      <c r="A253" s="14"/>
      <c r="B253" s="112"/>
      <c r="C253" s="112"/>
      <c r="D253" s="4"/>
      <c r="E253" s="116"/>
      <c r="F253" s="116"/>
      <c r="G253" s="14"/>
      <c r="I253" s="14"/>
    </row>
    <row r="254" spans="1:9" ht="15" customHeight="1" x14ac:dyDescent="0.25">
      <c r="A254" s="14"/>
      <c r="B254" s="112"/>
      <c r="C254" s="112"/>
      <c r="D254" s="4"/>
      <c r="E254" s="116"/>
      <c r="F254" s="116"/>
      <c r="G254" s="14"/>
      <c r="I254" s="14"/>
    </row>
    <row r="255" spans="1:9" ht="15" customHeight="1" x14ac:dyDescent="0.25">
      <c r="A255" s="14"/>
      <c r="B255" s="112"/>
      <c r="C255" s="112"/>
      <c r="D255" s="4"/>
      <c r="E255" s="116"/>
      <c r="F255" s="116"/>
      <c r="G255" s="14"/>
      <c r="I255" s="14"/>
    </row>
    <row r="256" spans="1:9" ht="15" customHeight="1" x14ac:dyDescent="0.25">
      <c r="A256" s="14"/>
      <c r="B256" s="112"/>
      <c r="C256" s="112"/>
      <c r="D256" s="4"/>
      <c r="E256" s="116"/>
      <c r="F256" s="116"/>
      <c r="G256" s="14"/>
      <c r="I256" s="14"/>
    </row>
    <row r="257" spans="1:9" ht="15" customHeight="1" x14ac:dyDescent="0.25">
      <c r="A257" s="14"/>
      <c r="B257" s="112"/>
      <c r="C257" s="112"/>
      <c r="D257" s="4"/>
      <c r="E257" s="116"/>
      <c r="F257" s="116"/>
      <c r="G257" s="14"/>
      <c r="I257" s="14"/>
    </row>
    <row r="258" spans="1:9" ht="15" customHeight="1" x14ac:dyDescent="0.25">
      <c r="A258" s="14"/>
      <c r="B258" s="112"/>
      <c r="C258" s="112"/>
      <c r="D258" s="4"/>
      <c r="E258" s="116"/>
      <c r="F258" s="116"/>
      <c r="G258" s="14"/>
      <c r="I258" s="14"/>
    </row>
    <row r="259" spans="1:9" ht="15" customHeight="1" x14ac:dyDescent="0.25">
      <c r="A259" s="14"/>
      <c r="B259" s="112"/>
      <c r="C259" s="112"/>
      <c r="D259" s="4"/>
      <c r="E259" s="116"/>
      <c r="F259" s="116"/>
      <c r="G259" s="14"/>
      <c r="I259" s="14"/>
    </row>
    <row r="260" spans="1:9" ht="15" customHeight="1" x14ac:dyDescent="0.25">
      <c r="A260" s="14"/>
      <c r="B260" s="112"/>
      <c r="C260" s="112"/>
      <c r="D260" s="4"/>
      <c r="E260" s="116"/>
      <c r="F260" s="116"/>
      <c r="G260" s="14"/>
      <c r="I260" s="14"/>
    </row>
    <row r="261" spans="1:9" ht="15" customHeight="1" x14ac:dyDescent="0.25">
      <c r="A261" s="14"/>
      <c r="B261" s="112"/>
      <c r="C261" s="112"/>
      <c r="D261" s="4"/>
      <c r="E261" s="116"/>
      <c r="F261" s="116"/>
      <c r="G261" s="14"/>
      <c r="I261" s="14"/>
    </row>
    <row r="262" spans="1:9" ht="15" customHeight="1" x14ac:dyDescent="0.25">
      <c r="A262" s="14"/>
      <c r="B262" s="112"/>
      <c r="C262" s="112"/>
      <c r="D262" s="4"/>
      <c r="E262" s="116"/>
      <c r="F262" s="116"/>
      <c r="G262" s="14"/>
      <c r="I262" s="14"/>
    </row>
    <row r="263" spans="1:9" ht="15" customHeight="1" x14ac:dyDescent="0.25">
      <c r="A263" s="14"/>
      <c r="B263" s="112"/>
      <c r="C263" s="112"/>
      <c r="D263" s="4"/>
      <c r="E263" s="116"/>
      <c r="F263" s="116"/>
      <c r="G263" s="14"/>
      <c r="I263" s="14"/>
    </row>
    <row r="264" spans="1:9" ht="15" customHeight="1" x14ac:dyDescent="0.25">
      <c r="A264" s="14"/>
      <c r="B264" s="112"/>
      <c r="C264" s="112"/>
      <c r="D264" s="4"/>
      <c r="E264" s="116"/>
      <c r="F264" s="116"/>
      <c r="G264" s="14"/>
      <c r="I264" s="14"/>
    </row>
    <row r="265" spans="1:9" ht="15" customHeight="1" x14ac:dyDescent="0.25">
      <c r="A265" s="14"/>
      <c r="B265" s="112"/>
      <c r="C265" s="112"/>
      <c r="D265" s="4"/>
      <c r="E265" s="116"/>
      <c r="F265" s="116"/>
      <c r="G265" s="14"/>
      <c r="I265" s="14"/>
    </row>
    <row r="266" spans="1:9" ht="15" customHeight="1" x14ac:dyDescent="0.25">
      <c r="A266" s="14"/>
      <c r="B266" s="112"/>
      <c r="C266" s="112"/>
      <c r="D266" s="4"/>
      <c r="E266" s="116"/>
      <c r="F266" s="116"/>
      <c r="G266" s="14"/>
      <c r="I266" s="14"/>
    </row>
    <row r="267" spans="1:9" ht="15" customHeight="1" x14ac:dyDescent="0.25">
      <c r="A267" s="14"/>
      <c r="B267" s="112"/>
      <c r="C267" s="112"/>
      <c r="D267" s="4"/>
      <c r="E267" s="116"/>
      <c r="F267" s="116"/>
      <c r="G267" s="14"/>
      <c r="I267" s="14"/>
    </row>
    <row r="268" spans="1:9" ht="15" customHeight="1" x14ac:dyDescent="0.25">
      <c r="A268" s="14"/>
      <c r="B268" s="112"/>
      <c r="C268" s="112"/>
      <c r="D268" s="4"/>
      <c r="E268" s="116"/>
      <c r="F268" s="116"/>
      <c r="G268" s="14"/>
      <c r="I268" s="14"/>
    </row>
    <row r="269" spans="1:9" ht="15" customHeight="1" x14ac:dyDescent="0.25">
      <c r="A269" s="14"/>
      <c r="B269" s="112"/>
      <c r="C269" s="112"/>
      <c r="D269" s="4"/>
      <c r="E269" s="116"/>
      <c r="F269" s="116"/>
      <c r="G269" s="14"/>
      <c r="I269" s="14"/>
    </row>
    <row r="270" spans="1:9" ht="15" customHeight="1" x14ac:dyDescent="0.25">
      <c r="A270" s="14"/>
      <c r="B270" s="112"/>
      <c r="C270" s="112"/>
      <c r="D270" s="4"/>
      <c r="E270" s="116"/>
      <c r="F270" s="116"/>
      <c r="G270" s="14"/>
      <c r="I270" s="14"/>
    </row>
    <row r="271" spans="1:9" ht="15" customHeight="1" x14ac:dyDescent="0.25">
      <c r="A271" s="14"/>
      <c r="B271" s="112"/>
      <c r="C271" s="112"/>
      <c r="D271" s="4"/>
      <c r="E271" s="116"/>
      <c r="F271" s="116"/>
      <c r="G271" s="14"/>
      <c r="I271" s="14"/>
    </row>
    <row r="272" spans="1:9" ht="15" customHeight="1" x14ac:dyDescent="0.25">
      <c r="A272" s="14"/>
      <c r="B272" s="112"/>
      <c r="C272" s="112"/>
      <c r="D272" s="4"/>
      <c r="E272" s="116"/>
      <c r="F272" s="116"/>
      <c r="G272" s="14"/>
      <c r="I272" s="14"/>
    </row>
    <row r="273" spans="1:9" ht="15" customHeight="1" x14ac:dyDescent="0.25">
      <c r="A273" s="14"/>
      <c r="B273" s="112"/>
      <c r="C273" s="112"/>
      <c r="D273" s="4"/>
      <c r="E273" s="116"/>
      <c r="F273" s="116"/>
      <c r="G273" s="14"/>
      <c r="I273" s="14"/>
    </row>
    <row r="274" spans="1:9" ht="15" customHeight="1" x14ac:dyDescent="0.25">
      <c r="A274" s="14"/>
      <c r="B274" s="112"/>
      <c r="C274" s="112"/>
      <c r="D274" s="4"/>
      <c r="E274" s="116"/>
      <c r="F274" s="116"/>
      <c r="G274" s="14"/>
      <c r="I274" s="14"/>
    </row>
    <row r="275" spans="1:9" ht="15" customHeight="1" x14ac:dyDescent="0.25">
      <c r="A275" s="14"/>
      <c r="B275" s="112"/>
      <c r="C275" s="112"/>
      <c r="D275" s="4"/>
      <c r="E275" s="116"/>
      <c r="F275" s="116"/>
      <c r="G275" s="14"/>
      <c r="I275" s="14"/>
    </row>
    <row r="276" spans="1:9" ht="15" customHeight="1" x14ac:dyDescent="0.25">
      <c r="A276" s="14"/>
      <c r="B276" s="112"/>
      <c r="C276" s="112"/>
      <c r="D276" s="4"/>
      <c r="E276" s="116"/>
      <c r="F276" s="116"/>
      <c r="G276" s="14"/>
      <c r="I276" s="14"/>
    </row>
    <row r="277" spans="1:9" ht="15" customHeight="1" x14ac:dyDescent="0.25">
      <c r="A277" s="14"/>
      <c r="B277" s="112"/>
      <c r="C277" s="112"/>
      <c r="D277" s="4"/>
      <c r="E277" s="116"/>
      <c r="F277" s="116"/>
      <c r="G277" s="14"/>
      <c r="I277" s="14"/>
    </row>
    <row r="278" spans="1:9" ht="15" customHeight="1" x14ac:dyDescent="0.25">
      <c r="A278" s="14"/>
      <c r="B278" s="112"/>
      <c r="C278" s="112"/>
      <c r="D278" s="4"/>
      <c r="E278" s="116"/>
      <c r="F278" s="116"/>
      <c r="G278" s="14"/>
      <c r="I278" s="14"/>
    </row>
    <row r="279" spans="1:9" ht="15" customHeight="1" x14ac:dyDescent="0.25">
      <c r="A279" s="14"/>
      <c r="B279" s="112"/>
      <c r="C279" s="112"/>
      <c r="D279" s="4"/>
      <c r="E279" s="116"/>
      <c r="F279" s="116"/>
      <c r="G279" s="14"/>
      <c r="I279" s="14"/>
    </row>
    <row r="280" spans="1:9" ht="15" customHeight="1" x14ac:dyDescent="0.25">
      <c r="A280" s="14"/>
      <c r="B280" s="112"/>
      <c r="C280" s="112"/>
      <c r="D280" s="4"/>
      <c r="E280" s="116"/>
      <c r="F280" s="116"/>
      <c r="G280" s="14"/>
      <c r="I280" s="14"/>
    </row>
    <row r="281" spans="1:9" ht="15" customHeight="1" x14ac:dyDescent="0.25">
      <c r="A281" s="14"/>
      <c r="B281" s="112"/>
      <c r="C281" s="112"/>
      <c r="D281" s="4"/>
      <c r="E281" s="116"/>
      <c r="F281" s="116"/>
      <c r="G281" s="14"/>
      <c r="I281" s="14"/>
    </row>
    <row r="282" spans="1:9" ht="15" customHeight="1" x14ac:dyDescent="0.25">
      <c r="A282" s="14"/>
      <c r="B282" s="112"/>
      <c r="C282" s="112"/>
      <c r="D282" s="4"/>
      <c r="E282" s="116"/>
      <c r="F282" s="116"/>
      <c r="G282" s="14"/>
      <c r="I282" s="14"/>
    </row>
    <row r="283" spans="1:9" ht="15" customHeight="1" x14ac:dyDescent="0.25">
      <c r="A283" s="14"/>
      <c r="B283" s="112"/>
      <c r="C283" s="112"/>
      <c r="D283" s="4"/>
      <c r="E283" s="116"/>
      <c r="F283" s="116"/>
      <c r="G283" s="14"/>
      <c r="I283" s="14"/>
    </row>
    <row r="284" spans="1:9" ht="15" customHeight="1" x14ac:dyDescent="0.25">
      <c r="A284" s="14"/>
      <c r="B284" s="112"/>
      <c r="C284" s="112"/>
      <c r="D284" s="4"/>
      <c r="E284" s="116"/>
      <c r="F284" s="116"/>
      <c r="G284" s="14"/>
      <c r="I284" s="14"/>
    </row>
    <row r="285" spans="1:9" ht="15" customHeight="1" x14ac:dyDescent="0.25">
      <c r="A285" s="14"/>
      <c r="B285" s="112"/>
      <c r="C285" s="112"/>
      <c r="D285" s="4"/>
      <c r="E285" s="116"/>
      <c r="F285" s="116"/>
      <c r="G285" s="14"/>
      <c r="I285" s="14"/>
    </row>
    <row r="286" spans="1:9" ht="15" customHeight="1" x14ac:dyDescent="0.25">
      <c r="A286" s="14"/>
      <c r="B286" s="112"/>
      <c r="C286" s="112"/>
      <c r="D286" s="4"/>
      <c r="E286" s="116"/>
      <c r="F286" s="116"/>
      <c r="G286" s="14"/>
      <c r="I286" s="14"/>
    </row>
    <row r="287" spans="1:9" ht="15" customHeight="1" x14ac:dyDescent="0.25">
      <c r="A287" s="14"/>
      <c r="B287" s="112"/>
      <c r="C287" s="112"/>
      <c r="D287" s="4"/>
      <c r="E287" s="116"/>
      <c r="F287" s="116"/>
      <c r="G287" s="14"/>
      <c r="I287" s="14"/>
    </row>
    <row r="288" spans="1:9" ht="15" customHeight="1" x14ac:dyDescent="0.25">
      <c r="A288" s="14"/>
      <c r="B288" s="112"/>
      <c r="C288" s="112"/>
      <c r="D288" s="4"/>
      <c r="E288" s="116"/>
      <c r="F288" s="116"/>
      <c r="G288" s="14"/>
      <c r="I288" s="14"/>
    </row>
    <row r="289" spans="1:9" ht="15" customHeight="1" x14ac:dyDescent="0.25">
      <c r="A289" s="14"/>
      <c r="B289" s="112"/>
      <c r="C289" s="112"/>
      <c r="D289" s="4"/>
      <c r="E289" s="116"/>
      <c r="F289" s="116"/>
      <c r="G289" s="14"/>
      <c r="I289" s="14"/>
    </row>
    <row r="290" spans="1:9" ht="15" customHeight="1" x14ac:dyDescent="0.25">
      <c r="A290" s="14"/>
      <c r="B290" s="112"/>
      <c r="C290" s="112"/>
      <c r="D290" s="4"/>
      <c r="E290" s="116"/>
      <c r="F290" s="116"/>
      <c r="G290" s="14"/>
      <c r="I290" s="14"/>
    </row>
    <row r="291" spans="1:9" ht="15" customHeight="1" x14ac:dyDescent="0.25">
      <c r="A291" s="14"/>
      <c r="B291" s="112"/>
      <c r="C291" s="112"/>
      <c r="D291" s="4"/>
      <c r="E291" s="116"/>
      <c r="F291" s="116"/>
      <c r="G291" s="14"/>
      <c r="I291" s="14"/>
    </row>
    <row r="292" spans="1:9" ht="15" customHeight="1" x14ac:dyDescent="0.25">
      <c r="A292" s="14"/>
      <c r="B292" s="112"/>
      <c r="C292" s="112"/>
      <c r="D292" s="4"/>
      <c r="E292" s="116"/>
      <c r="F292" s="116"/>
      <c r="G292" s="14"/>
      <c r="I292" s="14"/>
    </row>
    <row r="293" spans="1:9" ht="15" customHeight="1" x14ac:dyDescent="0.25">
      <c r="A293" s="14"/>
      <c r="B293" s="112"/>
      <c r="C293" s="112"/>
      <c r="D293" s="4"/>
      <c r="E293" s="116"/>
      <c r="F293" s="116"/>
      <c r="G293" s="14"/>
      <c r="I293" s="14"/>
    </row>
    <row r="294" spans="1:9" ht="15" customHeight="1" x14ac:dyDescent="0.25">
      <c r="A294" s="14"/>
      <c r="B294" s="112"/>
      <c r="C294" s="112"/>
      <c r="D294" s="4"/>
      <c r="E294" s="116"/>
      <c r="F294" s="116"/>
      <c r="G294" s="14"/>
      <c r="I294" s="14"/>
    </row>
    <row r="295" spans="1:9" ht="15" customHeight="1" x14ac:dyDescent="0.25">
      <c r="A295" s="14"/>
      <c r="B295" s="112"/>
      <c r="C295" s="112"/>
      <c r="D295" s="4"/>
      <c r="E295" s="116"/>
      <c r="F295" s="116"/>
      <c r="G295" s="14"/>
      <c r="I295" s="14"/>
    </row>
    <row r="296" spans="1:9" ht="15" customHeight="1" x14ac:dyDescent="0.25">
      <c r="A296" s="14"/>
      <c r="B296" s="112"/>
      <c r="C296" s="112"/>
      <c r="D296" s="4"/>
      <c r="E296" s="116"/>
      <c r="F296" s="116"/>
      <c r="G296" s="14"/>
      <c r="I296" s="14"/>
    </row>
    <row r="297" spans="1:9" ht="15" customHeight="1" x14ac:dyDescent="0.25">
      <c r="A297" s="14"/>
      <c r="B297" s="112"/>
      <c r="C297" s="112"/>
      <c r="D297" s="4"/>
      <c r="E297" s="116"/>
      <c r="F297" s="116"/>
      <c r="G297" s="14"/>
      <c r="I297" s="14"/>
    </row>
    <row r="298" spans="1:9" ht="15" customHeight="1" x14ac:dyDescent="0.25">
      <c r="A298" s="14"/>
      <c r="B298" s="112"/>
      <c r="C298" s="112"/>
      <c r="D298" s="4"/>
      <c r="E298" s="116"/>
      <c r="F298" s="116"/>
      <c r="G298" s="14"/>
      <c r="I298" s="14"/>
    </row>
    <row r="299" spans="1:9" ht="15" customHeight="1" x14ac:dyDescent="0.25">
      <c r="A299" s="14"/>
      <c r="B299" s="112"/>
      <c r="C299" s="112"/>
      <c r="D299" s="4"/>
      <c r="E299" s="116"/>
      <c r="F299" s="116"/>
      <c r="G299" s="14"/>
      <c r="I299" s="14"/>
    </row>
    <row r="300" spans="1:9" ht="15" customHeight="1" x14ac:dyDescent="0.25">
      <c r="A300" s="14"/>
      <c r="B300" s="112"/>
      <c r="C300" s="112"/>
      <c r="D300" s="4"/>
      <c r="E300" s="116"/>
      <c r="F300" s="116"/>
      <c r="G300" s="14"/>
      <c r="I300" s="14"/>
    </row>
    <row r="301" spans="1:9" ht="15" customHeight="1" x14ac:dyDescent="0.25">
      <c r="A301" s="14"/>
      <c r="B301" s="112"/>
      <c r="C301" s="112"/>
      <c r="D301" s="4"/>
      <c r="E301" s="116"/>
      <c r="F301" s="116"/>
      <c r="G301" s="14"/>
      <c r="I301" s="14"/>
    </row>
    <row r="302" spans="1:9" ht="15" customHeight="1" x14ac:dyDescent="0.25">
      <c r="A302" s="14"/>
      <c r="B302" s="112"/>
      <c r="C302" s="112"/>
      <c r="D302" s="4"/>
      <c r="E302" s="116"/>
      <c r="F302" s="116"/>
      <c r="G302" s="14"/>
      <c r="I302" s="14"/>
    </row>
    <row r="303" spans="1:9" ht="15" customHeight="1" x14ac:dyDescent="0.25">
      <c r="A303" s="14"/>
      <c r="B303" s="112"/>
      <c r="C303" s="112"/>
      <c r="D303" s="4"/>
      <c r="E303" s="116"/>
      <c r="F303" s="116"/>
      <c r="G303" s="14"/>
      <c r="I303" s="14"/>
    </row>
    <row r="304" spans="1:9" ht="15" customHeight="1" x14ac:dyDescent="0.25">
      <c r="A304" s="14"/>
      <c r="B304" s="112"/>
      <c r="C304" s="112"/>
      <c r="D304" s="4"/>
      <c r="E304" s="116"/>
      <c r="F304" s="116"/>
      <c r="G304" s="14"/>
      <c r="I304" s="14"/>
    </row>
    <row r="305" spans="1:9" ht="15" customHeight="1" x14ac:dyDescent="0.25">
      <c r="A305" s="14"/>
      <c r="B305" s="112"/>
      <c r="C305" s="112"/>
      <c r="D305" s="4"/>
      <c r="E305" s="116"/>
      <c r="F305" s="116"/>
      <c r="G305" s="14"/>
      <c r="I305" s="14"/>
    </row>
    <row r="306" spans="1:9" ht="15" customHeight="1" x14ac:dyDescent="0.25">
      <c r="A306" s="14"/>
      <c r="B306" s="112"/>
      <c r="C306" s="112"/>
      <c r="D306" s="4"/>
      <c r="E306" s="116"/>
      <c r="F306" s="116"/>
      <c r="G306" s="14"/>
      <c r="I306" s="14"/>
    </row>
    <row r="307" spans="1:9" ht="15" customHeight="1" x14ac:dyDescent="0.25">
      <c r="A307" s="14"/>
      <c r="B307" s="112"/>
      <c r="C307" s="112"/>
      <c r="D307" s="4"/>
      <c r="E307" s="116"/>
      <c r="F307" s="116"/>
      <c r="G307" s="14"/>
      <c r="I307" s="14"/>
    </row>
    <row r="308" spans="1:9" ht="15" customHeight="1" x14ac:dyDescent="0.25">
      <c r="A308" s="14"/>
      <c r="B308" s="112"/>
      <c r="C308" s="112"/>
      <c r="D308" s="4"/>
      <c r="E308" s="116"/>
      <c r="F308" s="116"/>
      <c r="G308" s="14"/>
      <c r="I308" s="14"/>
    </row>
    <row r="309" spans="1:9" ht="15" customHeight="1" x14ac:dyDescent="0.25">
      <c r="A309" s="14"/>
      <c r="B309" s="112"/>
      <c r="C309" s="112"/>
      <c r="D309" s="4"/>
      <c r="E309" s="116"/>
      <c r="F309" s="116"/>
      <c r="G309" s="14"/>
      <c r="I309" s="14"/>
    </row>
    <row r="310" spans="1:9" ht="15" customHeight="1" x14ac:dyDescent="0.25">
      <c r="A310" s="14"/>
      <c r="B310" s="112"/>
      <c r="C310" s="112"/>
      <c r="D310" s="4"/>
      <c r="E310" s="116"/>
      <c r="F310" s="116"/>
      <c r="G310" s="14"/>
      <c r="I310" s="14"/>
    </row>
    <row r="311" spans="1:9" ht="15" customHeight="1" x14ac:dyDescent="0.25">
      <c r="A311" s="14"/>
      <c r="B311" s="112"/>
      <c r="C311" s="112"/>
      <c r="D311" s="4"/>
      <c r="E311" s="116"/>
      <c r="F311" s="116"/>
      <c r="G311" s="14"/>
      <c r="I311" s="14"/>
    </row>
    <row r="312" spans="1:9" ht="15" customHeight="1" x14ac:dyDescent="0.25">
      <c r="A312" s="14"/>
      <c r="B312" s="112"/>
      <c r="C312" s="112"/>
      <c r="D312" s="4"/>
      <c r="E312" s="116"/>
      <c r="F312" s="116"/>
      <c r="G312" s="14"/>
      <c r="I312" s="14"/>
    </row>
    <row r="313" spans="1:9" ht="15" customHeight="1" x14ac:dyDescent="0.25">
      <c r="A313" s="14"/>
      <c r="B313" s="112"/>
      <c r="C313" s="112"/>
      <c r="D313" s="4"/>
      <c r="E313" s="116"/>
      <c r="F313" s="116"/>
      <c r="G313" s="14"/>
      <c r="I313" s="14"/>
    </row>
    <row r="314" spans="1:9" ht="15" customHeight="1" x14ac:dyDescent="0.25">
      <c r="A314" s="14"/>
      <c r="B314" s="112"/>
      <c r="C314" s="112"/>
      <c r="D314" s="4"/>
      <c r="E314" s="116"/>
      <c r="F314" s="116"/>
      <c r="G314" s="14"/>
      <c r="I314" s="14"/>
    </row>
    <row r="315" spans="1:9" ht="15" customHeight="1" x14ac:dyDescent="0.25">
      <c r="A315" s="14"/>
      <c r="B315" s="112"/>
      <c r="C315" s="112"/>
      <c r="D315" s="4"/>
      <c r="E315" s="116"/>
      <c r="F315" s="116"/>
      <c r="G315" s="14"/>
      <c r="I315" s="14"/>
    </row>
    <row r="316" spans="1:9" ht="15" customHeight="1" x14ac:dyDescent="0.25">
      <c r="A316" s="14"/>
      <c r="B316" s="112"/>
      <c r="C316" s="112"/>
      <c r="D316" s="4"/>
      <c r="E316" s="116"/>
      <c r="F316" s="116"/>
      <c r="G316" s="14"/>
      <c r="I316" s="14"/>
    </row>
    <row r="317" spans="1:9" ht="15" customHeight="1" x14ac:dyDescent="0.25">
      <c r="A317" s="14"/>
      <c r="B317" s="112"/>
      <c r="C317" s="112"/>
      <c r="D317" s="4"/>
      <c r="E317" s="116"/>
      <c r="F317" s="116"/>
      <c r="G317" s="14"/>
      <c r="I317" s="14"/>
    </row>
    <row r="318" spans="1:9" ht="15" customHeight="1" x14ac:dyDescent="0.25">
      <c r="A318" s="14"/>
      <c r="B318" s="112"/>
      <c r="C318" s="112"/>
      <c r="D318" s="4"/>
      <c r="E318" s="116"/>
      <c r="F318" s="116"/>
      <c r="G318" s="14"/>
      <c r="I318" s="14"/>
    </row>
    <row r="319" spans="1:9" ht="15" customHeight="1" x14ac:dyDescent="0.25">
      <c r="A319" s="14"/>
      <c r="B319" s="112"/>
      <c r="C319" s="112"/>
      <c r="D319" s="4"/>
      <c r="E319" s="116"/>
      <c r="F319" s="116"/>
      <c r="G319" s="14"/>
      <c r="I319" s="14"/>
    </row>
    <row r="320" spans="1:9" ht="15" customHeight="1" x14ac:dyDescent="0.25">
      <c r="A320" s="14"/>
      <c r="B320" s="112"/>
      <c r="C320" s="112"/>
      <c r="D320" s="4"/>
      <c r="E320" s="116"/>
      <c r="F320" s="116"/>
      <c r="G320" s="14"/>
      <c r="I320" s="14"/>
    </row>
    <row r="321" spans="1:9" ht="15" customHeight="1" x14ac:dyDescent="0.25">
      <c r="A321" s="14"/>
      <c r="B321" s="112"/>
      <c r="C321" s="112"/>
      <c r="D321" s="4"/>
      <c r="E321" s="116"/>
      <c r="F321" s="116"/>
      <c r="G321" s="14"/>
      <c r="I321" s="14"/>
    </row>
    <row r="322" spans="1:9" ht="15" customHeight="1" x14ac:dyDescent="0.25">
      <c r="A322" s="14"/>
      <c r="B322" s="112"/>
      <c r="C322" s="112"/>
      <c r="D322" s="4"/>
      <c r="E322" s="116"/>
      <c r="F322" s="116"/>
      <c r="G322" s="14"/>
      <c r="I322" s="14"/>
    </row>
    <row r="323" spans="1:9" ht="15" customHeight="1" x14ac:dyDescent="0.25">
      <c r="A323" s="14"/>
      <c r="B323" s="112"/>
      <c r="C323" s="112"/>
      <c r="D323" s="4"/>
      <c r="E323" s="116"/>
      <c r="F323" s="116"/>
      <c r="G323" s="14"/>
      <c r="I323" s="14"/>
    </row>
    <row r="324" spans="1:9" ht="15" customHeight="1" x14ac:dyDescent="0.25">
      <c r="A324" s="14"/>
      <c r="B324" s="112"/>
      <c r="C324" s="112"/>
      <c r="D324" s="4"/>
      <c r="E324" s="116"/>
      <c r="F324" s="116"/>
      <c r="G324" s="14"/>
      <c r="I324" s="14"/>
    </row>
    <row r="325" spans="1:9" ht="15" customHeight="1" x14ac:dyDescent="0.25">
      <c r="A325" s="14"/>
      <c r="B325" s="112"/>
      <c r="C325" s="112"/>
      <c r="D325" s="4"/>
      <c r="E325" s="116"/>
      <c r="F325" s="116"/>
      <c r="G325" s="14"/>
      <c r="I325" s="14"/>
    </row>
    <row r="326" spans="1:9" ht="15" customHeight="1" x14ac:dyDescent="0.25">
      <c r="A326" s="14"/>
      <c r="B326" s="112"/>
      <c r="C326" s="112"/>
      <c r="D326" s="4"/>
      <c r="E326" s="116"/>
      <c r="F326" s="116"/>
      <c r="G326" s="14"/>
      <c r="I326" s="14"/>
    </row>
    <row r="327" spans="1:9" ht="15" customHeight="1" x14ac:dyDescent="0.25">
      <c r="A327" s="14"/>
      <c r="B327" s="112"/>
      <c r="C327" s="112"/>
      <c r="D327" s="4"/>
      <c r="E327" s="116"/>
      <c r="F327" s="116"/>
      <c r="G327" s="14"/>
      <c r="I327" s="14"/>
    </row>
    <row r="328" spans="1:9" ht="15" customHeight="1" x14ac:dyDescent="0.25">
      <c r="A328" s="14"/>
      <c r="B328" s="112"/>
      <c r="C328" s="112"/>
      <c r="D328" s="4"/>
      <c r="E328" s="116"/>
      <c r="F328" s="116"/>
      <c r="G328" s="14"/>
      <c r="I328" s="14"/>
    </row>
    <row r="329" spans="1:9" ht="15" customHeight="1" x14ac:dyDescent="0.25">
      <c r="A329" s="14"/>
      <c r="B329" s="112"/>
      <c r="C329" s="112"/>
      <c r="D329" s="4"/>
      <c r="E329" s="116"/>
      <c r="F329" s="116"/>
      <c r="G329" s="14"/>
      <c r="I329" s="14"/>
    </row>
    <row r="330" spans="1:9" ht="15" customHeight="1" x14ac:dyDescent="0.25">
      <c r="A330" s="14"/>
      <c r="B330" s="112"/>
      <c r="C330" s="112"/>
      <c r="D330" s="4"/>
      <c r="E330" s="116"/>
      <c r="F330" s="116"/>
      <c r="G330" s="14"/>
      <c r="I330" s="14"/>
    </row>
    <row r="331" spans="1:9" ht="15" customHeight="1" x14ac:dyDescent="0.25">
      <c r="A331" s="14"/>
      <c r="B331" s="112"/>
      <c r="C331" s="112"/>
      <c r="D331" s="4"/>
      <c r="E331" s="116"/>
      <c r="F331" s="116"/>
      <c r="G331" s="14"/>
      <c r="I331" s="14"/>
    </row>
    <row r="332" spans="1:9" ht="15" customHeight="1" x14ac:dyDescent="0.25">
      <c r="A332" s="14"/>
      <c r="B332" s="112"/>
      <c r="C332" s="112"/>
      <c r="D332" s="4"/>
      <c r="E332" s="116"/>
      <c r="F332" s="116"/>
      <c r="G332" s="14"/>
      <c r="I332" s="14"/>
    </row>
    <row r="333" spans="1:9" ht="15" customHeight="1" x14ac:dyDescent="0.25">
      <c r="A333" s="14"/>
      <c r="B333" s="112"/>
      <c r="C333" s="112"/>
      <c r="D333" s="4"/>
      <c r="E333" s="116"/>
      <c r="F333" s="116"/>
      <c r="G333" s="14"/>
      <c r="I333" s="14"/>
    </row>
    <row r="334" spans="1:9" ht="15" customHeight="1" x14ac:dyDescent="0.25">
      <c r="A334" s="14"/>
      <c r="B334" s="112"/>
      <c r="C334" s="112"/>
      <c r="D334" s="4"/>
      <c r="E334" s="116"/>
      <c r="F334" s="116"/>
      <c r="G334" s="14"/>
      <c r="I334" s="14"/>
    </row>
    <row r="335" spans="1:9" ht="15" customHeight="1" x14ac:dyDescent="0.25">
      <c r="A335" s="14"/>
      <c r="B335" s="112"/>
      <c r="C335" s="112"/>
      <c r="D335" s="4"/>
      <c r="E335" s="116"/>
      <c r="F335" s="116"/>
      <c r="G335" s="14"/>
      <c r="I335" s="14"/>
    </row>
    <row r="336" spans="1:9" ht="15" customHeight="1" x14ac:dyDescent="0.25">
      <c r="A336" s="14"/>
      <c r="B336" s="112"/>
      <c r="C336" s="112"/>
      <c r="D336" s="4"/>
      <c r="E336" s="116"/>
      <c r="F336" s="116"/>
      <c r="G336" s="14"/>
      <c r="I336" s="14"/>
    </row>
    <row r="337" spans="1:9" ht="15" customHeight="1" x14ac:dyDescent="0.25">
      <c r="A337" s="14"/>
      <c r="B337" s="112"/>
      <c r="C337" s="112"/>
      <c r="D337" s="4"/>
      <c r="E337" s="116"/>
      <c r="F337" s="116"/>
      <c r="G337" s="14"/>
      <c r="I337" s="14"/>
    </row>
    <row r="338" spans="1:9" ht="15" customHeight="1" x14ac:dyDescent="0.25">
      <c r="A338" s="14"/>
      <c r="B338" s="112"/>
      <c r="C338" s="112"/>
      <c r="D338" s="4"/>
      <c r="E338" s="116"/>
      <c r="F338" s="116"/>
      <c r="G338" s="14"/>
      <c r="I338" s="14"/>
    </row>
    <row r="339" spans="1:9" ht="15" customHeight="1" x14ac:dyDescent="0.25">
      <c r="A339" s="14"/>
      <c r="B339" s="112"/>
      <c r="C339" s="112"/>
      <c r="D339" s="4"/>
      <c r="E339" s="116"/>
      <c r="F339" s="116"/>
      <c r="G339" s="14"/>
      <c r="I339" s="14"/>
    </row>
    <row r="340" spans="1:9" ht="15" customHeight="1" x14ac:dyDescent="0.25">
      <c r="A340" s="14"/>
      <c r="B340" s="112"/>
      <c r="C340" s="112"/>
      <c r="D340" s="4"/>
      <c r="E340" s="116"/>
      <c r="F340" s="116"/>
      <c r="G340" s="14"/>
      <c r="I340" s="14"/>
    </row>
    <row r="341" spans="1:9" ht="15" customHeight="1" x14ac:dyDescent="0.25">
      <c r="A341" s="14"/>
      <c r="B341" s="112"/>
      <c r="C341" s="112"/>
      <c r="D341" s="4"/>
      <c r="E341" s="116"/>
      <c r="F341" s="116"/>
      <c r="G341" s="14"/>
      <c r="I341" s="14"/>
    </row>
    <row r="342" spans="1:9" ht="15" customHeight="1" x14ac:dyDescent="0.25">
      <c r="A342" s="14"/>
      <c r="B342" s="112"/>
      <c r="C342" s="112"/>
      <c r="D342" s="4"/>
      <c r="E342" s="116"/>
      <c r="F342" s="116"/>
      <c r="G342" s="14"/>
      <c r="I342" s="14"/>
    </row>
    <row r="343" spans="1:9" ht="15" customHeight="1" x14ac:dyDescent="0.25">
      <c r="A343" s="14"/>
      <c r="B343" s="112"/>
      <c r="C343" s="112"/>
      <c r="D343" s="4"/>
      <c r="E343" s="116"/>
      <c r="F343" s="116"/>
      <c r="G343" s="14"/>
      <c r="I343" s="14"/>
    </row>
    <row r="344" spans="1:9" ht="15" customHeight="1" x14ac:dyDescent="0.25">
      <c r="A344" s="14"/>
      <c r="B344" s="112"/>
      <c r="C344" s="112"/>
      <c r="D344" s="4"/>
      <c r="E344" s="116"/>
      <c r="F344" s="116"/>
      <c r="G344" s="14"/>
      <c r="I344" s="14"/>
    </row>
    <row r="345" spans="1:9" ht="15" customHeight="1" x14ac:dyDescent="0.25">
      <c r="A345" s="14"/>
      <c r="B345" s="112"/>
      <c r="C345" s="112"/>
      <c r="D345" s="4"/>
      <c r="E345" s="116"/>
      <c r="F345" s="116"/>
      <c r="G345" s="14"/>
      <c r="I345" s="14"/>
    </row>
    <row r="346" spans="1:9" ht="15" customHeight="1" x14ac:dyDescent="0.25">
      <c r="A346" s="14"/>
      <c r="B346" s="112"/>
      <c r="C346" s="112"/>
      <c r="D346" s="4"/>
      <c r="E346" s="116"/>
      <c r="F346" s="116"/>
      <c r="G346" s="14"/>
      <c r="I346" s="14"/>
    </row>
    <row r="347" spans="1:9" ht="15" customHeight="1" x14ac:dyDescent="0.25">
      <c r="A347" s="14"/>
      <c r="B347" s="112"/>
      <c r="C347" s="112"/>
      <c r="D347" s="4"/>
      <c r="E347" s="116"/>
      <c r="F347" s="116"/>
      <c r="G347" s="14"/>
      <c r="I347" s="14"/>
    </row>
    <row r="348" spans="1:9" ht="15" customHeight="1" x14ac:dyDescent="0.25">
      <c r="A348" s="14"/>
      <c r="B348" s="112"/>
      <c r="C348" s="112"/>
      <c r="D348" s="4"/>
      <c r="E348" s="116"/>
      <c r="F348" s="116"/>
      <c r="G348" s="14"/>
      <c r="I348" s="14"/>
    </row>
    <row r="349" spans="1:9" ht="15" customHeight="1" x14ac:dyDescent="0.25">
      <c r="A349" s="14"/>
      <c r="B349" s="112"/>
      <c r="C349" s="112"/>
      <c r="D349" s="4"/>
      <c r="E349" s="116"/>
      <c r="F349" s="116"/>
      <c r="G349" s="14"/>
      <c r="I349" s="14"/>
    </row>
    <row r="350" spans="1:9" ht="15" customHeight="1" x14ac:dyDescent="0.25">
      <c r="A350" s="14"/>
      <c r="B350" s="112"/>
      <c r="C350" s="112"/>
      <c r="D350" s="4"/>
      <c r="E350" s="116"/>
      <c r="F350" s="116"/>
      <c r="G350" s="14"/>
      <c r="I350" s="14"/>
    </row>
    <row r="351" spans="1:9" ht="15" customHeight="1" x14ac:dyDescent="0.25">
      <c r="A351" s="14"/>
      <c r="B351" s="112"/>
      <c r="C351" s="112"/>
      <c r="D351" s="4"/>
      <c r="E351" s="116"/>
      <c r="F351" s="116"/>
      <c r="G351" s="14"/>
      <c r="I351" s="14"/>
    </row>
    <row r="352" spans="1:9" ht="15" customHeight="1" x14ac:dyDescent="0.25">
      <c r="A352" s="14"/>
      <c r="B352" s="112"/>
      <c r="C352" s="112"/>
      <c r="D352" s="4"/>
      <c r="E352" s="116"/>
      <c r="F352" s="116"/>
      <c r="G352" s="14"/>
      <c r="I352" s="14"/>
    </row>
    <row r="353" spans="1:9" ht="15" customHeight="1" x14ac:dyDescent="0.25">
      <c r="A353" s="14"/>
      <c r="B353" s="112"/>
      <c r="C353" s="112"/>
      <c r="D353" s="4"/>
      <c r="E353" s="116"/>
      <c r="F353" s="116"/>
      <c r="G353" s="14"/>
      <c r="I353" s="14"/>
    </row>
    <row r="354" spans="1:9" ht="15" customHeight="1" x14ac:dyDescent="0.25">
      <c r="A354" s="14"/>
      <c r="B354" s="112"/>
      <c r="C354" s="112"/>
      <c r="D354" s="4"/>
      <c r="E354" s="116"/>
      <c r="F354" s="116"/>
      <c r="G354" s="14"/>
      <c r="I354" s="14"/>
    </row>
    <row r="355" spans="1:9" ht="15" customHeight="1" x14ac:dyDescent="0.25">
      <c r="A355" s="14"/>
      <c r="B355" s="112"/>
      <c r="C355" s="112"/>
      <c r="D355" s="4"/>
      <c r="E355" s="116"/>
      <c r="F355" s="116"/>
      <c r="G355" s="14"/>
      <c r="I355" s="14"/>
    </row>
    <row r="356" spans="1:9" ht="15" customHeight="1" x14ac:dyDescent="0.25">
      <c r="A356" s="14"/>
      <c r="B356" s="112"/>
      <c r="C356" s="112"/>
      <c r="D356" s="4"/>
      <c r="E356" s="116"/>
      <c r="F356" s="116"/>
      <c r="G356" s="14"/>
      <c r="I356" s="14"/>
    </row>
    <row r="357" spans="1:9" ht="15" customHeight="1" x14ac:dyDescent="0.25">
      <c r="A357" s="14"/>
      <c r="B357" s="112"/>
      <c r="C357" s="112"/>
      <c r="D357" s="4"/>
      <c r="E357" s="116"/>
      <c r="F357" s="116"/>
      <c r="G357" s="14"/>
      <c r="I357" s="14"/>
    </row>
    <row r="358" spans="1:9" ht="15" customHeight="1" x14ac:dyDescent="0.25">
      <c r="A358" s="14"/>
      <c r="B358" s="112"/>
      <c r="C358" s="112"/>
      <c r="D358" s="4"/>
      <c r="E358" s="116"/>
      <c r="F358" s="116"/>
      <c r="G358" s="14"/>
      <c r="I358" s="14"/>
    </row>
    <row r="359" spans="1:9" ht="15" customHeight="1" x14ac:dyDescent="0.25">
      <c r="A359" s="14"/>
      <c r="B359" s="112"/>
      <c r="C359" s="112"/>
      <c r="D359" s="4"/>
      <c r="E359" s="116"/>
      <c r="F359" s="116"/>
      <c r="G359" s="14"/>
      <c r="I359" s="14"/>
    </row>
    <row r="360" spans="1:9" ht="15" customHeight="1" x14ac:dyDescent="0.25">
      <c r="A360" s="14"/>
      <c r="B360" s="112"/>
      <c r="C360" s="112"/>
      <c r="D360" s="4"/>
      <c r="E360" s="116"/>
      <c r="F360" s="116"/>
      <c r="G360" s="14"/>
      <c r="I360" s="14"/>
    </row>
    <row r="361" spans="1:9" ht="15" customHeight="1" x14ac:dyDescent="0.25">
      <c r="A361" s="14"/>
      <c r="B361" s="112"/>
      <c r="C361" s="112"/>
      <c r="D361" s="4"/>
      <c r="E361" s="116"/>
      <c r="F361" s="116"/>
      <c r="G361" s="14"/>
      <c r="I361" s="14"/>
    </row>
    <row r="362" spans="1:9" ht="15" customHeight="1" x14ac:dyDescent="0.25">
      <c r="A362" s="14"/>
      <c r="B362" s="112"/>
      <c r="C362" s="112"/>
      <c r="D362" s="4"/>
      <c r="E362" s="116"/>
      <c r="F362" s="116"/>
      <c r="G362" s="14"/>
      <c r="I362" s="14"/>
    </row>
    <row r="363" spans="1:9" ht="15" customHeight="1" x14ac:dyDescent="0.25">
      <c r="A363" s="14"/>
      <c r="B363" s="112"/>
      <c r="C363" s="112"/>
      <c r="D363" s="4"/>
      <c r="E363" s="116"/>
      <c r="F363" s="116"/>
      <c r="G363" s="14"/>
      <c r="I363" s="14"/>
    </row>
    <row r="364" spans="1:9" ht="15" customHeight="1" x14ac:dyDescent="0.25">
      <c r="A364" s="14"/>
      <c r="B364" s="112"/>
      <c r="C364" s="112"/>
      <c r="D364" s="4"/>
      <c r="E364" s="116"/>
      <c r="F364" s="116"/>
      <c r="G364" s="14"/>
      <c r="I364" s="14"/>
    </row>
    <row r="365" spans="1:9" ht="15" customHeight="1" x14ac:dyDescent="0.25">
      <c r="A365" s="14"/>
      <c r="B365" s="112"/>
      <c r="C365" s="112"/>
      <c r="D365" s="4"/>
      <c r="E365" s="116"/>
      <c r="F365" s="116"/>
      <c r="G365" s="14"/>
      <c r="I365" s="14"/>
    </row>
    <row r="366" spans="1:9" ht="15" customHeight="1" x14ac:dyDescent="0.25">
      <c r="A366" s="14"/>
      <c r="B366" s="112"/>
      <c r="C366" s="112"/>
      <c r="D366" s="4"/>
      <c r="E366" s="116"/>
      <c r="F366" s="116"/>
      <c r="G366" s="14"/>
      <c r="I366" s="14"/>
    </row>
    <row r="367" spans="1:9" ht="15" customHeight="1" x14ac:dyDescent="0.25">
      <c r="A367" s="14"/>
      <c r="B367" s="112"/>
      <c r="C367" s="112"/>
      <c r="D367" s="4"/>
      <c r="E367" s="116"/>
      <c r="F367" s="116"/>
      <c r="G367" s="14"/>
      <c r="I367" s="14"/>
    </row>
    <row r="368" spans="1:9" ht="15" customHeight="1" x14ac:dyDescent="0.25">
      <c r="A368" s="14"/>
      <c r="B368" s="112"/>
      <c r="C368" s="112"/>
      <c r="D368" s="4"/>
      <c r="E368" s="116"/>
      <c r="F368" s="116"/>
      <c r="G368" s="14"/>
      <c r="I368" s="14"/>
    </row>
    <row r="369" spans="1:9" ht="15" customHeight="1" x14ac:dyDescent="0.25">
      <c r="A369" s="14"/>
      <c r="B369" s="112"/>
      <c r="C369" s="112"/>
      <c r="D369" s="4"/>
      <c r="E369" s="116"/>
      <c r="F369" s="116"/>
      <c r="G369" s="14"/>
      <c r="I369" s="14"/>
    </row>
    <row r="370" spans="1:9" ht="15" customHeight="1" x14ac:dyDescent="0.25">
      <c r="A370" s="14"/>
      <c r="B370" s="112"/>
      <c r="C370" s="112"/>
      <c r="D370" s="4"/>
      <c r="E370" s="116"/>
      <c r="F370" s="116"/>
      <c r="G370" s="14"/>
      <c r="I370" s="14"/>
    </row>
    <row r="371" spans="1:9" ht="15" customHeight="1" x14ac:dyDescent="0.25">
      <c r="A371" s="14"/>
      <c r="B371" s="112"/>
      <c r="C371" s="112"/>
      <c r="D371" s="4"/>
      <c r="E371" s="116"/>
      <c r="F371" s="116"/>
      <c r="G371" s="14"/>
      <c r="I371" s="14"/>
    </row>
    <row r="372" spans="1:9" ht="15" customHeight="1" x14ac:dyDescent="0.25">
      <c r="A372" s="14"/>
      <c r="B372" s="112"/>
      <c r="C372" s="112"/>
      <c r="D372" s="4"/>
      <c r="E372" s="116"/>
      <c r="F372" s="116"/>
      <c r="G372" s="14"/>
      <c r="I372" s="14"/>
    </row>
    <row r="373" spans="1:9" ht="15" customHeight="1" x14ac:dyDescent="0.25">
      <c r="A373" s="14"/>
      <c r="B373" s="112"/>
      <c r="C373" s="112"/>
      <c r="D373" s="4"/>
      <c r="E373" s="116"/>
      <c r="F373" s="116"/>
      <c r="G373" s="14"/>
      <c r="I373" s="14"/>
    </row>
    <row r="374" spans="1:9" ht="15" customHeight="1" x14ac:dyDescent="0.25">
      <c r="A374" s="14"/>
      <c r="B374" s="112"/>
      <c r="C374" s="112"/>
      <c r="D374" s="4"/>
      <c r="E374" s="116"/>
      <c r="F374" s="116"/>
      <c r="G374" s="14"/>
      <c r="I374" s="14"/>
    </row>
    <row r="375" spans="1:9" ht="15" customHeight="1" x14ac:dyDescent="0.25">
      <c r="A375" s="14"/>
      <c r="B375" s="112"/>
      <c r="C375" s="112"/>
      <c r="D375" s="4"/>
      <c r="E375" s="116"/>
      <c r="F375" s="116"/>
      <c r="G375" s="14"/>
      <c r="I375" s="14"/>
    </row>
    <row r="376" spans="1:9" ht="15" customHeight="1" x14ac:dyDescent="0.25">
      <c r="A376" s="14"/>
      <c r="B376" s="112"/>
      <c r="C376" s="112"/>
      <c r="D376" s="4"/>
      <c r="E376" s="116"/>
      <c r="F376" s="116"/>
      <c r="G376" s="14"/>
      <c r="I376" s="14"/>
    </row>
    <row r="377" spans="1:9" ht="15" customHeight="1" x14ac:dyDescent="0.25">
      <c r="A377" s="14"/>
      <c r="B377" s="112"/>
      <c r="C377" s="112"/>
      <c r="D377" s="4"/>
      <c r="E377" s="116"/>
      <c r="F377" s="116"/>
      <c r="G377" s="14"/>
      <c r="I377" s="14"/>
    </row>
    <row r="378" spans="1:9" ht="15" customHeight="1" x14ac:dyDescent="0.25">
      <c r="A378" s="14"/>
      <c r="B378" s="112"/>
      <c r="C378" s="112"/>
      <c r="D378" s="4"/>
      <c r="E378" s="116"/>
      <c r="F378" s="116"/>
      <c r="G378" s="14"/>
      <c r="I378" s="14"/>
    </row>
    <row r="379" spans="1:9" ht="15" customHeight="1" x14ac:dyDescent="0.25">
      <c r="A379" s="14"/>
      <c r="B379" s="112"/>
      <c r="C379" s="112"/>
      <c r="D379" s="4"/>
      <c r="E379" s="116"/>
      <c r="F379" s="116"/>
      <c r="G379" s="14"/>
      <c r="I379" s="14"/>
    </row>
    <row r="380" spans="1:9" ht="15" customHeight="1" x14ac:dyDescent="0.25">
      <c r="A380" s="14"/>
      <c r="B380" s="112"/>
      <c r="C380" s="112"/>
      <c r="D380" s="4"/>
      <c r="E380" s="116"/>
      <c r="F380" s="116"/>
      <c r="G380" s="14"/>
      <c r="I380" s="14"/>
    </row>
    <row r="381" spans="1:9" ht="15" customHeight="1" x14ac:dyDescent="0.25">
      <c r="A381" s="14"/>
      <c r="B381" s="112"/>
      <c r="C381" s="112"/>
      <c r="D381" s="4"/>
      <c r="E381" s="116"/>
      <c r="F381" s="116"/>
      <c r="G381" s="14"/>
      <c r="I381" s="14"/>
    </row>
    <row r="382" spans="1:9" ht="15" customHeight="1" x14ac:dyDescent="0.25">
      <c r="A382" s="14"/>
      <c r="B382" s="112"/>
      <c r="C382" s="112"/>
      <c r="D382" s="4"/>
      <c r="E382" s="116"/>
      <c r="F382" s="116"/>
      <c r="G382" s="14"/>
      <c r="I382" s="14"/>
    </row>
    <row r="383" spans="1:9" ht="15" customHeight="1" x14ac:dyDescent="0.25">
      <c r="A383" s="14"/>
      <c r="B383" s="112"/>
      <c r="C383" s="112"/>
      <c r="D383" s="4"/>
      <c r="E383" s="116"/>
      <c r="F383" s="116"/>
      <c r="G383" s="14"/>
      <c r="I383" s="14"/>
    </row>
    <row r="384" spans="1:9" ht="15" customHeight="1" x14ac:dyDescent="0.25">
      <c r="A384" s="14"/>
      <c r="B384" s="112"/>
      <c r="C384" s="112"/>
      <c r="D384" s="4"/>
      <c r="E384" s="116"/>
      <c r="F384" s="116"/>
      <c r="G384" s="14"/>
      <c r="I384" s="14"/>
    </row>
    <row r="385" spans="1:9" ht="15" customHeight="1" x14ac:dyDescent="0.25">
      <c r="A385" s="14"/>
      <c r="B385" s="112"/>
      <c r="C385" s="112"/>
      <c r="D385" s="4"/>
      <c r="E385" s="116"/>
      <c r="F385" s="116"/>
      <c r="G385" s="14"/>
      <c r="I385" s="14"/>
    </row>
    <row r="386" spans="1:9" ht="15" customHeight="1" x14ac:dyDescent="0.25">
      <c r="A386" s="14"/>
      <c r="B386" s="112"/>
      <c r="C386" s="112"/>
      <c r="D386" s="4"/>
      <c r="E386" s="116"/>
      <c r="F386" s="116"/>
      <c r="G386" s="14"/>
      <c r="I386" s="14"/>
    </row>
    <row r="387" spans="1:9" ht="15" customHeight="1" x14ac:dyDescent="0.25">
      <c r="A387" s="14"/>
      <c r="B387" s="112"/>
      <c r="C387" s="112"/>
      <c r="D387" s="4"/>
      <c r="E387" s="116"/>
      <c r="F387" s="116"/>
      <c r="G387" s="14"/>
      <c r="I387" s="14"/>
    </row>
    <row r="388" spans="1:9" ht="15" customHeight="1" x14ac:dyDescent="0.25">
      <c r="A388" s="14"/>
      <c r="B388" s="112"/>
      <c r="C388" s="112"/>
      <c r="D388" s="4"/>
      <c r="E388" s="116"/>
      <c r="F388" s="116"/>
      <c r="G388" s="14"/>
      <c r="I388" s="14"/>
    </row>
    <row r="389" spans="1:9" ht="15" customHeight="1" x14ac:dyDescent="0.25">
      <c r="A389" s="14"/>
      <c r="B389" s="112"/>
      <c r="C389" s="112"/>
      <c r="D389" s="4"/>
      <c r="E389" s="116"/>
      <c r="F389" s="116"/>
      <c r="G389" s="14"/>
      <c r="I389" s="14"/>
    </row>
    <row r="390" spans="1:9" ht="15" customHeight="1" x14ac:dyDescent="0.25">
      <c r="A390" s="14"/>
      <c r="B390" s="112"/>
      <c r="C390" s="112"/>
      <c r="D390" s="4"/>
      <c r="E390" s="116"/>
      <c r="F390" s="116"/>
      <c r="G390" s="14"/>
      <c r="I390" s="14"/>
    </row>
    <row r="391" spans="1:9" ht="15" customHeight="1" x14ac:dyDescent="0.25">
      <c r="A391" s="14"/>
      <c r="B391" s="112"/>
      <c r="C391" s="112"/>
      <c r="D391" s="4"/>
      <c r="E391" s="116"/>
      <c r="F391" s="116"/>
      <c r="G391" s="14"/>
      <c r="I391" s="14"/>
    </row>
    <row r="392" spans="1:9" ht="15" customHeight="1" x14ac:dyDescent="0.25">
      <c r="A392" s="14"/>
      <c r="B392" s="112"/>
      <c r="C392" s="112"/>
      <c r="D392" s="4"/>
      <c r="E392" s="116"/>
      <c r="F392" s="116"/>
      <c r="G392" s="14"/>
      <c r="I392" s="14"/>
    </row>
    <row r="393" spans="1:9" ht="15" customHeight="1" x14ac:dyDescent="0.25">
      <c r="A393" s="14"/>
      <c r="B393" s="112"/>
      <c r="C393" s="112"/>
      <c r="D393" s="4"/>
      <c r="E393" s="116"/>
      <c r="F393" s="116"/>
      <c r="G393" s="14"/>
      <c r="I393" s="14"/>
    </row>
    <row r="394" spans="1:9" ht="15" customHeight="1" x14ac:dyDescent="0.25">
      <c r="A394" s="14"/>
      <c r="B394" s="112"/>
      <c r="C394" s="112"/>
      <c r="D394" s="4"/>
      <c r="E394" s="116"/>
      <c r="F394" s="116"/>
      <c r="G394" s="14"/>
      <c r="I394" s="14"/>
    </row>
    <row r="395" spans="1:9" ht="15" customHeight="1" x14ac:dyDescent="0.25">
      <c r="A395" s="14"/>
      <c r="B395" s="112"/>
      <c r="C395" s="112"/>
      <c r="D395" s="4"/>
      <c r="E395" s="116"/>
      <c r="F395" s="116"/>
      <c r="G395" s="14"/>
      <c r="I395" s="14"/>
    </row>
    <row r="396" spans="1:9" ht="15" customHeight="1" x14ac:dyDescent="0.25">
      <c r="A396" s="14"/>
      <c r="B396" s="112"/>
      <c r="C396" s="112"/>
      <c r="D396" s="4"/>
      <c r="E396" s="116"/>
      <c r="F396" s="116"/>
      <c r="G396" s="14"/>
      <c r="I396" s="14"/>
    </row>
    <row r="397" spans="1:9" ht="15" customHeight="1" x14ac:dyDescent="0.25">
      <c r="A397" s="14"/>
      <c r="B397" s="112"/>
      <c r="C397" s="112"/>
      <c r="D397" s="4"/>
      <c r="E397" s="116"/>
      <c r="F397" s="116"/>
      <c r="G397" s="14"/>
      <c r="I397" s="14"/>
    </row>
    <row r="398" spans="1:9" ht="15" customHeight="1" x14ac:dyDescent="0.25">
      <c r="A398" s="14"/>
      <c r="B398" s="112"/>
      <c r="C398" s="112"/>
      <c r="D398" s="4"/>
      <c r="E398" s="116"/>
      <c r="F398" s="116"/>
      <c r="G398" s="14"/>
      <c r="I398" s="14"/>
    </row>
    <row r="399" spans="1:9" ht="15" customHeight="1" x14ac:dyDescent="0.25">
      <c r="A399" s="14"/>
      <c r="B399" s="112"/>
      <c r="C399" s="112"/>
      <c r="D399" s="4"/>
      <c r="E399" s="116"/>
      <c r="F399" s="116"/>
      <c r="G399" s="14"/>
      <c r="I399" s="14"/>
    </row>
    <row r="400" spans="1:9" ht="15" customHeight="1" x14ac:dyDescent="0.25">
      <c r="A400" s="14"/>
      <c r="B400" s="112"/>
      <c r="C400" s="112"/>
      <c r="D400" s="4"/>
      <c r="E400" s="116"/>
      <c r="F400" s="116"/>
      <c r="G400" s="14"/>
      <c r="I400" s="14"/>
    </row>
    <row r="401" spans="1:9" ht="15" customHeight="1" x14ac:dyDescent="0.25">
      <c r="A401" s="14"/>
      <c r="B401" s="112"/>
      <c r="C401" s="112"/>
      <c r="D401" s="4"/>
      <c r="E401" s="116"/>
      <c r="F401" s="116"/>
      <c r="G401" s="14"/>
      <c r="I401" s="14"/>
    </row>
    <row r="402" spans="1:9" ht="15" customHeight="1" x14ac:dyDescent="0.25">
      <c r="A402" s="14"/>
      <c r="B402" s="112"/>
      <c r="C402" s="112"/>
      <c r="D402" s="4"/>
      <c r="E402" s="116"/>
      <c r="F402" s="116"/>
      <c r="G402" s="14"/>
      <c r="I402" s="14"/>
    </row>
    <row r="403" spans="1:9" ht="15" customHeight="1" x14ac:dyDescent="0.25">
      <c r="A403" s="14"/>
      <c r="B403" s="112"/>
      <c r="C403" s="112"/>
      <c r="D403" s="4"/>
      <c r="E403" s="116"/>
      <c r="F403" s="116"/>
      <c r="G403" s="14"/>
      <c r="I403" s="14"/>
    </row>
    <row r="404" spans="1:9" ht="15" customHeight="1" x14ac:dyDescent="0.25">
      <c r="A404" s="14"/>
      <c r="B404" s="112"/>
      <c r="C404" s="112"/>
      <c r="D404" s="4"/>
      <c r="E404" s="116"/>
      <c r="F404" s="116"/>
      <c r="G404" s="14"/>
      <c r="I404" s="14"/>
    </row>
    <row r="405" spans="1:9" ht="15" customHeight="1" x14ac:dyDescent="0.25">
      <c r="A405" s="14"/>
      <c r="B405" s="112"/>
      <c r="C405" s="112"/>
      <c r="D405" s="4"/>
      <c r="E405" s="116"/>
      <c r="F405" s="116"/>
      <c r="G405" s="14"/>
      <c r="I405" s="14"/>
    </row>
    <row r="406" spans="1:9" ht="15" customHeight="1" x14ac:dyDescent="0.25">
      <c r="A406" s="14"/>
      <c r="B406" s="112"/>
      <c r="C406" s="112"/>
      <c r="D406" s="4"/>
      <c r="E406" s="116"/>
      <c r="F406" s="116"/>
      <c r="G406" s="14"/>
      <c r="I406" s="14"/>
    </row>
    <row r="407" spans="1:9" ht="15" customHeight="1" x14ac:dyDescent="0.25">
      <c r="A407" s="14"/>
      <c r="B407" s="112"/>
      <c r="C407" s="112"/>
      <c r="D407" s="4"/>
      <c r="E407" s="116"/>
      <c r="F407" s="116"/>
      <c r="G407" s="14"/>
      <c r="I407" s="14"/>
    </row>
    <row r="408" spans="1:9" ht="15" customHeight="1" x14ac:dyDescent="0.25">
      <c r="A408" s="14"/>
      <c r="B408" s="112"/>
      <c r="C408" s="112"/>
      <c r="D408" s="4"/>
      <c r="E408" s="116"/>
      <c r="F408" s="116"/>
      <c r="G408" s="14"/>
      <c r="I408" s="14"/>
    </row>
    <row r="409" spans="1:9" ht="15" customHeight="1" x14ac:dyDescent="0.25">
      <c r="A409" s="14"/>
      <c r="B409" s="112"/>
      <c r="C409" s="112"/>
      <c r="D409" s="4"/>
      <c r="E409" s="116"/>
      <c r="F409" s="116"/>
      <c r="G409" s="14"/>
      <c r="I409" s="14"/>
    </row>
    <row r="410" spans="1:9" ht="15" customHeight="1" x14ac:dyDescent="0.25">
      <c r="A410" s="14"/>
      <c r="B410" s="112"/>
      <c r="C410" s="112"/>
      <c r="D410" s="4"/>
      <c r="E410" s="116"/>
      <c r="F410" s="116"/>
      <c r="G410" s="14"/>
      <c r="I410" s="14"/>
    </row>
    <row r="411" spans="1:9" ht="15" customHeight="1" x14ac:dyDescent="0.25">
      <c r="A411" s="14"/>
      <c r="B411" s="112"/>
      <c r="C411" s="112"/>
      <c r="D411" s="4"/>
      <c r="E411" s="116"/>
      <c r="F411" s="116"/>
      <c r="G411" s="14"/>
      <c r="I411" s="14"/>
    </row>
    <row r="412" spans="1:9" ht="15" customHeight="1" x14ac:dyDescent="0.25">
      <c r="A412" s="14"/>
      <c r="B412" s="112"/>
      <c r="C412" s="112"/>
      <c r="D412" s="4"/>
      <c r="E412" s="116"/>
      <c r="F412" s="116"/>
      <c r="G412" s="14"/>
      <c r="I412" s="14"/>
    </row>
    <row r="413" spans="1:9" ht="15" customHeight="1" x14ac:dyDescent="0.25">
      <c r="A413" s="14"/>
      <c r="B413" s="112"/>
      <c r="C413" s="112"/>
      <c r="D413" s="4"/>
      <c r="E413" s="116"/>
      <c r="F413" s="116"/>
      <c r="G413" s="14"/>
      <c r="I413" s="14"/>
    </row>
    <row r="414" spans="1:9" ht="15" customHeight="1" x14ac:dyDescent="0.25">
      <c r="A414" s="14"/>
      <c r="B414" s="112"/>
      <c r="C414" s="112"/>
      <c r="D414" s="4"/>
      <c r="E414" s="116"/>
      <c r="F414" s="116"/>
      <c r="G414" s="14"/>
      <c r="I414" s="14"/>
    </row>
    <row r="415" spans="1:9" ht="15" customHeight="1" x14ac:dyDescent="0.25">
      <c r="A415" s="14"/>
      <c r="B415" s="112"/>
      <c r="C415" s="112"/>
      <c r="D415" s="4"/>
      <c r="E415" s="116"/>
      <c r="F415" s="116"/>
      <c r="G415" s="14"/>
      <c r="I415" s="14"/>
    </row>
    <row r="416" spans="1:9" ht="15" customHeight="1" x14ac:dyDescent="0.25">
      <c r="A416" s="14"/>
      <c r="B416" s="112"/>
      <c r="C416" s="112"/>
      <c r="D416" s="4"/>
      <c r="E416" s="116"/>
      <c r="F416" s="116"/>
      <c r="G416" s="14"/>
      <c r="I416" s="14"/>
    </row>
    <row r="417" spans="1:9" ht="15" customHeight="1" x14ac:dyDescent="0.25">
      <c r="A417" s="14"/>
      <c r="B417" s="112"/>
      <c r="C417" s="112"/>
      <c r="D417" s="4"/>
      <c r="E417" s="116"/>
      <c r="F417" s="116"/>
      <c r="G417" s="14"/>
      <c r="I417" s="14"/>
    </row>
    <row r="418" spans="1:9" ht="15" customHeight="1" x14ac:dyDescent="0.25">
      <c r="A418" s="14"/>
      <c r="B418" s="112"/>
      <c r="C418" s="112"/>
      <c r="D418" s="4"/>
      <c r="E418" s="116"/>
      <c r="F418" s="116"/>
      <c r="G418" s="14"/>
      <c r="I418" s="14"/>
    </row>
    <row r="419" spans="1:9" ht="15" customHeight="1" x14ac:dyDescent="0.25">
      <c r="A419" s="14"/>
      <c r="B419" s="112"/>
      <c r="C419" s="112"/>
      <c r="D419" s="4"/>
      <c r="E419" s="116"/>
      <c r="F419" s="116"/>
      <c r="G419" s="14"/>
      <c r="I419" s="14"/>
    </row>
    <row r="420" spans="1:9" ht="15" customHeight="1" x14ac:dyDescent="0.25">
      <c r="A420" s="14"/>
      <c r="B420" s="112"/>
      <c r="C420" s="112"/>
      <c r="D420" s="4"/>
      <c r="E420" s="116"/>
      <c r="F420" s="116"/>
      <c r="G420" s="14"/>
      <c r="I420" s="14"/>
    </row>
    <row r="421" spans="1:9" ht="15" customHeight="1" x14ac:dyDescent="0.25">
      <c r="A421" s="14"/>
      <c r="B421" s="112"/>
      <c r="C421" s="112"/>
      <c r="D421" s="4"/>
      <c r="E421" s="116"/>
      <c r="F421" s="116"/>
      <c r="G421" s="14"/>
      <c r="I421" s="14"/>
    </row>
    <row r="422" spans="1:9" ht="15" customHeight="1" x14ac:dyDescent="0.25">
      <c r="A422" s="14"/>
      <c r="B422" s="112"/>
      <c r="C422" s="112"/>
      <c r="D422" s="4"/>
      <c r="E422" s="116"/>
      <c r="F422" s="116"/>
      <c r="G422" s="14"/>
      <c r="I422" s="14"/>
    </row>
    <row r="423" spans="1:9" ht="15" customHeight="1" x14ac:dyDescent="0.25">
      <c r="A423" s="14"/>
      <c r="B423" s="112"/>
      <c r="C423" s="112"/>
      <c r="D423" s="4"/>
      <c r="E423" s="116"/>
      <c r="F423" s="116"/>
      <c r="G423" s="14"/>
      <c r="I423" s="14"/>
    </row>
    <row r="424" spans="1:9" ht="15" customHeight="1" x14ac:dyDescent="0.25">
      <c r="A424" s="14"/>
      <c r="B424" s="112"/>
      <c r="C424" s="112"/>
      <c r="D424" s="4"/>
      <c r="E424" s="116"/>
      <c r="F424" s="116"/>
      <c r="G424" s="14"/>
      <c r="I424" s="14"/>
    </row>
    <row r="425" spans="1:9" ht="15" customHeight="1" x14ac:dyDescent="0.25">
      <c r="A425" s="14"/>
      <c r="B425" s="112"/>
      <c r="C425" s="112"/>
      <c r="D425" s="4"/>
      <c r="E425" s="116"/>
      <c r="F425" s="116"/>
      <c r="G425" s="14"/>
      <c r="I425" s="14"/>
    </row>
    <row r="426" spans="1:9" ht="15" customHeight="1" x14ac:dyDescent="0.25">
      <c r="A426" s="14"/>
      <c r="B426" s="112"/>
      <c r="C426" s="112"/>
      <c r="D426" s="4"/>
      <c r="E426" s="116"/>
      <c r="F426" s="116"/>
      <c r="G426" s="14"/>
      <c r="I426" s="14"/>
    </row>
    <row r="427" spans="1:9" ht="15" customHeight="1" x14ac:dyDescent="0.25">
      <c r="A427" s="14"/>
      <c r="B427" s="112"/>
      <c r="C427" s="112"/>
      <c r="D427" s="4"/>
      <c r="E427" s="116"/>
      <c r="F427" s="116"/>
      <c r="G427" s="14"/>
      <c r="I427" s="14"/>
    </row>
    <row r="428" spans="1:9" ht="15" customHeight="1" x14ac:dyDescent="0.25">
      <c r="A428" s="14"/>
      <c r="B428" s="112"/>
      <c r="C428" s="112"/>
      <c r="D428" s="4"/>
      <c r="E428" s="116"/>
      <c r="F428" s="116"/>
      <c r="G428" s="14"/>
      <c r="I428" s="14"/>
    </row>
    <row r="429" spans="1:9" ht="15" customHeight="1" x14ac:dyDescent="0.25">
      <c r="A429" s="14"/>
      <c r="B429" s="112"/>
      <c r="C429" s="112"/>
      <c r="D429" s="4"/>
      <c r="E429" s="116"/>
      <c r="F429" s="116"/>
      <c r="G429" s="14"/>
      <c r="I429" s="14"/>
    </row>
    <row r="430" spans="1:9" ht="15" customHeight="1" x14ac:dyDescent="0.25">
      <c r="A430" s="14"/>
      <c r="B430" s="112"/>
      <c r="C430" s="112"/>
      <c r="D430" s="4"/>
      <c r="E430" s="116"/>
      <c r="F430" s="116"/>
      <c r="G430" s="14"/>
      <c r="I430" s="14"/>
    </row>
    <row r="431" spans="1:9" ht="15" customHeight="1" x14ac:dyDescent="0.25">
      <c r="A431" s="14"/>
      <c r="B431" s="112"/>
      <c r="C431" s="112"/>
      <c r="D431" s="4"/>
      <c r="E431" s="116"/>
      <c r="F431" s="116"/>
      <c r="G431" s="14"/>
      <c r="I431" s="14"/>
    </row>
    <row r="432" spans="1:9" ht="15" customHeight="1" x14ac:dyDescent="0.25">
      <c r="A432" s="14"/>
      <c r="B432" s="112"/>
      <c r="C432" s="112"/>
      <c r="D432" s="4"/>
      <c r="E432" s="116"/>
      <c r="F432" s="116"/>
      <c r="G432" s="14"/>
      <c r="I432" s="14"/>
    </row>
    <row r="433" spans="1:9" ht="15" customHeight="1" x14ac:dyDescent="0.25">
      <c r="A433" s="14"/>
      <c r="B433" s="112"/>
      <c r="C433" s="112"/>
      <c r="D433" s="4"/>
      <c r="E433" s="116"/>
      <c r="F433" s="116"/>
      <c r="G433" s="14"/>
      <c r="I433" s="14"/>
    </row>
    <row r="434" spans="1:9" ht="15" customHeight="1" x14ac:dyDescent="0.25">
      <c r="A434" s="14"/>
      <c r="B434" s="112"/>
      <c r="C434" s="112"/>
      <c r="D434" s="4"/>
      <c r="E434" s="116"/>
      <c r="F434" s="116"/>
      <c r="G434" s="14"/>
      <c r="I434" s="14"/>
    </row>
    <row r="435" spans="1:9" ht="15" customHeight="1" x14ac:dyDescent="0.25">
      <c r="A435" s="14"/>
      <c r="B435" s="112"/>
      <c r="C435" s="112"/>
      <c r="D435" s="4"/>
      <c r="E435" s="116"/>
      <c r="F435" s="116"/>
      <c r="G435" s="14"/>
      <c r="I435" s="14"/>
    </row>
    <row r="436" spans="1:9" ht="15" customHeight="1" x14ac:dyDescent="0.25">
      <c r="A436" s="14"/>
      <c r="B436" s="112"/>
      <c r="C436" s="112"/>
      <c r="D436" s="4"/>
      <c r="E436" s="116"/>
      <c r="F436" s="116"/>
      <c r="G436" s="14"/>
      <c r="I436" s="14"/>
    </row>
    <row r="437" spans="1:9" ht="15" customHeight="1" x14ac:dyDescent="0.25">
      <c r="A437" s="14"/>
      <c r="B437" s="112"/>
      <c r="C437" s="112"/>
      <c r="D437" s="4"/>
      <c r="E437" s="116"/>
      <c r="F437" s="116"/>
      <c r="G437" s="14"/>
      <c r="I437" s="14"/>
    </row>
    <row r="438" spans="1:9" ht="15" customHeight="1" x14ac:dyDescent="0.25">
      <c r="A438" s="14"/>
      <c r="B438" s="112"/>
      <c r="C438" s="112"/>
      <c r="D438" s="4"/>
      <c r="E438" s="116"/>
      <c r="F438" s="116"/>
      <c r="G438" s="14"/>
      <c r="I438" s="14"/>
    </row>
    <row r="439" spans="1:9" ht="15" customHeight="1" x14ac:dyDescent="0.25">
      <c r="A439" s="14"/>
      <c r="B439" s="112"/>
      <c r="C439" s="112"/>
      <c r="D439" s="4"/>
      <c r="E439" s="116"/>
      <c r="F439" s="116"/>
      <c r="G439" s="14"/>
      <c r="I439" s="14"/>
    </row>
    <row r="440" spans="1:9" ht="15" customHeight="1" x14ac:dyDescent="0.25">
      <c r="A440" s="14"/>
      <c r="B440" s="112"/>
      <c r="C440" s="112"/>
      <c r="D440" s="4"/>
      <c r="E440" s="116"/>
      <c r="F440" s="116"/>
      <c r="G440" s="14"/>
      <c r="I440" s="14"/>
    </row>
    <row r="441" spans="1:9" ht="15" customHeight="1" x14ac:dyDescent="0.25">
      <c r="A441" s="14"/>
      <c r="B441" s="112"/>
      <c r="C441" s="112"/>
      <c r="D441" s="4"/>
      <c r="E441" s="116"/>
      <c r="F441" s="116"/>
      <c r="G441" s="14"/>
      <c r="I441" s="14"/>
    </row>
    <row r="442" spans="1:9" ht="15" customHeight="1" x14ac:dyDescent="0.25">
      <c r="A442" s="14"/>
      <c r="B442" s="112"/>
      <c r="C442" s="112"/>
      <c r="D442" s="4"/>
      <c r="E442" s="116"/>
      <c r="F442" s="116"/>
      <c r="G442" s="14"/>
      <c r="I442" s="14"/>
    </row>
    <row r="443" spans="1:9" ht="15" customHeight="1" x14ac:dyDescent="0.25">
      <c r="A443" s="14"/>
      <c r="B443" s="112"/>
      <c r="C443" s="112"/>
      <c r="D443" s="4"/>
      <c r="E443" s="116"/>
      <c r="F443" s="116"/>
      <c r="G443" s="14"/>
      <c r="I443" s="14"/>
    </row>
    <row r="444" spans="1:9" ht="15" customHeight="1" x14ac:dyDescent="0.25">
      <c r="A444" s="14"/>
      <c r="B444" s="112"/>
      <c r="C444" s="112"/>
      <c r="D444" s="4"/>
      <c r="E444" s="116"/>
      <c r="F444" s="116"/>
      <c r="G444" s="14"/>
      <c r="I444" s="14"/>
    </row>
    <row r="445" spans="1:9" ht="15" customHeight="1" x14ac:dyDescent="0.25">
      <c r="A445" s="14"/>
      <c r="B445" s="112"/>
      <c r="C445" s="112"/>
      <c r="D445" s="4"/>
      <c r="E445" s="116"/>
      <c r="F445" s="116"/>
      <c r="G445" s="14"/>
      <c r="I445" s="14"/>
    </row>
    <row r="446" spans="1:9" ht="15" customHeight="1" x14ac:dyDescent="0.25">
      <c r="A446" s="14"/>
      <c r="B446" s="112"/>
      <c r="C446" s="112"/>
      <c r="D446" s="4"/>
      <c r="E446" s="116"/>
      <c r="F446" s="116"/>
      <c r="G446" s="14"/>
      <c r="I446" s="14"/>
    </row>
    <row r="447" spans="1:9" ht="15" customHeight="1" x14ac:dyDescent="0.25">
      <c r="A447" s="14"/>
      <c r="B447" s="112"/>
      <c r="C447" s="112"/>
      <c r="D447" s="4"/>
      <c r="E447" s="116"/>
      <c r="F447" s="116"/>
      <c r="G447" s="14"/>
      <c r="I447" s="14"/>
    </row>
    <row r="448" spans="1:9" ht="15" customHeight="1" x14ac:dyDescent="0.25">
      <c r="A448" s="14"/>
      <c r="B448" s="112"/>
      <c r="C448" s="112"/>
      <c r="D448" s="4"/>
      <c r="E448" s="116"/>
      <c r="F448" s="116"/>
      <c r="G448" s="14"/>
      <c r="I448" s="14"/>
    </row>
    <row r="449" spans="1:9" ht="15" customHeight="1" x14ac:dyDescent="0.25">
      <c r="A449" s="14"/>
      <c r="B449" s="112"/>
      <c r="C449" s="112"/>
      <c r="D449" s="4"/>
      <c r="E449" s="116"/>
      <c r="F449" s="116"/>
      <c r="G449" s="14"/>
      <c r="I449" s="14"/>
    </row>
    <row r="450" spans="1:9" ht="15" customHeight="1" x14ac:dyDescent="0.25">
      <c r="A450" s="14"/>
      <c r="B450" s="112"/>
      <c r="C450" s="112"/>
      <c r="D450" s="4"/>
      <c r="E450" s="116"/>
      <c r="F450" s="116"/>
      <c r="G450" s="14"/>
      <c r="I450" s="14"/>
    </row>
    <row r="451" spans="1:9" ht="15" customHeight="1" x14ac:dyDescent="0.25">
      <c r="A451" s="14"/>
      <c r="B451" s="112"/>
      <c r="C451" s="112"/>
      <c r="D451" s="4"/>
      <c r="E451" s="116"/>
      <c r="F451" s="116"/>
      <c r="G451" s="14"/>
      <c r="I451" s="14"/>
    </row>
    <row r="452" spans="1:9" ht="15" customHeight="1" x14ac:dyDescent="0.25">
      <c r="A452" s="14"/>
      <c r="B452" s="112"/>
      <c r="C452" s="112"/>
      <c r="D452" s="4"/>
      <c r="E452" s="116"/>
      <c r="F452" s="116"/>
      <c r="G452" s="14"/>
      <c r="I452" s="14"/>
    </row>
    <row r="453" spans="1:9" ht="15" customHeight="1" x14ac:dyDescent="0.25">
      <c r="A453" s="14"/>
      <c r="B453" s="112"/>
      <c r="C453" s="112"/>
      <c r="D453" s="4"/>
      <c r="E453" s="116"/>
      <c r="F453" s="116"/>
      <c r="G453" s="14"/>
      <c r="I453" s="14"/>
    </row>
    <row r="454" spans="1:9" ht="15" customHeight="1" x14ac:dyDescent="0.25">
      <c r="A454" s="14"/>
      <c r="B454" s="112"/>
      <c r="C454" s="112"/>
      <c r="D454" s="4"/>
      <c r="E454" s="116"/>
      <c r="F454" s="116"/>
      <c r="G454" s="14"/>
      <c r="I454" s="14"/>
    </row>
    <row r="455" spans="1:9" ht="15" customHeight="1" x14ac:dyDescent="0.25">
      <c r="A455" s="14"/>
      <c r="B455" s="112"/>
      <c r="C455" s="112"/>
      <c r="D455" s="4"/>
      <c r="E455" s="116"/>
      <c r="F455" s="116"/>
      <c r="G455" s="14"/>
      <c r="I455" s="14"/>
    </row>
    <row r="456" spans="1:9" ht="15" customHeight="1" x14ac:dyDescent="0.25">
      <c r="A456" s="14"/>
      <c r="B456" s="112"/>
      <c r="C456" s="112"/>
      <c r="D456" s="4"/>
      <c r="E456" s="116"/>
      <c r="F456" s="116"/>
      <c r="G456" s="14"/>
      <c r="I456" s="14"/>
    </row>
    <row r="457" spans="1:9" ht="15" customHeight="1" x14ac:dyDescent="0.25">
      <c r="A457" s="14"/>
      <c r="B457" s="112"/>
      <c r="C457" s="112"/>
      <c r="D457" s="4"/>
      <c r="E457" s="116"/>
      <c r="F457" s="116"/>
      <c r="G457" s="14"/>
      <c r="I457" s="14"/>
    </row>
    <row r="458" spans="1:9" ht="15" customHeight="1" x14ac:dyDescent="0.25">
      <c r="A458" s="14"/>
      <c r="B458" s="112"/>
      <c r="C458" s="112"/>
      <c r="D458" s="4"/>
      <c r="E458" s="116"/>
      <c r="F458" s="116"/>
      <c r="G458" s="14"/>
      <c r="I458" s="14"/>
    </row>
    <row r="459" spans="1:9" ht="15" customHeight="1" x14ac:dyDescent="0.25">
      <c r="A459" s="14"/>
      <c r="B459" s="112"/>
      <c r="C459" s="112"/>
      <c r="D459" s="4"/>
      <c r="E459" s="116"/>
      <c r="F459" s="116"/>
      <c r="G459" s="14"/>
      <c r="I459" s="14"/>
    </row>
    <row r="460" spans="1:9" ht="15" customHeight="1" x14ac:dyDescent="0.25">
      <c r="A460" s="14"/>
      <c r="B460" s="112"/>
      <c r="C460" s="112"/>
      <c r="D460" s="4"/>
      <c r="E460" s="116"/>
      <c r="F460" s="116"/>
      <c r="G460" s="14"/>
      <c r="I460" s="14"/>
    </row>
    <row r="461" spans="1:9" ht="15" customHeight="1" x14ac:dyDescent="0.25">
      <c r="A461" s="14"/>
      <c r="B461" s="112"/>
      <c r="C461" s="112"/>
      <c r="D461" s="4"/>
      <c r="E461" s="116"/>
      <c r="F461" s="116"/>
      <c r="G461" s="14"/>
      <c r="I461" s="14"/>
    </row>
    <row r="462" spans="1:9" ht="15" customHeight="1" x14ac:dyDescent="0.25">
      <c r="A462" s="14"/>
      <c r="B462" s="112"/>
      <c r="C462" s="112"/>
      <c r="D462" s="4"/>
      <c r="E462" s="116"/>
      <c r="F462" s="116"/>
      <c r="G462" s="14"/>
      <c r="I462" s="14"/>
    </row>
    <row r="463" spans="1:9" ht="15" customHeight="1" x14ac:dyDescent="0.25">
      <c r="A463" s="14"/>
      <c r="B463" s="112"/>
      <c r="C463" s="112"/>
      <c r="D463" s="4"/>
      <c r="E463" s="116"/>
      <c r="F463" s="116"/>
      <c r="G463" s="14"/>
      <c r="I463" s="14"/>
    </row>
    <row r="464" spans="1:9" ht="15" customHeight="1" x14ac:dyDescent="0.25">
      <c r="A464" s="14"/>
      <c r="B464" s="112"/>
      <c r="C464" s="112"/>
      <c r="D464" s="4"/>
      <c r="E464" s="116"/>
      <c r="F464" s="116"/>
      <c r="G464" s="14"/>
      <c r="I464" s="14"/>
    </row>
    <row r="465" spans="1:9" ht="15" customHeight="1" x14ac:dyDescent="0.25">
      <c r="A465" s="14"/>
      <c r="B465" s="112"/>
      <c r="C465" s="112"/>
      <c r="D465" s="4"/>
      <c r="E465" s="116"/>
      <c r="F465" s="116"/>
      <c r="G465" s="14"/>
      <c r="I465" s="14"/>
    </row>
    <row r="466" spans="1:9" ht="15" customHeight="1" x14ac:dyDescent="0.25">
      <c r="A466" s="14"/>
      <c r="B466" s="112"/>
      <c r="C466" s="112"/>
      <c r="D466" s="4"/>
      <c r="E466" s="116"/>
      <c r="F466" s="116"/>
      <c r="G466" s="14"/>
      <c r="I466" s="14"/>
    </row>
    <row r="467" spans="1:9" ht="15" customHeight="1" x14ac:dyDescent="0.25">
      <c r="A467" s="14"/>
      <c r="B467" s="112"/>
      <c r="C467" s="112"/>
      <c r="D467" s="4"/>
      <c r="E467" s="116"/>
      <c r="F467" s="116"/>
      <c r="G467" s="14"/>
      <c r="I467" s="14"/>
    </row>
    <row r="468" spans="1:9" ht="15" customHeight="1" x14ac:dyDescent="0.25">
      <c r="A468" s="14"/>
      <c r="B468" s="112"/>
      <c r="C468" s="112"/>
      <c r="D468" s="4"/>
      <c r="E468" s="116"/>
      <c r="F468" s="116"/>
      <c r="G468" s="14"/>
      <c r="I468" s="14"/>
    </row>
    <row r="469" spans="1:9" ht="15" customHeight="1" x14ac:dyDescent="0.25">
      <c r="A469" s="14"/>
      <c r="B469" s="112"/>
      <c r="C469" s="112"/>
      <c r="D469" s="4"/>
      <c r="E469" s="116"/>
      <c r="F469" s="116"/>
      <c r="G469" s="14"/>
      <c r="I469" s="14"/>
    </row>
    <row r="470" spans="1:9" ht="15" customHeight="1" x14ac:dyDescent="0.25">
      <c r="A470" s="14"/>
      <c r="B470" s="112"/>
      <c r="C470" s="112"/>
      <c r="D470" s="4"/>
      <c r="E470" s="116"/>
      <c r="F470" s="116"/>
      <c r="G470" s="14"/>
      <c r="I470" s="14"/>
    </row>
    <row r="471" spans="1:9" ht="15" customHeight="1" x14ac:dyDescent="0.25">
      <c r="A471" s="14"/>
      <c r="B471" s="112"/>
      <c r="C471" s="112"/>
      <c r="D471" s="4"/>
      <c r="E471" s="116"/>
      <c r="F471" s="116"/>
      <c r="G471" s="14"/>
      <c r="I471" s="14"/>
    </row>
    <row r="472" spans="1:9" ht="15" customHeight="1" x14ac:dyDescent="0.25">
      <c r="A472" s="14"/>
      <c r="B472" s="112"/>
      <c r="C472" s="112"/>
      <c r="D472" s="4"/>
      <c r="E472" s="116"/>
      <c r="F472" s="116"/>
      <c r="G472" s="14"/>
      <c r="I472" s="14"/>
    </row>
    <row r="473" spans="1:9" ht="15" customHeight="1" x14ac:dyDescent="0.25">
      <c r="A473" s="14"/>
      <c r="B473" s="112"/>
      <c r="C473" s="112"/>
      <c r="D473" s="4"/>
      <c r="E473" s="116"/>
      <c r="F473" s="116"/>
      <c r="G473" s="14"/>
      <c r="I473" s="14"/>
    </row>
    <row r="474" spans="1:9" ht="15" customHeight="1" x14ac:dyDescent="0.25">
      <c r="A474" s="14"/>
      <c r="B474" s="112"/>
      <c r="C474" s="112"/>
      <c r="D474" s="4"/>
      <c r="E474" s="116"/>
      <c r="F474" s="116"/>
      <c r="G474" s="14"/>
      <c r="I474" s="14"/>
    </row>
    <row r="475" spans="1:9" ht="15" customHeight="1" x14ac:dyDescent="0.25">
      <c r="A475" s="14"/>
      <c r="B475" s="112"/>
      <c r="C475" s="112"/>
      <c r="D475" s="4"/>
      <c r="E475" s="116"/>
      <c r="F475" s="116"/>
      <c r="G475" s="14"/>
      <c r="I475" s="14"/>
    </row>
    <row r="476" spans="1:9" ht="15" customHeight="1" x14ac:dyDescent="0.25">
      <c r="A476" s="14"/>
      <c r="B476" s="112"/>
      <c r="C476" s="112"/>
      <c r="D476" s="4"/>
      <c r="E476" s="116"/>
      <c r="F476" s="116"/>
      <c r="G476" s="14"/>
      <c r="I476" s="14"/>
    </row>
    <row r="477" spans="1:9" ht="15" customHeight="1" x14ac:dyDescent="0.25">
      <c r="A477" s="14"/>
      <c r="B477" s="112"/>
      <c r="C477" s="112"/>
      <c r="D477" s="4"/>
      <c r="E477" s="116"/>
      <c r="F477" s="116"/>
      <c r="G477" s="14"/>
      <c r="I477" s="14"/>
    </row>
    <row r="478" spans="1:9" ht="15" customHeight="1" x14ac:dyDescent="0.25">
      <c r="A478" s="14"/>
      <c r="B478" s="112"/>
      <c r="C478" s="112"/>
      <c r="D478" s="4"/>
      <c r="E478" s="116"/>
      <c r="F478" s="116"/>
      <c r="G478" s="14"/>
      <c r="I478" s="14"/>
    </row>
    <row r="479" spans="1:9" ht="15" customHeight="1" x14ac:dyDescent="0.25">
      <c r="A479" s="14"/>
      <c r="B479" s="112"/>
      <c r="C479" s="112"/>
      <c r="D479" s="4"/>
      <c r="E479" s="116"/>
      <c r="F479" s="116"/>
      <c r="G479" s="14"/>
      <c r="I479" s="14"/>
    </row>
    <row r="480" spans="1:9" ht="15" customHeight="1" x14ac:dyDescent="0.25">
      <c r="A480" s="14"/>
      <c r="B480" s="112"/>
      <c r="C480" s="112"/>
      <c r="D480" s="4"/>
      <c r="E480" s="116"/>
      <c r="F480" s="116"/>
      <c r="G480" s="14"/>
      <c r="I480" s="14"/>
    </row>
    <row r="481" spans="1:9" ht="15" customHeight="1" x14ac:dyDescent="0.25">
      <c r="A481" s="14"/>
      <c r="B481" s="112"/>
      <c r="C481" s="112"/>
      <c r="D481" s="4"/>
      <c r="E481" s="116"/>
      <c r="F481" s="116"/>
      <c r="G481" s="14"/>
      <c r="I481" s="14"/>
    </row>
    <row r="482" spans="1:9" ht="15" customHeight="1" x14ac:dyDescent="0.25">
      <c r="A482" s="14"/>
      <c r="B482" s="112"/>
      <c r="C482" s="112"/>
      <c r="D482" s="4"/>
      <c r="E482" s="116"/>
      <c r="F482" s="116"/>
      <c r="G482" s="14"/>
      <c r="I482" s="14"/>
    </row>
    <row r="483" spans="1:9" ht="15" customHeight="1" x14ac:dyDescent="0.25">
      <c r="A483" s="14"/>
      <c r="B483" s="112"/>
      <c r="C483" s="112"/>
      <c r="D483" s="4"/>
      <c r="E483" s="116"/>
      <c r="F483" s="116"/>
      <c r="G483" s="14"/>
      <c r="I483" s="14"/>
    </row>
    <row r="484" spans="1:9" ht="15" customHeight="1" x14ac:dyDescent="0.25">
      <c r="A484" s="14"/>
      <c r="B484" s="112"/>
      <c r="C484" s="112"/>
      <c r="D484" s="4"/>
      <c r="E484" s="116"/>
      <c r="F484" s="116"/>
      <c r="G484" s="14"/>
      <c r="I484" s="14"/>
    </row>
    <row r="485" spans="1:9" ht="15" customHeight="1" x14ac:dyDescent="0.25">
      <c r="A485" s="14"/>
      <c r="B485" s="112"/>
      <c r="C485" s="112"/>
      <c r="D485" s="4"/>
      <c r="E485" s="116"/>
      <c r="F485" s="116"/>
      <c r="G485" s="14"/>
      <c r="I485" s="14"/>
    </row>
  </sheetData>
  <sheetProtection selectLockedCells="1"/>
  <sortState xmlns:xlrd2="http://schemas.microsoft.com/office/spreadsheetml/2017/richdata2" ref="B3:H486">
    <sortCondition descending="1" ref="H3:H486"/>
  </sortState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SheetNameList">
                <anchor moveWithCells="1" sizeWithCells="1">
                  <from>
                    <xdr:col>10</xdr:col>
                    <xdr:colOff>666750</xdr:colOff>
                    <xdr:row>0</xdr:row>
                    <xdr:rowOff>85725</xdr:rowOff>
                  </from>
                  <to>
                    <xdr:col>12</xdr:col>
                    <xdr:colOff>171450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UpdateSumsBySheet">
                <anchor moveWithCells="1" sizeWithCells="1">
                  <from>
                    <xdr:col>11</xdr:col>
                    <xdr:colOff>266700</xdr:colOff>
                    <xdr:row>25</xdr:row>
                    <xdr:rowOff>66675</xdr:rowOff>
                  </from>
                  <to>
                    <xdr:col>12</xdr:col>
                    <xdr:colOff>333375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UpdateTotalOnsiteHours">
                <anchor moveWithCells="1" sizeWithCells="1">
                  <from>
                    <xdr:col>18</xdr:col>
                    <xdr:colOff>323850</xdr:colOff>
                    <xdr:row>10</xdr:row>
                    <xdr:rowOff>0</xdr:rowOff>
                  </from>
                  <to>
                    <xdr:col>19</xdr:col>
                    <xdr:colOff>504825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7F8BA-F9B8-4A4C-91A9-4A31CF897334}">
  <sheetPr codeName="Print_Template">
    <pageSetUpPr fitToPage="1"/>
  </sheetPr>
  <dimension ref="B1:AM84"/>
  <sheetViews>
    <sheetView topLeftCell="G1" zoomScaleNormal="100" workbookViewId="0">
      <selection activeCell="L25" sqref="L25:Q25"/>
    </sheetView>
  </sheetViews>
  <sheetFormatPr defaultColWidth="8.625" defaultRowHeight="12.75" x14ac:dyDescent="0.25"/>
  <cols>
    <col min="1" max="1" width="0.5" style="4" customWidth="1"/>
    <col min="2" max="2" width="1.125" style="4" customWidth="1"/>
    <col min="3" max="4" width="5" style="1" customWidth="1"/>
    <col min="5" max="5" width="35.125" style="4" customWidth="1"/>
    <col min="6" max="7" width="17.125" style="4" customWidth="1"/>
    <col min="8" max="8" width="1.25" style="4" customWidth="1"/>
    <col min="9" max="10" width="8.625" style="4"/>
    <col min="11" max="11" width="2.25" style="4" customWidth="1"/>
    <col min="12" max="18" width="8.625" style="4"/>
    <col min="19" max="19" width="9.25" style="4" customWidth="1"/>
    <col min="20" max="20" width="2.25" style="4" customWidth="1"/>
    <col min="21" max="16384" width="8.625" style="4"/>
  </cols>
  <sheetData>
    <row r="1" spans="2:20" ht="3" customHeight="1" x14ac:dyDescent="0.25"/>
    <row r="2" spans="2:20" s="8" customFormat="1" ht="15" customHeight="1" x14ac:dyDescent="0.25">
      <c r="B2" s="12" t="str" cm="1">
        <f t="array" aca="1" ref="B2" ca="1">RIGHT(CELL("filename", B2), LEN(CELL("filename", B2)) - FIND("]", CELL("filename", B2)))</f>
        <v>Print_Template</v>
      </c>
      <c r="C2" s="2"/>
      <c r="D2" s="2"/>
      <c r="E2" s="5"/>
      <c r="F2" s="5"/>
      <c r="G2" s="5"/>
      <c r="H2" s="5"/>
    </row>
    <row r="3" spans="2:20" ht="20.25" customHeight="1" x14ac:dyDescent="0.2">
      <c r="B3" s="7"/>
      <c r="C3" s="125"/>
      <c r="D3" s="125"/>
      <c r="E3" s="101"/>
      <c r="F3" s="126"/>
      <c r="G3" s="126"/>
      <c r="H3" s="13"/>
    </row>
    <row r="4" spans="2:20" ht="20.25" customHeight="1" x14ac:dyDescent="0.2">
      <c r="B4" s="7"/>
      <c r="C4" s="125"/>
      <c r="D4" s="125"/>
      <c r="E4" s="101"/>
      <c r="F4" s="126"/>
      <c r="G4" s="126"/>
      <c r="H4" s="13"/>
    </row>
    <row r="5" spans="2:20" ht="15" customHeight="1" x14ac:dyDescent="0.25">
      <c r="B5" s="7"/>
      <c r="C5" s="9" t="s">
        <v>105</v>
      </c>
      <c r="D5" s="56" t="s">
        <v>182</v>
      </c>
      <c r="E5" s="10" t="s">
        <v>106</v>
      </c>
      <c r="F5" s="10" t="s">
        <v>107</v>
      </c>
      <c r="G5" s="10" t="s">
        <v>164</v>
      </c>
      <c r="H5" s="5"/>
    </row>
    <row r="6" spans="2:20" ht="15" customHeight="1" x14ac:dyDescent="0.25">
      <c r="B6" s="7"/>
      <c r="H6" s="7"/>
    </row>
    <row r="7" spans="2:20" ht="15" customHeight="1" x14ac:dyDescent="0.25">
      <c r="B7" s="7"/>
      <c r="H7" s="7"/>
    </row>
    <row r="8" spans="2:20" ht="15" customHeight="1" x14ac:dyDescent="0.25">
      <c r="B8" s="7"/>
      <c r="H8" s="7"/>
    </row>
    <row r="9" spans="2:20" ht="15" customHeight="1" x14ac:dyDescent="0.25">
      <c r="B9" s="7"/>
      <c r="H9" s="7"/>
    </row>
    <row r="10" spans="2:20" ht="15" customHeight="1" x14ac:dyDescent="0.25">
      <c r="B10" s="7"/>
      <c r="H10" s="7"/>
    </row>
    <row r="11" spans="2:20" ht="15" customHeight="1" x14ac:dyDescent="0.25">
      <c r="B11" s="7"/>
      <c r="H11" s="7"/>
    </row>
    <row r="12" spans="2:20" ht="15" customHeight="1" x14ac:dyDescent="0.25">
      <c r="B12" s="7"/>
      <c r="H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2:20" ht="15" customHeight="1" x14ac:dyDescent="0.25">
      <c r="B13" s="7"/>
      <c r="H13" s="7"/>
      <c r="K13" s="7"/>
      <c r="L13" s="124" t="s">
        <v>183</v>
      </c>
      <c r="M13" s="124"/>
      <c r="N13" s="124"/>
      <c r="O13" s="124"/>
      <c r="P13" s="124"/>
      <c r="Q13" s="124"/>
      <c r="R13" s="121">
        <v>97139.38</v>
      </c>
      <c r="S13" s="121"/>
      <c r="T13" s="7"/>
    </row>
    <row r="14" spans="2:20" ht="15" customHeight="1" x14ac:dyDescent="0.25">
      <c r="B14" s="7"/>
      <c r="H14" s="7"/>
      <c r="K14" s="7"/>
      <c r="L14" s="123" t="s">
        <v>269</v>
      </c>
      <c r="M14" s="123"/>
      <c r="N14" s="123"/>
      <c r="O14" s="123"/>
      <c r="P14" s="123"/>
      <c r="Q14" s="123"/>
      <c r="R14" s="120">
        <v>61025.63</v>
      </c>
      <c r="S14" s="120"/>
      <c r="T14" s="7"/>
    </row>
    <row r="15" spans="2:20" ht="15" customHeight="1" x14ac:dyDescent="0.25">
      <c r="B15" s="7"/>
      <c r="H15" s="7"/>
      <c r="K15" s="7"/>
      <c r="L15" s="122" t="s">
        <v>270</v>
      </c>
      <c r="M15" s="123"/>
      <c r="N15" s="123"/>
      <c r="O15" s="123"/>
      <c r="P15" s="123"/>
      <c r="Q15" s="123"/>
      <c r="R15" s="120">
        <v>3448.5</v>
      </c>
      <c r="S15" s="120"/>
      <c r="T15" s="7"/>
    </row>
    <row r="16" spans="2:20" ht="15" customHeight="1" x14ac:dyDescent="0.25">
      <c r="B16" s="7"/>
      <c r="H16" s="7"/>
      <c r="K16" s="7"/>
      <c r="L16" s="123" t="s">
        <v>271</v>
      </c>
      <c r="M16" s="123"/>
      <c r="N16" s="123"/>
      <c r="O16" s="123"/>
      <c r="P16" s="123"/>
      <c r="Q16" s="123"/>
      <c r="R16" s="120">
        <v>26910</v>
      </c>
      <c r="S16" s="120"/>
      <c r="T16" s="7"/>
    </row>
    <row r="17" spans="2:20" ht="15" customHeight="1" x14ac:dyDescent="0.25">
      <c r="B17" s="7"/>
      <c r="H17" s="7"/>
      <c r="K17" s="7"/>
      <c r="L17" s="123" t="s">
        <v>272</v>
      </c>
      <c r="M17" s="123"/>
      <c r="N17" s="123"/>
      <c r="O17" s="123"/>
      <c r="P17" s="123"/>
      <c r="Q17" s="123"/>
      <c r="R17" s="120">
        <v>2150</v>
      </c>
      <c r="S17" s="120"/>
      <c r="T17" s="7"/>
    </row>
    <row r="18" spans="2:20" ht="15" customHeight="1" x14ac:dyDescent="0.25">
      <c r="B18" s="7"/>
      <c r="H18" s="7"/>
      <c r="K18" s="7"/>
      <c r="L18" s="123" t="s">
        <v>273</v>
      </c>
      <c r="M18" s="123"/>
      <c r="N18" s="123"/>
      <c r="O18" s="123"/>
      <c r="P18" s="123"/>
      <c r="Q18" s="123"/>
      <c r="R18" s="120">
        <v>1518</v>
      </c>
      <c r="S18" s="120"/>
      <c r="T18" s="7"/>
    </row>
    <row r="19" spans="2:20" ht="15" customHeight="1" x14ac:dyDescent="0.25">
      <c r="B19" s="7"/>
      <c r="H19" s="7"/>
      <c r="K19" s="7"/>
      <c r="L19" s="123" t="s">
        <v>274</v>
      </c>
      <c r="M19" s="123"/>
      <c r="N19" s="123"/>
      <c r="O19" s="123"/>
      <c r="P19" s="123"/>
      <c r="Q19" s="123"/>
      <c r="R19" s="120">
        <v>2087.25</v>
      </c>
      <c r="S19" s="120"/>
      <c r="T19" s="7"/>
    </row>
    <row r="20" spans="2:20" ht="15" customHeight="1" x14ac:dyDescent="0.25">
      <c r="B20" s="7"/>
      <c r="H20" s="7"/>
      <c r="K20" s="7"/>
      <c r="L20" s="127"/>
      <c r="M20" s="127"/>
      <c r="N20" s="127"/>
      <c r="O20" s="127"/>
      <c r="P20" s="127"/>
      <c r="Q20" s="127"/>
      <c r="R20" s="128"/>
      <c r="S20" s="128"/>
      <c r="T20" s="7"/>
    </row>
    <row r="21" spans="2:20" ht="15" customHeight="1" x14ac:dyDescent="0.25">
      <c r="B21" s="7"/>
      <c r="H21" s="7"/>
      <c r="L21" s="118"/>
      <c r="M21" s="118"/>
      <c r="N21" s="118"/>
      <c r="O21" s="118"/>
      <c r="P21" s="118"/>
      <c r="Q21" s="118"/>
      <c r="R21" s="120"/>
      <c r="S21" s="120"/>
    </row>
    <row r="22" spans="2:20" ht="15" customHeight="1" x14ac:dyDescent="0.25">
      <c r="B22" s="7"/>
      <c r="H22" s="7"/>
      <c r="L22" s="118"/>
      <c r="M22" s="118"/>
      <c r="N22" s="118"/>
      <c r="O22" s="118"/>
      <c r="P22" s="118"/>
      <c r="Q22" s="118"/>
      <c r="R22" s="120"/>
      <c r="S22" s="120"/>
    </row>
    <row r="23" spans="2:20" ht="15" customHeight="1" x14ac:dyDescent="0.25">
      <c r="B23" s="7"/>
      <c r="H23" s="7"/>
      <c r="L23" s="118"/>
      <c r="M23" s="118"/>
      <c r="N23" s="118"/>
      <c r="O23" s="118"/>
      <c r="P23" s="118"/>
      <c r="Q23" s="118"/>
      <c r="R23" s="120"/>
      <c r="S23" s="120"/>
    </row>
    <row r="24" spans="2:20" ht="15" customHeight="1" x14ac:dyDescent="0.25">
      <c r="B24" s="7"/>
      <c r="H24" s="7"/>
      <c r="L24" s="118"/>
      <c r="M24" s="118"/>
      <c r="N24" s="118"/>
      <c r="O24" s="118"/>
      <c r="P24" s="118"/>
      <c r="Q24" s="118"/>
      <c r="R24" s="118"/>
      <c r="S24" s="118"/>
    </row>
    <row r="25" spans="2:20" ht="15" customHeight="1" x14ac:dyDescent="0.25">
      <c r="B25" s="7"/>
      <c r="H25" s="7"/>
      <c r="L25" s="118"/>
      <c r="M25" s="118"/>
      <c r="N25" s="118"/>
      <c r="O25" s="118"/>
      <c r="P25" s="118"/>
      <c r="Q25" s="118"/>
      <c r="R25" s="119"/>
      <c r="S25" s="119"/>
    </row>
    <row r="26" spans="2:20" ht="15" customHeight="1" x14ac:dyDescent="0.25">
      <c r="B26" s="7"/>
      <c r="H26" s="7"/>
      <c r="L26" s="118"/>
      <c r="M26" s="118"/>
      <c r="N26" s="118"/>
      <c r="O26" s="118"/>
      <c r="P26" s="118"/>
      <c r="Q26" s="118"/>
      <c r="R26" s="119"/>
      <c r="S26" s="119"/>
    </row>
    <row r="27" spans="2:20" ht="15" customHeight="1" x14ac:dyDescent="0.25">
      <c r="B27" s="7"/>
      <c r="H27" s="7"/>
      <c r="L27" s="118"/>
      <c r="M27" s="118"/>
      <c r="N27" s="118"/>
      <c r="O27" s="118"/>
      <c r="P27" s="118"/>
      <c r="Q27" s="118"/>
      <c r="R27" s="119"/>
      <c r="S27" s="119"/>
    </row>
    <row r="28" spans="2:20" ht="15" customHeight="1" x14ac:dyDescent="0.25">
      <c r="B28" s="7"/>
      <c r="H28" s="7"/>
      <c r="L28" s="118"/>
      <c r="M28" s="118"/>
      <c r="N28" s="118"/>
      <c r="O28" s="118"/>
      <c r="P28" s="118"/>
      <c r="Q28" s="118"/>
      <c r="R28" s="119"/>
      <c r="S28" s="119"/>
    </row>
    <row r="29" spans="2:20" ht="15" customHeight="1" x14ac:dyDescent="0.25">
      <c r="B29" s="7"/>
      <c r="H29" s="7"/>
      <c r="L29" s="118"/>
      <c r="M29" s="118"/>
      <c r="N29" s="118"/>
      <c r="O29" s="118"/>
      <c r="P29" s="118"/>
      <c r="Q29" s="118"/>
      <c r="R29" s="119"/>
      <c r="S29" s="119"/>
    </row>
    <row r="30" spans="2:20" ht="15" customHeight="1" x14ac:dyDescent="0.25">
      <c r="B30" s="7"/>
      <c r="H30" s="7"/>
      <c r="L30" s="118"/>
      <c r="M30" s="118"/>
      <c r="N30" s="118"/>
      <c r="O30" s="118"/>
      <c r="P30" s="118"/>
      <c r="Q30" s="118"/>
      <c r="R30" s="119"/>
      <c r="S30" s="119"/>
    </row>
    <row r="31" spans="2:20" ht="15" customHeight="1" x14ac:dyDescent="0.25">
      <c r="B31" s="7"/>
      <c r="H31" s="7"/>
      <c r="L31" s="118"/>
      <c r="M31" s="118"/>
      <c r="N31" s="118"/>
      <c r="O31" s="118"/>
      <c r="P31" s="118"/>
      <c r="Q31" s="118"/>
      <c r="R31" s="119"/>
      <c r="S31" s="119"/>
    </row>
    <row r="32" spans="2:20" ht="15" customHeight="1" x14ac:dyDescent="0.25">
      <c r="B32" s="7"/>
      <c r="H32" s="7"/>
      <c r="L32" s="118"/>
      <c r="M32" s="118"/>
      <c r="N32" s="118"/>
      <c r="O32" s="118"/>
      <c r="P32" s="118"/>
      <c r="Q32" s="118"/>
      <c r="R32" s="119"/>
      <c r="S32" s="119"/>
    </row>
    <row r="33" spans="2:39" ht="15" customHeight="1" x14ac:dyDescent="0.25">
      <c r="B33" s="7"/>
      <c r="H33" s="7"/>
      <c r="L33" s="118"/>
      <c r="M33" s="118"/>
      <c r="N33" s="118"/>
      <c r="O33" s="118"/>
      <c r="P33" s="118"/>
      <c r="Q33" s="118"/>
      <c r="R33" s="119"/>
      <c r="S33" s="119"/>
    </row>
    <row r="34" spans="2:39" ht="15" customHeight="1" x14ac:dyDescent="0.25">
      <c r="B34" s="7"/>
      <c r="H34" s="7"/>
      <c r="L34" s="117"/>
      <c r="M34" s="117"/>
      <c r="N34" s="117"/>
      <c r="O34" s="117"/>
      <c r="P34" s="117"/>
      <c r="Q34" s="117"/>
      <c r="R34" s="117"/>
      <c r="S34" s="117"/>
    </row>
    <row r="35" spans="2:39" ht="15" customHeight="1" x14ac:dyDescent="0.25">
      <c r="B35" s="7"/>
      <c r="H35" s="7"/>
    </row>
    <row r="36" spans="2:39" ht="15" customHeight="1" x14ac:dyDescent="0.25">
      <c r="B36" s="7"/>
      <c r="H36" s="7"/>
    </row>
    <row r="37" spans="2:39" ht="15" customHeight="1" x14ac:dyDescent="0.25">
      <c r="B37" s="7"/>
      <c r="H37" s="7"/>
    </row>
    <row r="38" spans="2:39" ht="15" customHeight="1" x14ac:dyDescent="0.25">
      <c r="B38" s="7"/>
      <c r="H38" s="7"/>
    </row>
    <row r="39" spans="2:39" ht="15" customHeight="1" x14ac:dyDescent="0.25">
      <c r="B39" s="7"/>
      <c r="H39" s="7"/>
    </row>
    <row r="40" spans="2:39" ht="15" customHeight="1" x14ac:dyDescent="0.25">
      <c r="B40" s="7"/>
      <c r="H40" s="7"/>
    </row>
    <row r="41" spans="2:39" ht="15" customHeight="1" x14ac:dyDescent="0.25">
      <c r="B41" s="7"/>
      <c r="H41" s="7"/>
    </row>
    <row r="42" spans="2:39" ht="15" customHeight="1" x14ac:dyDescent="0.25">
      <c r="B42" s="7"/>
      <c r="H42" s="7"/>
    </row>
    <row r="43" spans="2:39" ht="15" customHeight="1" x14ac:dyDescent="0.25">
      <c r="B43" s="7"/>
      <c r="H43" s="7"/>
    </row>
    <row r="44" spans="2:39" ht="15" customHeight="1" x14ac:dyDescent="0.25">
      <c r="B44" s="7"/>
      <c r="H44" s="7"/>
    </row>
    <row r="45" spans="2:39" ht="15" customHeight="1" x14ac:dyDescent="0.25">
      <c r="B45" s="7"/>
      <c r="H45" s="7"/>
    </row>
    <row r="46" spans="2:39" ht="15" customHeight="1" x14ac:dyDescent="0.25">
      <c r="B46" s="7"/>
      <c r="C46" s="3"/>
      <c r="D46" s="3" t="str">
        <f>IF(E46="","",IF($D$3="MTS",_xlfn.XLOOKUP(E46,'Equipment Reference'!D:D,'Equipment Reference'!C:C,0,0,1),IF($D$3="ATS",_xlfn.XLOOKUP(E46,'Equipment Reference'!D:D,'Equipment Reference'!B:B,0,0,1),"Job Type?")))</f>
        <v/>
      </c>
      <c r="E46" s="7"/>
      <c r="F46" s="7"/>
      <c r="G46" s="7"/>
      <c r="H46" s="7"/>
    </row>
    <row r="47" spans="2:39" s="11" customFormat="1" ht="15" customHeight="1" x14ac:dyDescent="0.25">
      <c r="B47" s="4"/>
      <c r="C47" s="1"/>
      <c r="D47" s="1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</row>
    <row r="48" spans="2:39" s="11" customFormat="1" ht="15" customHeight="1" x14ac:dyDescent="0.25">
      <c r="B48" s="4"/>
      <c r="C48" s="1"/>
      <c r="D48" s="1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</row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</sheetData>
  <sheetProtection formatCells="0" formatColumns="0" formatRows="0" selectLockedCells="1" sort="0" autoFilter="0" pivotTables="0"/>
  <mergeCells count="48">
    <mergeCell ref="L23:Q23"/>
    <mergeCell ref="R22:S22"/>
    <mergeCell ref="R23:S23"/>
    <mergeCell ref="L17:Q17"/>
    <mergeCell ref="L18:Q18"/>
    <mergeCell ref="L19:Q19"/>
    <mergeCell ref="L20:Q20"/>
    <mergeCell ref="L21:Q21"/>
    <mergeCell ref="R17:S17"/>
    <mergeCell ref="R18:S18"/>
    <mergeCell ref="R19:S19"/>
    <mergeCell ref="R20:S20"/>
    <mergeCell ref="R21:S21"/>
    <mergeCell ref="C4:D4"/>
    <mergeCell ref="C3:D3"/>
    <mergeCell ref="F4:G4"/>
    <mergeCell ref="F3:G3"/>
    <mergeCell ref="L22:Q22"/>
    <mergeCell ref="L16:Q16"/>
    <mergeCell ref="R16:S16"/>
    <mergeCell ref="R13:S13"/>
    <mergeCell ref="R14:S14"/>
    <mergeCell ref="R15:S15"/>
    <mergeCell ref="L15:Q15"/>
    <mergeCell ref="L14:Q14"/>
    <mergeCell ref="L13:Q13"/>
    <mergeCell ref="L30:Q30"/>
    <mergeCell ref="L24:Q24"/>
    <mergeCell ref="R24:S24"/>
    <mergeCell ref="R25:S25"/>
    <mergeCell ref="R26:S26"/>
    <mergeCell ref="R27:S27"/>
    <mergeCell ref="R28:S28"/>
    <mergeCell ref="R29:S29"/>
    <mergeCell ref="R30:S30"/>
    <mergeCell ref="L25:Q25"/>
    <mergeCell ref="L26:Q26"/>
    <mergeCell ref="L27:Q27"/>
    <mergeCell ref="L28:Q28"/>
    <mergeCell ref="L29:Q29"/>
    <mergeCell ref="L34:Q34"/>
    <mergeCell ref="R34:S34"/>
    <mergeCell ref="L31:Q31"/>
    <mergeCell ref="R31:S31"/>
    <mergeCell ref="L32:Q32"/>
    <mergeCell ref="R32:S32"/>
    <mergeCell ref="L33:Q33"/>
    <mergeCell ref="R33:S33"/>
  </mergeCells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reatePrintViews">
                <anchor moveWithCells="1">
                  <from>
                    <xdr:col>8</xdr:col>
                    <xdr:colOff>85725</xdr:colOff>
                    <xdr:row>2</xdr:row>
                    <xdr:rowOff>9525</xdr:rowOff>
                  </from>
                  <to>
                    <xdr:col>9</xdr:col>
                    <xdr:colOff>619125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5" name="Button 7">
              <controlPr defaultSize="0" print="0" autoFill="0" autoPict="0" macro="[0]!RefreshProjectTotals">
                <anchor moveWithCells="1" sizeWithCells="1">
                  <from>
                    <xdr:col>13</xdr:col>
                    <xdr:colOff>542925</xdr:colOff>
                    <xdr:row>8</xdr:row>
                    <xdr:rowOff>19050</xdr:rowOff>
                  </from>
                  <to>
                    <xdr:col>15</xdr:col>
                    <xdr:colOff>419100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34394-3529-B748-BEEB-B3A55103CC8A}">
  <sheetPr codeName="Scope1"/>
  <dimension ref="B1:Y528"/>
  <sheetViews>
    <sheetView zoomScaleNormal="100" workbookViewId="0">
      <selection activeCell="J51" sqref="J51:J64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IPS NETA ATS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252</v>
      </c>
      <c r="F3" s="134" t="s">
        <v>254</v>
      </c>
      <c r="G3" s="134"/>
      <c r="H3" s="40"/>
      <c r="I3" s="131" t="s">
        <v>193</v>
      </c>
      <c r="J3" s="129">
        <f>SUMIF(J6:J489,"&lt;&gt;",J6:J489)</f>
        <v>333.75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61025.625</v>
      </c>
      <c r="Q3" s="14"/>
      <c r="R3" s="80">
        <f>IFERROR((SUM(N14)*M4),"")</f>
        <v>350.4375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253</v>
      </c>
      <c r="F4" s="134" t="s">
        <v>255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>
        <f>IFERROR((P4-P3)/P3,"0%")</f>
        <v>0</v>
      </c>
      <c r="P4" s="43">
        <f>P3*M4*N4</f>
        <v>61025.625</v>
      </c>
      <c r="Q4" s="14"/>
      <c r="R4" s="80">
        <f>IFERROR((SUM(N14)*M4),"")</f>
        <v>350.4375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70" si="1">IF(OR(C6="",ISBLANK(C6)),"",IFERROR(C6*I6,""))</f>
        <v/>
      </c>
      <c r="K6" s="14"/>
      <c r="L6" s="47" t="s">
        <v>168</v>
      </c>
      <c r="M6" s="42">
        <v>1</v>
      </c>
      <c r="N6" s="26">
        <f t="shared" ref="N6:N11" si="2">$J$3*M6</f>
        <v>333.75</v>
      </c>
      <c r="O6" s="33">
        <v>165</v>
      </c>
      <c r="P6" s="33">
        <f t="shared" ref="P6:P11" si="3">N6*O6</f>
        <v>55068.75</v>
      </c>
      <c r="Q6" s="36"/>
      <c r="R6" s="80">
        <f>IFERROR((SUM(N14)*M4),"")</f>
        <v>350.4375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52">
        <f>IF(OR(E7="",ISBLANK(E7)),"",IF($C$4="MTS",_xlfn.XLOOKUP(E7,tblEquipment[Scope of Work],tblEquipment[MTS],0,0,1),IF($C$4="ATS",_xlfn.XLOOKUP(E7,tblEquipment[Scope of Work],tblEquipment[ATS],0,0,1),"Job Type?")))</f>
        <v>0</v>
      </c>
      <c r="E7" s="55" t="s">
        <v>237</v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350.4375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C8" s="26">
        <v>1</v>
      </c>
      <c r="D8" s="26" t="str">
        <f>IF(OR(E8="",ISBLANK(E8)),"",IF($C$4="MTS",_xlfn.XLOOKUP(E8,tblEquipment[Scope of Work],tblEquipment[MTS],0,0,1),IF($C$4="ATS",_xlfn.XLOOKUP(E8,tblEquipment[Scope of Work],tblEquipment[ATS],0,0,1),"Job Type?")))</f>
        <v>7.1</v>
      </c>
      <c r="E8" s="18" t="s">
        <v>90</v>
      </c>
      <c r="F8" s="18" t="s">
        <v>238</v>
      </c>
      <c r="G8" s="18" t="s">
        <v>239</v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>2.5</v>
      </c>
      <c r="J8" s="41">
        <f t="shared" si="1"/>
        <v>2.5</v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C9" s="26">
        <v>1</v>
      </c>
      <c r="D9" s="26" t="str">
        <f>IF(OR(E9="",ISBLANK(E9)),"",IF($C$4="MTS",_xlfn.XLOOKUP(E9,tblEquipment[Scope of Work],tblEquipment[MTS],0,0,1),IF($C$4="ATS",_xlfn.XLOOKUP(E9,tblEquipment[Scope of Work],tblEquipment[ATS],0,0,1),"Job Type?")))</f>
        <v>7.19</v>
      </c>
      <c r="E9" s="18" t="s">
        <v>131</v>
      </c>
      <c r="F9" s="18" t="s">
        <v>238</v>
      </c>
      <c r="G9" s="18" t="s">
        <v>239</v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>2</v>
      </c>
      <c r="J9" s="41">
        <f t="shared" si="1"/>
        <v>2</v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350.4375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C10" s="26">
        <v>1</v>
      </c>
      <c r="D10" s="26" t="str">
        <f>IF(OR(E10="",ISBLANK(E10)),"",IF($C$4="MTS",_xlfn.XLOOKUP(E10,tblEquipment[Scope of Work],tblEquipment[MTS],0,0,1),IF($C$4="ATS",_xlfn.XLOOKUP(E10,tblEquipment[Scope of Work],tblEquipment[ATS],0,0,1),"Job Type?")))</f>
        <v>7.1</v>
      </c>
      <c r="E10" s="18" t="s">
        <v>46</v>
      </c>
      <c r="F10" s="18" t="s">
        <v>238</v>
      </c>
      <c r="G10" s="18" t="s">
        <v>239</v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>2.5</v>
      </c>
      <c r="J10" s="41">
        <f t="shared" si="1"/>
        <v>2.5</v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350.4375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C11" s="26">
        <v>1</v>
      </c>
      <c r="D11" s="26" t="str">
        <f>IF(OR(E11="",ISBLANK(E11)),"",IF($C$4="MTS",_xlfn.XLOOKUP(E11,tblEquipment[Scope of Work],tblEquipment[MTS],0,0,1),IF($C$4="ATS",_xlfn.XLOOKUP(E11,tblEquipment[Scope of Work],tblEquipment[ATS],0,0,1),"Job Type?")))</f>
        <v>7.10</v>
      </c>
      <c r="E11" s="18" t="s">
        <v>225</v>
      </c>
      <c r="F11" s="18" t="s">
        <v>238</v>
      </c>
      <c r="G11" s="18" t="s">
        <v>239</v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>2.5</v>
      </c>
      <c r="J11" s="41">
        <f t="shared" si="1"/>
        <v>2.5</v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C12" s="26">
        <v>1</v>
      </c>
      <c r="D12" s="26" t="str">
        <f>IF(OR(E12="",ISBLANK(E12)),"",IF($C$4="MTS",_xlfn.XLOOKUP(E12,tblEquipment[Scope of Work],tblEquipment[MTS],0,0,1),IF($C$4="ATS",_xlfn.XLOOKUP(E12,tblEquipment[Scope of Work],tblEquipment[ATS],0,0,1),"Job Type?")))</f>
        <v>7.7</v>
      </c>
      <c r="E12" s="18" t="s">
        <v>9</v>
      </c>
      <c r="F12" s="18" t="s">
        <v>238</v>
      </c>
      <c r="G12" s="18" t="s">
        <v>239</v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>4</v>
      </c>
      <c r="J12" s="41">
        <f t="shared" si="1"/>
        <v>4</v>
      </c>
      <c r="K12" s="14"/>
      <c r="L12" s="32" t="s">
        <v>173</v>
      </c>
      <c r="M12" s="42">
        <v>0</v>
      </c>
      <c r="N12" s="26">
        <f t="shared" ref="N12:N13" si="4">$J$3*M12</f>
        <v>0</v>
      </c>
      <c r="O12" s="33">
        <v>165</v>
      </c>
      <c r="P12" s="33">
        <f t="shared" ref="P12:P13" si="5">N12*O12</f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C13" s="26">
        <v>1</v>
      </c>
      <c r="D13" s="26" t="str">
        <f>IF(OR(E13="",ISBLANK(E13)),"",IF($C$4="MTS",_xlfn.XLOOKUP(E13,tblEquipment[Scope of Work],tblEquipment[MTS],0,0,1),IF($C$4="ATS",_xlfn.XLOOKUP(E13,tblEquipment[Scope of Work],tblEquipment[ATS],0,0,1),"Job Type?")))</f>
        <v>7.14</v>
      </c>
      <c r="E13" s="18" t="s">
        <v>48</v>
      </c>
      <c r="F13" s="18" t="s">
        <v>238</v>
      </c>
      <c r="G13" s="18" t="s">
        <v>239</v>
      </c>
      <c r="H13" s="14"/>
      <c r="I13" s="26">
        <f>IF(OR(C13="",ISBLANK(C13)),"",IF($C$4="MTS",_xlfn.XLOOKUP(E13,tblEquipment[Scope of Work],tblEquipment[MTS23],0,0,1),IF($C$4="ATS",_xlfn.XLOOKUP(E13,tblEquipment[Scope of Work],tblEquipment[ATS25],0,0,1),"Job Type?")))</f>
        <v>2</v>
      </c>
      <c r="J13" s="41">
        <f t="shared" si="1"/>
        <v>2</v>
      </c>
      <c r="K13" s="14"/>
      <c r="L13" s="32" t="s">
        <v>167</v>
      </c>
      <c r="M13" s="42">
        <v>0.05</v>
      </c>
      <c r="N13" s="26">
        <f t="shared" si="4"/>
        <v>16.6875</v>
      </c>
      <c r="O13" s="33">
        <v>165</v>
      </c>
      <c r="P13" s="33">
        <f t="shared" si="5"/>
        <v>2753.4375</v>
      </c>
      <c r="Q13" s="14"/>
      <c r="X13" s="39">
        <v>10</v>
      </c>
      <c r="Y13" s="39"/>
    </row>
    <row r="14" spans="2:25" ht="15" customHeight="1" x14ac:dyDescent="0.25">
      <c r="B14" s="14"/>
      <c r="C14" s="26">
        <v>1</v>
      </c>
      <c r="D14" s="26" t="str">
        <f>IF(OR(E14="",ISBLANK(E14)),"",IF($C$4="MTS",_xlfn.XLOOKUP(E14,tblEquipment[Scope of Work],tblEquipment[MTS],0,0,1),IF($C$4="ATS",_xlfn.XLOOKUP(E14,tblEquipment[Scope of Work],tblEquipment[ATS],0,0,1),"Job Type?")))</f>
        <v>7.14</v>
      </c>
      <c r="E14" s="18" t="s">
        <v>215</v>
      </c>
      <c r="F14" s="18" t="s">
        <v>238</v>
      </c>
      <c r="G14" s="18" t="s">
        <v>239</v>
      </c>
      <c r="H14" s="14"/>
      <c r="I14" s="26">
        <f>IF(OR(C14="",ISBLANK(C14)),"",IF($C$4="MTS",_xlfn.XLOOKUP(E14,tblEquipment[Scope of Work],tblEquipment[MTS23],0,0,1),IF($C$4="ATS",_xlfn.XLOOKUP(E14,tblEquipment[Scope of Work],tblEquipment[ATS25],0,0,1),"Job Type?")))</f>
        <v>0.75</v>
      </c>
      <c r="J14" s="41">
        <f t="shared" si="1"/>
        <v>0.75</v>
      </c>
      <c r="K14" s="14"/>
      <c r="L14" s="59" t="s">
        <v>185</v>
      </c>
      <c r="M14" s="60">
        <f>SUM(M6:M13)</f>
        <v>1.05</v>
      </c>
      <c r="N14" s="61">
        <f>SUM(N6:N13)</f>
        <v>350.4375</v>
      </c>
      <c r="O14" s="62">
        <f>IFERROR(P14/N14,"$0")</f>
        <v>165</v>
      </c>
      <c r="P14" s="63">
        <f>SUM(P6:P13)</f>
        <v>57822.1875</v>
      </c>
      <c r="Q14" s="14"/>
      <c r="X14" s="39"/>
      <c r="Y14" s="39"/>
    </row>
    <row r="15" spans="2:25" ht="15" customHeight="1" x14ac:dyDescent="0.25">
      <c r="B15" s="14"/>
      <c r="C15" s="26">
        <v>1</v>
      </c>
      <c r="D15" s="26" t="str">
        <f>IF(OR(E15="",ISBLANK(E15)),"",IF($C$4="MTS",_xlfn.XLOOKUP(E15,tblEquipment[Scope of Work],tblEquipment[MTS],0,0,1),IF($C$4="ATS",_xlfn.XLOOKUP(E15,tblEquipment[Scope of Work],tblEquipment[ATS],0,0,1),"Job Type?")))</f>
        <v>7.9</v>
      </c>
      <c r="E15" s="18" t="s">
        <v>76</v>
      </c>
      <c r="F15" s="18" t="s">
        <v>238</v>
      </c>
      <c r="G15" s="18" t="s">
        <v>239</v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>5</v>
      </c>
      <c r="J15" s="41">
        <f t="shared" si="1"/>
        <v>5</v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C16" s="26">
        <v>1</v>
      </c>
      <c r="D16" s="26" t="str">
        <f>IF(OR(E16="",ISBLANK(E16)),"",IF($C$4="MTS",_xlfn.XLOOKUP(E16,tblEquipment[Scope of Work],tblEquipment[MTS],0,0,1),IF($C$4="ATS",_xlfn.XLOOKUP(E16,tblEquipment[Scope of Work],tblEquipment[ATS],0,0,1),"Job Type?")))</f>
        <v>7.13</v>
      </c>
      <c r="E16" s="18" t="s">
        <v>55</v>
      </c>
      <c r="F16" s="18" t="s">
        <v>238</v>
      </c>
      <c r="G16" s="18" t="s">
        <v>239</v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>2.5</v>
      </c>
      <c r="J16" s="41">
        <f t="shared" si="1"/>
        <v>2.5</v>
      </c>
      <c r="K16" s="14"/>
      <c r="L16" s="32" t="s">
        <v>175</v>
      </c>
      <c r="M16" s="42">
        <v>0.05</v>
      </c>
      <c r="N16" s="26">
        <f>$J$3*M16</f>
        <v>16.6875</v>
      </c>
      <c r="O16" s="33">
        <v>165</v>
      </c>
      <c r="P16" s="33">
        <f>N16*O16</f>
        <v>2753.4375</v>
      </c>
      <c r="Q16" s="14"/>
    </row>
    <row r="17" spans="2:17" ht="15" customHeight="1" x14ac:dyDescent="0.25">
      <c r="B17" s="14"/>
      <c r="C17" s="26">
        <v>1</v>
      </c>
      <c r="D17" s="26" t="str">
        <f>IF(OR(E17="",ISBLANK(E17)),"",IF($C$4="MTS",_xlfn.XLOOKUP(E17,tblEquipment[Scope of Work],tblEquipment[MTS],0,0,1),IF($C$4="ATS",_xlfn.XLOOKUP(E17,tblEquipment[Scope of Work],tblEquipment[ATS],0,0,1),"Job Type?")))</f>
        <v>7.3</v>
      </c>
      <c r="E17" s="18" t="s">
        <v>42</v>
      </c>
      <c r="F17" s="18" t="s">
        <v>238</v>
      </c>
      <c r="G17" s="18" t="s">
        <v>239</v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>4</v>
      </c>
      <c r="J17" s="41">
        <f t="shared" si="1"/>
        <v>4</v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52">
        <f>IF(OR(E19="",ISBLANK(E19)),"",IF($C$4="MTS",_xlfn.XLOOKUP(E19,tblEquipment[Scope of Work],tblEquipment[MTS],0,0,1),IF($C$4="ATS",_xlfn.XLOOKUP(E19,tblEquipment[Scope of Work],tblEquipment[ATS],0,0,1),"Job Type?")))</f>
        <v>0</v>
      </c>
      <c r="E19" s="55" t="s">
        <v>240</v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0.05</v>
      </c>
      <c r="N19" s="61">
        <f>SUM(N16:N18)</f>
        <v>16.6875</v>
      </c>
      <c r="O19" s="62">
        <f>IFERROR(P19/N19,"$0")</f>
        <v>165</v>
      </c>
      <c r="P19" s="63">
        <f>SUM(P16:P18)</f>
        <v>2753.4375</v>
      </c>
      <c r="Q19" s="14"/>
    </row>
    <row r="20" spans="2:17" ht="15" customHeight="1" x14ac:dyDescent="0.25">
      <c r="B20" s="14"/>
      <c r="C20" s="26">
        <v>1</v>
      </c>
      <c r="D20" s="26" t="str">
        <f>IF(OR(E20="",ISBLANK(E20)),"",IF($C$4="MTS",_xlfn.XLOOKUP(E20,tblEquipment[Scope of Work],tblEquipment[MTS],0,0,1),IF($C$4="ATS",_xlfn.XLOOKUP(E20,tblEquipment[Scope of Work],tblEquipment[ATS],0,0,1),"Job Type?")))</f>
        <v>7.1</v>
      </c>
      <c r="E20" s="18" t="s">
        <v>90</v>
      </c>
      <c r="F20" s="18" t="s">
        <v>241</v>
      </c>
      <c r="G20" s="18" t="s">
        <v>239</v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>2.5</v>
      </c>
      <c r="J20" s="41">
        <f t="shared" si="1"/>
        <v>2.5</v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C21" s="26">
        <v>6</v>
      </c>
      <c r="D21" s="26" t="str">
        <f>IF(OR(E21="",ISBLANK(E21)),"",IF($C$4="MTS",_xlfn.XLOOKUP(E21,tblEquipment[Scope of Work],tblEquipment[MTS],0,0,1),IF($C$4="ATS",_xlfn.XLOOKUP(E21,tblEquipment[Scope of Work],tblEquipment[ATS],0,0,1),"Job Type?")))</f>
        <v>7.19</v>
      </c>
      <c r="E21" s="18" t="s">
        <v>131</v>
      </c>
      <c r="F21" s="18" t="s">
        <v>241</v>
      </c>
      <c r="G21" s="18" t="s">
        <v>239</v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>2</v>
      </c>
      <c r="J21" s="41">
        <f t="shared" si="1"/>
        <v>12</v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C22" s="26">
        <v>2</v>
      </c>
      <c r="D22" s="26" t="str">
        <f>IF(OR(E22="",ISBLANK(E22)),"",IF($C$4="MTS",_xlfn.XLOOKUP(E22,tblEquipment[Scope of Work],tblEquipment[MTS],0,0,1),IF($C$4="ATS",_xlfn.XLOOKUP(E22,tblEquipment[Scope of Work],tblEquipment[ATS],0,0,1),"Job Type?")))</f>
        <v>7.1</v>
      </c>
      <c r="E22" s="18" t="s">
        <v>46</v>
      </c>
      <c r="F22" s="18" t="s">
        <v>241</v>
      </c>
      <c r="G22" s="18" t="s">
        <v>239</v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>2.5</v>
      </c>
      <c r="J22" s="41">
        <f t="shared" si="1"/>
        <v>5</v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C23" s="26">
        <v>3</v>
      </c>
      <c r="D23" s="26" t="str">
        <f>IF(OR(E23="",ISBLANK(E23)),"",IF($C$4="MTS",_xlfn.XLOOKUP(E23,tblEquipment[Scope of Work],tblEquipment[MTS],0,0,1),IF($C$4="ATS",_xlfn.XLOOKUP(E23,tblEquipment[Scope of Work],tblEquipment[ATS],0,0,1),"Job Type?")))</f>
        <v>7.10</v>
      </c>
      <c r="E23" s="18" t="s">
        <v>225</v>
      </c>
      <c r="F23" s="18" t="s">
        <v>241</v>
      </c>
      <c r="G23" s="18" t="s">
        <v>239</v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>2.5</v>
      </c>
      <c r="J23" s="41">
        <f t="shared" si="1"/>
        <v>7.5</v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C24" s="26">
        <v>6</v>
      </c>
      <c r="D24" s="26" t="str">
        <f>IF(OR(E24="",ISBLANK(E24)),"",IF($C$4="MTS",_xlfn.XLOOKUP(E24,tblEquipment[Scope of Work],tblEquipment[MTS],0,0,1),IF($C$4="ATS",_xlfn.XLOOKUP(E24,tblEquipment[Scope of Work],tblEquipment[ATS],0,0,1),"Job Type?")))</f>
        <v>7.7</v>
      </c>
      <c r="E24" s="18" t="s">
        <v>9</v>
      </c>
      <c r="F24" s="18" t="s">
        <v>241</v>
      </c>
      <c r="G24" s="18" t="s">
        <v>239</v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>4</v>
      </c>
      <c r="J24" s="41">
        <f t="shared" si="1"/>
        <v>24</v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C25" s="26">
        <v>12</v>
      </c>
      <c r="D25" s="26" t="str">
        <f>IF(OR(E25="",ISBLANK(E25)),"",IF($C$4="MTS",_xlfn.XLOOKUP(E25,tblEquipment[Scope of Work],tblEquipment[MTS],0,0,1),IF($C$4="ATS",_xlfn.XLOOKUP(E25,tblEquipment[Scope of Work],tblEquipment[ATS],0,0,1),"Job Type?")))</f>
        <v>7.14</v>
      </c>
      <c r="E25" s="18" t="s">
        <v>48</v>
      </c>
      <c r="F25" s="18" t="s">
        <v>241</v>
      </c>
      <c r="G25" s="18" t="s">
        <v>239</v>
      </c>
      <c r="H25" s="14"/>
      <c r="I25" s="26">
        <f>IF(OR(C25="",ISBLANK(C25)),"",IF($C$4="MTS",_xlfn.XLOOKUP(E25,tblEquipment[Scope of Work],tblEquipment[MTS23],0,0,1),IF($C$4="ATS",_xlfn.XLOOKUP(E25,tblEquipment[Scope of Work],tblEquipment[ATS25],0,0,1),"Job Type?")))</f>
        <v>2</v>
      </c>
      <c r="J25" s="41">
        <f t="shared" si="1"/>
        <v>24</v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C26" s="26">
        <v>6</v>
      </c>
      <c r="D26" s="26" t="str">
        <f>IF(OR(E26="",ISBLANK(E26)),"",IF($C$4="MTS",_xlfn.XLOOKUP(E26,tblEquipment[Scope of Work],tblEquipment[MTS],0,0,1),IF($C$4="ATS",_xlfn.XLOOKUP(E26,tblEquipment[Scope of Work],tblEquipment[ATS],0,0,1),"Job Type?")))</f>
        <v>7.14</v>
      </c>
      <c r="E26" s="18" t="s">
        <v>215</v>
      </c>
      <c r="F26" s="18" t="s">
        <v>241</v>
      </c>
      <c r="G26" s="18" t="s">
        <v>239</v>
      </c>
      <c r="H26" s="14"/>
      <c r="I26" s="26">
        <f>IF(OR(C26="",ISBLANK(C26)),"",IF($C$4="MTS",_xlfn.XLOOKUP(E26,tblEquipment[Scope of Work],tblEquipment[MTS23],0,0,1),IF($C$4="ATS",_xlfn.XLOOKUP(E26,tblEquipment[Scope of Work],tblEquipment[ATS25],0,0,1),"Job Type?")))</f>
        <v>0.75</v>
      </c>
      <c r="J26" s="41">
        <f t="shared" si="1"/>
        <v>4.5</v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C27" s="26">
        <v>6</v>
      </c>
      <c r="D27" s="26" t="str">
        <f>IF(OR(E27="",ISBLANK(E27)),"",IF($C$4="MTS",_xlfn.XLOOKUP(E27,tblEquipment[Scope of Work],tblEquipment[MTS],0,0,1),IF($C$4="ATS",_xlfn.XLOOKUP(E27,tblEquipment[Scope of Work],tblEquipment[ATS],0,0,1),"Job Type?")))</f>
        <v>7.9</v>
      </c>
      <c r="E27" s="18" t="s">
        <v>76</v>
      </c>
      <c r="F27" s="18" t="s">
        <v>241</v>
      </c>
      <c r="G27" s="18" t="s">
        <v>239</v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>5</v>
      </c>
      <c r="J27" s="41">
        <f t="shared" si="1"/>
        <v>30</v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C28" s="26">
        <v>1</v>
      </c>
      <c r="D28" s="26" t="str">
        <f>IF(OR(E28="",ISBLANK(E28)),"",IF($C$4="MTS",_xlfn.XLOOKUP(E28,tblEquipment[Scope of Work],tblEquipment[MTS],0,0,1),IF($C$4="ATS",_xlfn.XLOOKUP(E28,tblEquipment[Scope of Work],tblEquipment[ATS],0,0,1),"Job Type?")))</f>
        <v>7.9</v>
      </c>
      <c r="E28" s="18" t="s">
        <v>141</v>
      </c>
      <c r="F28" s="18" t="s">
        <v>241</v>
      </c>
      <c r="G28" s="18" t="s">
        <v>239</v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>5</v>
      </c>
      <c r="J28" s="41">
        <f t="shared" si="1"/>
        <v>5</v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C29" s="26">
        <v>1</v>
      </c>
      <c r="D29" s="26" t="str">
        <f>IF(OR(E29="",ISBLANK(E29)),"",IF($C$4="MTS",_xlfn.XLOOKUP(E29,tblEquipment[Scope of Work],tblEquipment[MTS],0,0,1),IF($C$4="ATS",_xlfn.XLOOKUP(E29,tblEquipment[Scope of Work],tblEquipment[ATS],0,0,1),"Job Type?")))</f>
        <v>7.11</v>
      </c>
      <c r="E29" s="18" t="s">
        <v>63</v>
      </c>
      <c r="F29" s="18" t="s">
        <v>241</v>
      </c>
      <c r="G29" s="18" t="s">
        <v>239</v>
      </c>
      <c r="H29" s="14"/>
      <c r="I29" s="26">
        <f>IF(OR(C29="",ISBLANK(C29)),"",IF($C$4="MTS",_xlfn.XLOOKUP(E29,tblEquipment[Scope of Work],tblEquipment[MTS23],0,0,1),IF($C$4="ATS",_xlfn.XLOOKUP(E29,tblEquipment[Scope of Work],tblEquipment[ATS25],0,0,1),"Job Type?")))</f>
        <v>2.5</v>
      </c>
      <c r="J29" s="41">
        <f t="shared" si="1"/>
        <v>2.5</v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1</v>
      </c>
      <c r="N30" s="68">
        <v>300</v>
      </c>
      <c r="O30" s="26">
        <v>1.5</v>
      </c>
      <c r="P30" s="33">
        <f>M30*N30*O30</f>
        <v>450</v>
      </c>
      <c r="Q30" s="14"/>
    </row>
    <row r="31" spans="2:17" ht="15" customHeight="1" x14ac:dyDescent="0.25">
      <c r="B31" s="14"/>
      <c r="D31" s="52">
        <f>IF(OR(E31="",ISBLANK(E31)),"",IF($C$4="MTS",_xlfn.XLOOKUP(E31,tblEquipment[Scope of Work],tblEquipment[MTS],0,0,1),IF($C$4="ATS",_xlfn.XLOOKUP(E31,tblEquipment[Scope of Work],tblEquipment[ATS],0,0,1),"Job Type?")))</f>
        <v>0</v>
      </c>
      <c r="E31" s="55" t="s">
        <v>242</v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>IF(OR(C31="",ISBLANK(C31)),"",IFERROR(C31*I31,""))</f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C32" s="26">
        <v>1</v>
      </c>
      <c r="D32" s="26" t="str">
        <f>IF(OR(E32="",ISBLANK(E32)),"",IF($C$4="MTS",_xlfn.XLOOKUP(E32,tblEquipment[Scope of Work],tblEquipment[MTS],0,0,1),IF($C$4="ATS",_xlfn.XLOOKUP(E32,tblEquipment[Scope of Work],tblEquipment[ATS],0,0,1),"Job Type?")))</f>
        <v>7.1</v>
      </c>
      <c r="E32" s="18" t="s">
        <v>90</v>
      </c>
      <c r="F32" s="18" t="s">
        <v>243</v>
      </c>
      <c r="G32" s="18" t="s">
        <v>239</v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>2.5</v>
      </c>
      <c r="J32" s="41">
        <f t="shared" si="1"/>
        <v>2.5</v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C33" s="26">
        <v>1</v>
      </c>
      <c r="D33" s="26" t="str">
        <f>IF(OR(E33="",ISBLANK(E33)),"",IF($C$4="MTS",_xlfn.XLOOKUP(E33,tblEquipment[Scope of Work],tblEquipment[MTS],0,0,1),IF($C$4="ATS",_xlfn.XLOOKUP(E33,tblEquipment[Scope of Work],tblEquipment[ATS],0,0,1),"Job Type?")))</f>
        <v>7.2</v>
      </c>
      <c r="E33" s="18" t="s">
        <v>95</v>
      </c>
      <c r="F33" s="18" t="s">
        <v>244</v>
      </c>
      <c r="G33" s="18" t="s">
        <v>239</v>
      </c>
      <c r="H33" s="14"/>
      <c r="I33" s="26">
        <f>IF(OR(C33="",ISBLANK(C33)),"",IF($C$4="MTS",_xlfn.XLOOKUP(E33,tblEquipment[Scope of Work],tblEquipment[MTS23],0,0,1),IF($C$4="ATS",_xlfn.XLOOKUP(E33,tblEquipment[Scope of Work],tblEquipment[ATS25],0,0,1),"Job Type?")))</f>
        <v>12</v>
      </c>
      <c r="J33" s="41">
        <f t="shared" si="1"/>
        <v>12</v>
      </c>
      <c r="K33" s="14"/>
      <c r="L33" s="59" t="s">
        <v>191</v>
      </c>
      <c r="M33" s="64"/>
      <c r="N33" s="64"/>
      <c r="O33" s="65"/>
      <c r="P33" s="63">
        <f>SUM(P28:P32)</f>
        <v>450</v>
      </c>
      <c r="Q33" s="14"/>
    </row>
    <row r="34" spans="2:17" ht="15" customHeight="1" x14ac:dyDescent="0.25">
      <c r="B34" s="14"/>
      <c r="C34" s="26">
        <v>5</v>
      </c>
      <c r="D34" s="26" t="str">
        <f>IF(OR(E34="",ISBLANK(E34)),"",IF($C$4="MTS",_xlfn.XLOOKUP(E34,tblEquipment[Scope of Work],tblEquipment[MTS],0,0,1),IF($C$4="ATS",_xlfn.XLOOKUP(E34,tblEquipment[Scope of Work],tblEquipment[ATS],0,0,1),"Job Type?")))</f>
        <v>7.3</v>
      </c>
      <c r="E34" s="18" t="s">
        <v>42</v>
      </c>
      <c r="F34" s="18" t="s">
        <v>245</v>
      </c>
      <c r="G34" s="18" t="s">
        <v>239</v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>4</v>
      </c>
      <c r="J34" s="41">
        <f t="shared" si="1"/>
        <v>20</v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C35" s="26">
        <v>1</v>
      </c>
      <c r="D35" s="26" t="str">
        <f>IF(OR(E35="",ISBLANK(E35)),"",IF($C$4="MTS",_xlfn.XLOOKUP(E35,tblEquipment[Scope of Work],tblEquipment[MTS],0,0,1),IF($C$4="ATS",_xlfn.XLOOKUP(E35,tblEquipment[Scope of Work],tblEquipment[ATS],0,0,1),"Job Type?")))</f>
        <v>7.2</v>
      </c>
      <c r="E35" s="18" t="s">
        <v>94</v>
      </c>
      <c r="F35" s="18" t="s">
        <v>244</v>
      </c>
      <c r="G35" s="18" t="s">
        <v>239</v>
      </c>
      <c r="H35" s="14"/>
      <c r="I35" s="26">
        <f>IF(OR(C35="",ISBLANK(C35)),"",IF($C$4="MTS",_xlfn.XLOOKUP(E35,tblEquipment[Scope of Work],tblEquipment[MTS23],0,0,1),IF($C$4="ATS",_xlfn.XLOOKUP(E35,tblEquipment[Scope of Work],tblEquipment[ATS25],0,0,1),"Job Type?")))</f>
        <v>1</v>
      </c>
      <c r="J35" s="41">
        <f t="shared" si="1"/>
        <v>1</v>
      </c>
      <c r="K35" s="14"/>
    </row>
    <row r="36" spans="2:17" ht="15" customHeight="1" x14ac:dyDescent="0.25">
      <c r="B36" s="14"/>
      <c r="C36" s="26">
        <v>1</v>
      </c>
      <c r="D36" s="26" t="str">
        <f>IF(OR(E36="",ISBLANK(E36)),"",IF($C$4="MTS",_xlfn.XLOOKUP(E36,tblEquipment[Scope of Work],tblEquipment[MTS],0,0,1),IF($C$4="ATS",_xlfn.XLOOKUP(E36,tblEquipment[Scope of Work],tblEquipment[ATS],0,0,1),"Job Type?")))</f>
        <v>7.6</v>
      </c>
      <c r="E36" s="18" t="s">
        <v>28</v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>3.5</v>
      </c>
      <c r="J36" s="41">
        <f t="shared" si="1"/>
        <v>3.5</v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ref="J37:J48" si="6">IF(OR(C37="",ISBLANK(C37)),"",IFERROR(C37*I37,""))</f>
        <v/>
      </c>
      <c r="K37" s="14"/>
    </row>
    <row r="38" spans="2:17" ht="15" customHeight="1" x14ac:dyDescent="0.25">
      <c r="B38" s="14"/>
      <c r="D38" s="52">
        <f>IF(OR(E38="",ISBLANK(E38)),"",IF($C$4="MTS",_xlfn.XLOOKUP(E38,tblEquipment[Scope of Work],tblEquipment[MTS],0,0,1),IF($C$4="ATS",_xlfn.XLOOKUP(E38,tblEquipment[Scope of Work],tblEquipment[ATS],0,0,1),"Job Type?")))</f>
        <v>0</v>
      </c>
      <c r="E38" s="55" t="s">
        <v>246</v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6"/>
        <v/>
      </c>
      <c r="K38" s="14"/>
    </row>
    <row r="39" spans="2:17" ht="15" customHeight="1" x14ac:dyDescent="0.25">
      <c r="B39" s="14"/>
      <c r="C39" s="26">
        <v>6</v>
      </c>
      <c r="D39" s="26" t="str">
        <f>IF(OR(E39="",ISBLANK(E39)),"",IF($C$4="MTS",_xlfn.XLOOKUP(E39,tblEquipment[Scope of Work],tblEquipment[MTS],0,0,1),IF($C$4="ATS",_xlfn.XLOOKUP(E39,tblEquipment[Scope of Work],tblEquipment[ATS],0,0,1),"Job Type?")))</f>
        <v>7.16</v>
      </c>
      <c r="E39" s="18" t="s">
        <v>71</v>
      </c>
      <c r="G39" s="18" t="s">
        <v>247</v>
      </c>
      <c r="H39" s="14"/>
      <c r="I39" s="26">
        <f>IF(OR(C39="",ISBLANK(C39)),"",IF($C$4="MTS",_xlfn.XLOOKUP(E39,tblEquipment[Scope of Work],tblEquipment[MTS23],0,0,1),IF($C$4="ATS",_xlfn.XLOOKUP(E39,tblEquipment[Scope of Work],tblEquipment[ATS25],0,0,1),"Job Type?")))</f>
        <v>4</v>
      </c>
      <c r="J39" s="41">
        <f t="shared" si="6"/>
        <v>24</v>
      </c>
      <c r="K39" s="14"/>
    </row>
    <row r="40" spans="2:17" ht="15" customHeight="1" x14ac:dyDescent="0.25">
      <c r="B40" s="14"/>
      <c r="C40" s="26">
        <v>3</v>
      </c>
      <c r="D40" s="26" t="str">
        <f>IF(OR(E40="",ISBLANK(E40)),"",IF($C$4="MTS",_xlfn.XLOOKUP(E40,tblEquipment[Scope of Work],tblEquipment[MTS],0,0,1),IF($C$4="ATS",_xlfn.XLOOKUP(E40,tblEquipment[Scope of Work],tblEquipment[ATS],0,0,1),"Job Type?")))</f>
        <v>7.5</v>
      </c>
      <c r="E40" s="102" t="s">
        <v>86</v>
      </c>
      <c r="G40" s="18" t="s">
        <v>247</v>
      </c>
      <c r="H40" s="14"/>
      <c r="I40" s="26">
        <f>IF(OR(C40="",ISBLANK(C40)),"",IF($C$4="MTS",_xlfn.XLOOKUP(E40,tblEquipment[Scope of Work],tblEquipment[MTS23],0,0,1),IF($C$4="ATS",_xlfn.XLOOKUP(E40,tblEquipment[Scope of Work],tblEquipment[ATS25],0,0,1),"Job Type?")))</f>
        <v>2.5</v>
      </c>
      <c r="J40" s="41">
        <f t="shared" si="6"/>
        <v>7.5</v>
      </c>
      <c r="K40" s="14"/>
    </row>
    <row r="41" spans="2:17" ht="15" customHeight="1" x14ac:dyDescent="0.25">
      <c r="B41" s="14"/>
      <c r="C41" s="26">
        <v>3</v>
      </c>
      <c r="D41" s="26" t="str">
        <f>IF(OR(E41="",ISBLANK(E41)),"",IF($C$4="MTS",_xlfn.XLOOKUP(E41,tblEquipment[Scope of Work],tblEquipment[MTS],0,0,1),IF($C$4="ATS",_xlfn.XLOOKUP(E41,tblEquipment[Scope of Work],tblEquipment[ATS],0,0,1),"Job Type?")))</f>
        <v>7.19</v>
      </c>
      <c r="E41" s="18" t="s">
        <v>131</v>
      </c>
      <c r="G41" s="18" t="s">
        <v>247</v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>2</v>
      </c>
      <c r="J41" s="41">
        <f t="shared" si="6"/>
        <v>6</v>
      </c>
      <c r="K41" s="14"/>
    </row>
    <row r="42" spans="2:17" ht="15" customHeight="1" x14ac:dyDescent="0.25">
      <c r="B42" s="14"/>
      <c r="C42" s="26">
        <v>3</v>
      </c>
      <c r="D42" s="26" t="str">
        <f>IF(OR(E42="",ISBLANK(E42)),"",IF($C$4="MTS",_xlfn.XLOOKUP(E42,tblEquipment[Scope of Work],tblEquipment[MTS],0,0,1),IF($C$4="ATS",_xlfn.XLOOKUP(E42,tblEquipment[Scope of Work],tblEquipment[ATS],0,0,1),"Job Type?")))</f>
        <v>7.10</v>
      </c>
      <c r="E42" s="18" t="s">
        <v>140</v>
      </c>
      <c r="G42" s="18" t="s">
        <v>247</v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>2.5</v>
      </c>
      <c r="J42" s="41">
        <f t="shared" si="6"/>
        <v>7.5</v>
      </c>
      <c r="K42" s="14"/>
    </row>
    <row r="43" spans="2:17" ht="15" customHeight="1" x14ac:dyDescent="0.25">
      <c r="B43" s="14"/>
      <c r="C43" s="26">
        <v>3</v>
      </c>
      <c r="D43" s="26" t="str">
        <f>IF(OR(E43="",ISBLANK(E43)),"",IF($C$4="MTS",_xlfn.XLOOKUP(E43,tblEquipment[Scope of Work],tblEquipment[MTS],0,0,1),IF($C$4="ATS",_xlfn.XLOOKUP(E43,tblEquipment[Scope of Work],tblEquipment[ATS],0,0,1),"Job Type?")))</f>
        <v>7.15</v>
      </c>
      <c r="E43" s="18" t="s">
        <v>47</v>
      </c>
      <c r="G43" s="18" t="s">
        <v>247</v>
      </c>
      <c r="H43" s="14"/>
      <c r="I43" s="26">
        <f>IF(OR(C43="",ISBLANK(C43)),"",IF($C$4="MTS",_xlfn.XLOOKUP(E43,tblEquipment[Scope of Work],tblEquipment[MTS23],0,0,1),IF($C$4="ATS",_xlfn.XLOOKUP(E43,tblEquipment[Scope of Work],tblEquipment[ATS25],0,0,1),"Job Type?")))</f>
        <v>2</v>
      </c>
      <c r="J43" s="41">
        <f t="shared" si="6"/>
        <v>6</v>
      </c>
      <c r="K43" s="14"/>
    </row>
    <row r="44" spans="2:17" ht="15" customHeight="1" x14ac:dyDescent="0.25">
      <c r="B44" s="14"/>
      <c r="C44" s="26">
        <v>3</v>
      </c>
      <c r="D44" s="26" t="str">
        <f>IF(OR(E44="",ISBLANK(E44)),"",IF($C$4="MTS",_xlfn.XLOOKUP(E44,tblEquipment[Scope of Work],tblEquipment[MTS],0,0,1),IF($C$4="ATS",_xlfn.XLOOKUP(E44,tblEquipment[Scope of Work],tblEquipment[ATS],0,0,1),"Job Type?")))</f>
        <v>7.20</v>
      </c>
      <c r="E44" s="18" t="s">
        <v>236</v>
      </c>
      <c r="G44" s="18" t="s">
        <v>247</v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>2</v>
      </c>
      <c r="J44" s="41">
        <f t="shared" si="6"/>
        <v>6</v>
      </c>
      <c r="K44" s="14"/>
    </row>
    <row r="45" spans="2:17" ht="15" customHeight="1" x14ac:dyDescent="0.25">
      <c r="B45" s="14"/>
      <c r="C45" s="26">
        <v>3</v>
      </c>
      <c r="D45" s="26" t="str">
        <f>IF(OR(E45="",ISBLANK(E45)),"",IF($C$4="MTS",_xlfn.XLOOKUP(E45,tblEquipment[Scope of Work],tblEquipment[MTS],0,0,1),IF($C$4="ATS",_xlfn.XLOOKUP(E45,tblEquipment[Scope of Work],tblEquipment[ATS],0,0,1),"Job Type?")))</f>
        <v>7.9</v>
      </c>
      <c r="E45" s="18" t="s">
        <v>78</v>
      </c>
      <c r="G45" s="18" t="s">
        <v>247</v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>8</v>
      </c>
      <c r="J45" s="41">
        <f t="shared" si="6"/>
        <v>24</v>
      </c>
      <c r="K45" s="14"/>
    </row>
    <row r="46" spans="2:17" ht="15" customHeight="1" x14ac:dyDescent="0.25">
      <c r="B46" s="14"/>
      <c r="C46" s="26">
        <v>3</v>
      </c>
      <c r="D46" s="26" t="str">
        <f>IF(OR(E46="",ISBLANK(E46)),"",IF($C$4="MTS",_xlfn.XLOOKUP(E46,tblEquipment[Scope of Work],tblEquipment[MTS],0,0,1),IF($C$4="ATS",_xlfn.XLOOKUP(E46,tblEquipment[Scope of Work],tblEquipment[ATS],0,0,1),"Job Type?")))</f>
        <v>7.2</v>
      </c>
      <c r="E46" s="18" t="s">
        <v>93</v>
      </c>
      <c r="G46" s="18" t="s">
        <v>247</v>
      </c>
      <c r="H46" s="14"/>
      <c r="I46" s="26">
        <f>IF(OR(C46="",ISBLANK(C46)),"",IF($C$4="MTS",_xlfn.XLOOKUP(E46,tblEquipment[Scope of Work],tblEquipment[MTS23],0,0,1),IF($C$4="ATS",_xlfn.XLOOKUP(E46,tblEquipment[Scope of Work],tblEquipment[ATS25],0,0,1),"Job Type?")))</f>
        <v>3</v>
      </c>
      <c r="J46" s="41">
        <f t="shared" si="6"/>
        <v>9</v>
      </c>
      <c r="K46" s="14"/>
    </row>
    <row r="47" spans="2:17" ht="15" customHeight="1" x14ac:dyDescent="0.25">
      <c r="B47" s="14"/>
      <c r="C47" s="26">
        <v>3</v>
      </c>
      <c r="D47" s="26" t="str">
        <f>IF(OR(E47="",ISBLANK(E47)),"",IF($C$4="MTS",_xlfn.XLOOKUP(E47,tblEquipment[Scope of Work],tblEquipment[MTS],0,0,1),IF($C$4="ATS",_xlfn.XLOOKUP(E47,tblEquipment[Scope of Work],tblEquipment[ATS],0,0,1),"Job Type?")))</f>
        <v>7.3</v>
      </c>
      <c r="E47" s="18" t="s">
        <v>42</v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>4</v>
      </c>
      <c r="J47" s="41">
        <f t="shared" si="6"/>
        <v>12</v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6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52">
        <f>IF(OR(E50="",ISBLANK(E50)),"",IF($C$4="MTS",_xlfn.XLOOKUP(E50,tblEquipment[Scope of Work],tblEquipment[MTS],0,0,1),IF($C$4="ATS",_xlfn.XLOOKUP(E50,tblEquipment[Scope of Work],tblEquipment[ATS],0,0,1),"Job Type?")))</f>
        <v>0</v>
      </c>
      <c r="E50" s="103" t="s">
        <v>248</v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C51" s="26">
        <v>1</v>
      </c>
      <c r="D51" s="26" t="str">
        <f>IF(OR(E51="",ISBLANK(E51)),"",IF($C$4="MTS",_xlfn.XLOOKUP(E51,tblEquipment[Scope of Work],tblEquipment[MTS],0,0,1),IF($C$4="ATS",_xlfn.XLOOKUP(E51,tblEquipment[Scope of Work],tblEquipment[ATS],0,0,1),"Job Type?")))</f>
        <v>7.16</v>
      </c>
      <c r="E51" s="18" t="s">
        <v>69</v>
      </c>
      <c r="F51" s="18" t="s">
        <v>249</v>
      </c>
      <c r="G51" s="18" t="s">
        <v>250</v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>8</v>
      </c>
      <c r="J51" s="41">
        <f t="shared" si="1"/>
        <v>8</v>
      </c>
      <c r="K51" s="14"/>
    </row>
    <row r="52" spans="2:11" ht="15" customHeight="1" x14ac:dyDescent="0.25">
      <c r="B52" s="14"/>
      <c r="C52" s="26">
        <v>1</v>
      </c>
      <c r="D52" s="26" t="str">
        <f>IF(OR(E52="",ISBLANK(E52)),"",IF($C$4="MTS",_xlfn.XLOOKUP(E52,tblEquipment[Scope of Work],tblEquipment[MTS],0,0,1),IF($C$4="ATS",_xlfn.XLOOKUP(E52,tblEquipment[Scope of Work],tblEquipment[ATS],0,0,1),"Job Type?")))</f>
        <v>7.6</v>
      </c>
      <c r="E52" s="18" t="s">
        <v>23</v>
      </c>
      <c r="F52" s="18" t="s">
        <v>249</v>
      </c>
      <c r="G52" s="18" t="s">
        <v>250</v>
      </c>
      <c r="H52" s="14"/>
      <c r="I52" s="26">
        <f>IF(OR(C52="",ISBLANK(C52)),"",IF($C$4="MTS",_xlfn.XLOOKUP(E52,tblEquipment[Scope of Work],tblEquipment[MTS23],0,0,1),IF($C$4="ATS",_xlfn.XLOOKUP(E52,tblEquipment[Scope of Work],tblEquipment[ATS25],0,0,1),"Job Type?")))</f>
        <v>4</v>
      </c>
      <c r="J52" s="41">
        <f t="shared" si="1"/>
        <v>4</v>
      </c>
      <c r="K52" s="14"/>
    </row>
    <row r="53" spans="2:11" ht="15" customHeight="1" x14ac:dyDescent="0.25">
      <c r="B53" s="14"/>
      <c r="C53" s="26">
        <v>1</v>
      </c>
      <c r="D53" s="26" t="str">
        <f>IF(OR(E53="",ISBLANK(E53)),"",IF($C$4="MTS",_xlfn.XLOOKUP(E53,tblEquipment[Scope of Work],tblEquipment[MTS],0,0,1),IF($C$4="ATS",_xlfn.XLOOKUP(E53,tblEquipment[Scope of Work],tblEquipment[ATS],0,0,1),"Job Type?")))</f>
        <v>7.11</v>
      </c>
      <c r="E53" s="18" t="s">
        <v>63</v>
      </c>
      <c r="F53" s="18" t="s">
        <v>249</v>
      </c>
      <c r="G53" s="18" t="s">
        <v>250</v>
      </c>
      <c r="H53" s="14"/>
      <c r="I53" s="26">
        <f>IF(OR(C53="",ISBLANK(C53)),"",IF($C$4="MTS",_xlfn.XLOOKUP(E53,tblEquipment[Scope of Work],tblEquipment[MTS23],0,0,1),IF($C$4="ATS",_xlfn.XLOOKUP(E53,tblEquipment[Scope of Work],tblEquipment[ATS25],0,0,1),"Job Type?")))</f>
        <v>2.5</v>
      </c>
      <c r="J53" s="41">
        <f t="shared" si="1"/>
        <v>2.5</v>
      </c>
      <c r="K53" s="14"/>
    </row>
    <row r="54" spans="2:11" ht="15" customHeight="1" x14ac:dyDescent="0.25">
      <c r="B54" s="14"/>
      <c r="C54" s="26">
        <v>1</v>
      </c>
      <c r="D54" s="26" t="str">
        <f>IF(OR(E54="",ISBLANK(E54)),"",IF($C$4="MTS",_xlfn.XLOOKUP(E54,tblEquipment[Scope of Work],tblEquipment[MTS],0,0,1),IF($C$4="ATS",_xlfn.XLOOKUP(E54,tblEquipment[Scope of Work],tblEquipment[ATS],0,0,1),"Job Type?")))</f>
        <v>7.15</v>
      </c>
      <c r="E54" s="18" t="s">
        <v>47</v>
      </c>
      <c r="F54" s="18" t="s">
        <v>249</v>
      </c>
      <c r="G54" s="18" t="s">
        <v>250</v>
      </c>
      <c r="H54" s="14"/>
      <c r="I54" s="26">
        <f>IF(OR(C54="",ISBLANK(C54)),"",IF($C$4="MTS",_xlfn.XLOOKUP(E54,tblEquipment[Scope of Work],tblEquipment[MTS23],0,0,1),IF($C$4="ATS",_xlfn.XLOOKUP(E54,tblEquipment[Scope of Work],tblEquipment[ATS25],0,0,1),"Job Type?")))</f>
        <v>2</v>
      </c>
      <c r="J54" s="41">
        <f t="shared" si="1"/>
        <v>2</v>
      </c>
      <c r="K54" s="14"/>
    </row>
    <row r="55" spans="2:11" ht="15" customHeight="1" x14ac:dyDescent="0.25">
      <c r="B55" s="14"/>
      <c r="C55" s="26">
        <v>1</v>
      </c>
      <c r="D55" s="26" t="str">
        <f>IF(OR(E55="",ISBLANK(E55)),"",IF($C$4="MTS",_xlfn.XLOOKUP(E55,tblEquipment[Scope of Work],tblEquipment[MTS],0,0,1),IF($C$4="ATS",_xlfn.XLOOKUP(E55,tblEquipment[Scope of Work],tblEquipment[ATS],0,0,1),"Job Type?")))</f>
        <v>7.10</v>
      </c>
      <c r="E55" s="18" t="s">
        <v>276</v>
      </c>
      <c r="F55" s="18" t="s">
        <v>249</v>
      </c>
      <c r="G55" s="18" t="s">
        <v>250</v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>1.5</v>
      </c>
      <c r="J55" s="41">
        <f t="shared" si="1"/>
        <v>1.5</v>
      </c>
      <c r="K55" s="14"/>
    </row>
    <row r="56" spans="2:11" ht="15" customHeight="1" x14ac:dyDescent="0.25">
      <c r="B56" s="14"/>
      <c r="C56" s="26">
        <v>1</v>
      </c>
      <c r="D56" s="26" t="str">
        <f>IF(OR(E56="",ISBLANK(E56)),"",IF($C$4="MTS",_xlfn.XLOOKUP(E56,tblEquipment[Scope of Work],tblEquipment[MTS],0,0,1),IF($C$4="ATS",_xlfn.XLOOKUP(E56,tblEquipment[Scope of Work],tblEquipment[ATS],0,0,1),"Job Type?")))</f>
        <v>7.1</v>
      </c>
      <c r="E56" s="18" t="s">
        <v>45</v>
      </c>
      <c r="F56" s="18" t="s">
        <v>249</v>
      </c>
      <c r="G56" s="18" t="s">
        <v>250</v>
      </c>
      <c r="H56" s="14"/>
      <c r="I56" s="26">
        <f>IF(OR(C56="",ISBLANK(C56)),"",IF($C$4="MTS",_xlfn.XLOOKUP(E56,tblEquipment[Scope of Work],tblEquipment[MTS23],0,0,1),IF($C$4="ATS",_xlfn.XLOOKUP(E56,tblEquipment[Scope of Work],tblEquipment[ATS25],0,0,1),"Job Type?")))</f>
        <v>1.5</v>
      </c>
      <c r="J56" s="41">
        <f t="shared" si="1"/>
        <v>1.5</v>
      </c>
      <c r="K56" s="14"/>
    </row>
    <row r="57" spans="2:11" ht="15" customHeight="1" x14ac:dyDescent="0.25">
      <c r="B57" s="14"/>
      <c r="C57" s="26">
        <v>3</v>
      </c>
      <c r="D57" s="26" t="str">
        <f>IF(OR(E57="",ISBLANK(E57)),"",IF($C$4="MTS",_xlfn.XLOOKUP(E57,tblEquipment[Scope of Work],tblEquipment[MTS],0,0,1),IF($C$4="ATS",_xlfn.XLOOKUP(E57,tblEquipment[Scope of Work],tblEquipment[ATS],0,0,1),"Job Type?")))</f>
        <v>7.19</v>
      </c>
      <c r="E57" s="18" t="s">
        <v>10</v>
      </c>
      <c r="F57" s="18" t="s">
        <v>249</v>
      </c>
      <c r="G57" s="18" t="s">
        <v>250</v>
      </c>
      <c r="H57" s="14"/>
      <c r="I57" s="26">
        <f>IF(OR(C57="",ISBLANK(C57)),"",IF($C$4="MTS",_xlfn.XLOOKUP(E57,tblEquipment[Scope of Work],tblEquipment[MTS23],0,0,1),IF($C$4="ATS",_xlfn.XLOOKUP(E57,tblEquipment[Scope of Work],tblEquipment[ATS25],0,0,1),"Job Type?")))</f>
        <v>0.5</v>
      </c>
      <c r="J57" s="41">
        <f t="shared" si="1"/>
        <v>1.5</v>
      </c>
      <c r="K57" s="14"/>
    </row>
    <row r="58" spans="2:11" ht="15" customHeight="1" x14ac:dyDescent="0.25">
      <c r="B58" s="14"/>
      <c r="C58" s="26">
        <v>2</v>
      </c>
      <c r="D58" s="26" t="str">
        <f>IF(OR(E58="",ISBLANK(E58)),"",IF($C$4="MTS",_xlfn.XLOOKUP(E58,tblEquipment[Scope of Work],tblEquipment[MTS],0,0,1),IF($C$4="ATS",_xlfn.XLOOKUP(E58,tblEquipment[Scope of Work],tblEquipment[ATS],0,0,1),"Job Type?")))</f>
        <v>7.1</v>
      </c>
      <c r="E58" s="18" t="s">
        <v>74</v>
      </c>
      <c r="F58" s="18" t="s">
        <v>249</v>
      </c>
      <c r="G58" s="18" t="s">
        <v>250</v>
      </c>
      <c r="H58" s="14"/>
      <c r="I58" s="26">
        <f>IF(OR(C58="",ISBLANK(C58)),"",IF($C$4="MTS",_xlfn.XLOOKUP(E58,tblEquipment[Scope of Work],tblEquipment[MTS23],0,0,1),IF($C$4="ATS",_xlfn.XLOOKUP(E58,tblEquipment[Scope of Work],tblEquipment[ATS25],0,0,1),"Job Type?")))</f>
        <v>0.5</v>
      </c>
      <c r="J58" s="41">
        <f t="shared" si="1"/>
        <v>1</v>
      </c>
      <c r="K58" s="14"/>
    </row>
    <row r="59" spans="2:11" ht="15" customHeight="1" x14ac:dyDescent="0.25">
      <c r="B59" s="14"/>
      <c r="C59" s="26">
        <v>2</v>
      </c>
      <c r="D59" s="26" t="str">
        <f>IF(OR(E59="",ISBLANK(E59)),"",IF($C$4="MTS",_xlfn.XLOOKUP(E59,tblEquipment[Scope of Work],tblEquipment[MTS],0,0,1),IF($C$4="ATS",_xlfn.XLOOKUP(E59,tblEquipment[Scope of Work],tblEquipment[ATS],0,0,1),"Job Type?")))</f>
        <v>7.6</v>
      </c>
      <c r="E59" s="18" t="s">
        <v>30</v>
      </c>
      <c r="F59" s="18" t="s">
        <v>249</v>
      </c>
      <c r="G59" s="18" t="s">
        <v>250</v>
      </c>
      <c r="H59" s="14"/>
      <c r="I59" s="26">
        <f>IF(OR(C59="",ISBLANK(C59)),"",IF($C$4="MTS",_xlfn.XLOOKUP(E59,tblEquipment[Scope of Work],tblEquipment[MTS23],0,0,1),IF($C$4="ATS",_xlfn.XLOOKUP(E59,tblEquipment[Scope of Work],tblEquipment[ATS25],0,0,1),"Job Type?")))</f>
        <v>2.5</v>
      </c>
      <c r="J59" s="41">
        <f t="shared" si="1"/>
        <v>5</v>
      </c>
      <c r="K59" s="14"/>
    </row>
    <row r="60" spans="2:11" ht="15" customHeight="1" x14ac:dyDescent="0.25">
      <c r="B60" s="14"/>
      <c r="C60" s="26">
        <v>2</v>
      </c>
      <c r="D60" s="26" t="str">
        <f>IF(OR(E60="",ISBLANK(E60)),"",IF($C$4="MTS",_xlfn.XLOOKUP(E60,tblEquipment[Scope of Work],tblEquipment[MTS],0,0,1),IF($C$4="ATS",_xlfn.XLOOKUP(E60,tblEquipment[Scope of Work],tblEquipment[ATS],0,0,1),"Job Type?")))</f>
        <v>7.2</v>
      </c>
      <c r="E60" s="18" t="s">
        <v>91</v>
      </c>
      <c r="F60" s="18" t="s">
        <v>249</v>
      </c>
      <c r="G60" s="18" t="s">
        <v>250</v>
      </c>
      <c r="H60" s="14"/>
      <c r="I60" s="26">
        <f>IF(OR(C60="",ISBLANK(C60)),"",IF($C$4="MTS",_xlfn.XLOOKUP(E60,tblEquipment[Scope of Work],tblEquipment[MTS23],0,0,1),IF($C$4="ATS",_xlfn.XLOOKUP(E60,tblEquipment[Scope of Work],tblEquipment[ATS25],0,0,1),"Job Type?")))</f>
        <v>1.5</v>
      </c>
      <c r="J60" s="41">
        <f t="shared" si="1"/>
        <v>3</v>
      </c>
      <c r="K60" s="14"/>
    </row>
    <row r="61" spans="2:11" ht="15" customHeight="1" x14ac:dyDescent="0.25">
      <c r="B61" s="14"/>
      <c r="C61" s="26">
        <v>2</v>
      </c>
      <c r="D61" s="26" t="str">
        <f>IF(OR(E61="",ISBLANK(E61)),"",IF($C$4="MTS",_xlfn.XLOOKUP(E61,tblEquipment[Scope of Work],tblEquipment[MTS],0,0,1),IF($C$4="ATS",_xlfn.XLOOKUP(E61,tblEquipment[Scope of Work],tblEquipment[ATS],0,0,1),"Job Type?")))</f>
        <v>7.5</v>
      </c>
      <c r="E61" s="18" t="s">
        <v>83</v>
      </c>
      <c r="F61" s="18" t="s">
        <v>249</v>
      </c>
      <c r="G61" s="18" t="s">
        <v>250</v>
      </c>
      <c r="H61" s="14"/>
      <c r="I61" s="26">
        <f>IF(OR(C61="",ISBLANK(C61)),"",IF($C$4="MTS",_xlfn.XLOOKUP(E61,tblEquipment[Scope of Work],tblEquipment[MTS23],0,0,1),IF($C$4="ATS",_xlfn.XLOOKUP(E61,tblEquipment[Scope of Work],tblEquipment[ATS25],0,0,1),"Job Type?")))</f>
        <v>1</v>
      </c>
      <c r="J61" s="41">
        <f t="shared" si="1"/>
        <v>2</v>
      </c>
      <c r="K61" s="14"/>
    </row>
    <row r="62" spans="2:11" ht="15" customHeight="1" x14ac:dyDescent="0.25">
      <c r="B62" s="14"/>
      <c r="C62" s="26">
        <v>1</v>
      </c>
      <c r="D62" s="26" t="str">
        <f>IF(OR(E62="",ISBLANK(E62)),"",IF($C$4="MTS",_xlfn.XLOOKUP(E62,tblEquipment[Scope of Work],tblEquipment[MTS],0,0,1),IF($C$4="ATS",_xlfn.XLOOKUP(E62,tblEquipment[Scope of Work],tblEquipment[ATS],0,0,1),"Job Type?")))</f>
        <v>SPEC</v>
      </c>
      <c r="E62" s="18" t="s">
        <v>233</v>
      </c>
      <c r="F62" s="18" t="s">
        <v>249</v>
      </c>
      <c r="G62" s="18" t="s">
        <v>250</v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>3</v>
      </c>
      <c r="J62" s="41">
        <f t="shared" si="1"/>
        <v>3</v>
      </c>
      <c r="K62" s="14"/>
    </row>
    <row r="63" spans="2:11" ht="15" customHeight="1" x14ac:dyDescent="0.25">
      <c r="B63" s="14"/>
      <c r="C63" s="26">
        <v>1</v>
      </c>
      <c r="D63" s="26" t="str">
        <f>IF(OR(E63="",ISBLANK(E63)),"",IF($C$4="MTS",_xlfn.XLOOKUP(E63,tblEquipment[Scope of Work],tblEquipment[MTS],0,0,1),IF($C$4="ATS",_xlfn.XLOOKUP(E63,tblEquipment[Scope of Work],tblEquipment[ATS],0,0,1),"Job Type?")))</f>
        <v>7.13</v>
      </c>
      <c r="E63" s="18" t="s">
        <v>221</v>
      </c>
      <c r="F63" s="18" t="s">
        <v>251</v>
      </c>
      <c r="G63" s="18" t="s">
        <v>251</v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>5</v>
      </c>
      <c r="J63" s="41">
        <f t="shared" si="1"/>
        <v>5</v>
      </c>
      <c r="K63" s="14"/>
    </row>
    <row r="64" spans="2:11" ht="15" customHeight="1" x14ac:dyDescent="0.25">
      <c r="B64" s="14"/>
      <c r="C64" s="26">
        <v>8</v>
      </c>
      <c r="D64" s="26" t="str">
        <f>IF(OR(E64="",ISBLANK(E64)),"",IF($C$4="MTS",_xlfn.XLOOKUP(E64,tblEquipment[Scope of Work],tblEquipment[MTS],0,0,1),IF($C$4="ATS",_xlfn.XLOOKUP(E64,tblEquipment[Scope of Work],tblEquipment[ATS],0,0,1),"Job Type?")))</f>
        <v>7.3</v>
      </c>
      <c r="E64" s="18" t="s">
        <v>38</v>
      </c>
      <c r="F64" s="18" t="s">
        <v>251</v>
      </c>
      <c r="G64" s="18" t="s">
        <v>251</v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>1</v>
      </c>
      <c r="J64" s="41">
        <f t="shared" si="1"/>
        <v>8</v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1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7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7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7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7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7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7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7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7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7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7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7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7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7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7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7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7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7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7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7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7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7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7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7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7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7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7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7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7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7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7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7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7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7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7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7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7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7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7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7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7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7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7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7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7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7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7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7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7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7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7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7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7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7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7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7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7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7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7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7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7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7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7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7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7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8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8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8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8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8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8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8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8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8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8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8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8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8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8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8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8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8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8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8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8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8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8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8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8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8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8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8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8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8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8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8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8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8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8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8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8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8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8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8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8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8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8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8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8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8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8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8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8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8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8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8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8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8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8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8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8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8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8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8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8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8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8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8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8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9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9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9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9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9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9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9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9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9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9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9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9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9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9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9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9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9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9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9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9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9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9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9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9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9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9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9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9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9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9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9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9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9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9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9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9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9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9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9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9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9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9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9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9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9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9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9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9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9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9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9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9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9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9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9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9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9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9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9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9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9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9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9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9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10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10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10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10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10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10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10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10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10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10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10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10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10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10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10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10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10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10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10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10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10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10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10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10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10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10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10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10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10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10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10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10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10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10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10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10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10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10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10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10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10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10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10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10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10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10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10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10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10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10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10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10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10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10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10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10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10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10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10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10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10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10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10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10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11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11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11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11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11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11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11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11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11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11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11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11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11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11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11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11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11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11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11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11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11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11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11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11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11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11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11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11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11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11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11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11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11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11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11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11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11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11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11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11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11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11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11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11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11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11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11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11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11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11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11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11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11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11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11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11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11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11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11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11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11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11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11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11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2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2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2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2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2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2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2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2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2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2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2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2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2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2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2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2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2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2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2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2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2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2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2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2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2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2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2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2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2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2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2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2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2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2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2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2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2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2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2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2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2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2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2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2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2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2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2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2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2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2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2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2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2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2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2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2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2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2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2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2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2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2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2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2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9" si="13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3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3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3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3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3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3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3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3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3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3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3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3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3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3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3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3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3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3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3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3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3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3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3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3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3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3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3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3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3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3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3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3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3"/>
        <v/>
      </c>
      <c r="K488" s="14"/>
    </row>
    <row r="489" spans="2:11" ht="15" customHeight="1" x14ac:dyDescent="0.25">
      <c r="B489" s="14"/>
      <c r="D489" s="26" t="str">
        <f>IF(OR(E489="",ISBLANK(E489)),"",IF($C$4="MTS",_xlfn.XLOOKUP(E489,tblEquipment[Scope of Work],tblEquipment[MTS],0,0,1),IF($C$4="ATS",_xlfn.XLOOKUP(E489,tblEquipment[Scope of Work],tblEquipment[ATS],0,0,1),"Job Type?")))</f>
        <v/>
      </c>
      <c r="H489" s="14"/>
      <c r="I489" s="26" t="str">
        <f>IF(OR(C489="",ISBLANK(C489)),"",IF($C$4="MTS",_xlfn.XLOOKUP(E489,tblEquipment[Scope of Work],tblEquipment[MTS23],0,0,1),IF($C$4="ATS",_xlfn.XLOOKUP(E489,tblEquipment[Scope of Work],tblEquipment[ATS25],0,0,1),"Job Type?")))</f>
        <v/>
      </c>
      <c r="J489" s="41" t="str">
        <f t="shared" si="13"/>
        <v/>
      </c>
      <c r="K489" s="14"/>
    </row>
    <row r="490" spans="2:11" ht="15" customHeight="1" x14ac:dyDescent="0.25">
      <c r="B490" s="14"/>
      <c r="C490" s="19"/>
      <c r="D490" s="19"/>
      <c r="E490" s="14"/>
      <c r="F490" s="14"/>
      <c r="G490" s="14"/>
      <c r="H490" s="14"/>
      <c r="I490" s="19"/>
      <c r="J490" s="19"/>
      <c r="K490" s="14"/>
    </row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</sheetData>
  <sheetProtection selectLockedCells="1"/>
  <mergeCells count="6">
    <mergeCell ref="J3:J4"/>
    <mergeCell ref="I3:I4"/>
    <mergeCell ref="C3:D3"/>
    <mergeCell ref="C4:D4"/>
    <mergeCell ref="F3:G3"/>
    <mergeCell ref="F4:G4"/>
  </mergeCells>
  <phoneticPr fontId="6" type="noConversion"/>
  <dataValidations count="5">
    <dataValidation type="list" allowBlank="1" showInputMessage="1" showErrorMessage="1" sqref="C4" xr:uid="{6FA5214A-EA5E-48C4-A3E0-E3304F747B9E}">
      <formula1>"ATS,MTS"</formula1>
    </dataValidation>
    <dataValidation type="list" allowBlank="1" showInputMessage="1" showErrorMessage="1" sqref="T11:T12 T5 T8" xr:uid="{B0BDDFAB-A973-457A-9348-3D41D18F62FC}">
      <formula1>$Y$3:$Y$7</formula1>
    </dataValidation>
    <dataValidation type="list" allowBlank="1" showInputMessage="1" showErrorMessage="1" sqref="S12" xr:uid="{EF226448-5E55-4988-B3F2-126E7481714C}">
      <formula1>$X$3:$X$15</formula1>
    </dataValidation>
    <dataValidation type="list" allowBlank="1" showInputMessage="1" showErrorMessage="1" sqref="E6 E8:E18 E32:E37 E20:E30 E59:E489 E41:E49 E51:E57" xr:uid="{D7F2F0A5-AF4D-4B91-9A90-09DA7A656F4A}">
      <formula1>INDIRECT("tblEquipment[Scope of Work]")</formula1>
    </dataValidation>
    <dataValidation type="list" allowBlank="1" showInputMessage="1" showErrorMessage="1" sqref="S5 S8 S11" xr:uid="{70ECF8A5-9548-4B31-99B2-3AE2702E8382}">
      <formula1>$X$3:$X$14</formula1>
    </dataValidation>
  </dataValidations>
  <pageMargins left="0.7" right="0.7" top="0.75" bottom="0.75" header="0.3" footer="0.3"/>
  <pageSetup orientation="portrait" r:id="rId1"/>
  <ignoredErrors>
    <ignoredError sqref="O14 O19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B0B77-FFCA-4675-B9E0-27A2BA2F5248}">
  <sheetPr codeName="Scope2"/>
  <dimension ref="B1:Y527"/>
  <sheetViews>
    <sheetView zoomScaleNormal="100" workbookViewId="0">
      <selection activeCell="E8" sqref="E8:E12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NWWRP NETA ATS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252</v>
      </c>
      <c r="F3" s="134" t="s">
        <v>254</v>
      </c>
      <c r="G3" s="134"/>
      <c r="H3" s="40"/>
      <c r="I3" s="131" t="s">
        <v>193</v>
      </c>
      <c r="J3" s="129">
        <f>SUMIF(J6:J488,"&lt;&gt;",J6:J488)</f>
        <v>19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3448.5</v>
      </c>
      <c r="Q3" s="14"/>
      <c r="R3" s="80">
        <f>IFERROR((SUM(N14)*M4),"")</f>
        <v>19.95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253</v>
      </c>
      <c r="F4" s="134" t="s">
        <v>255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>
        <f>IFERROR((P4-P3)/P3,"0%")</f>
        <v>0</v>
      </c>
      <c r="P4" s="43">
        <f>P3*M4*N4</f>
        <v>3448.5</v>
      </c>
      <c r="Q4" s="14"/>
      <c r="R4" s="80">
        <f>IFERROR((SUM(N14)*M4),"")</f>
        <v>19.95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19</v>
      </c>
      <c r="O6" s="33">
        <v>165</v>
      </c>
      <c r="P6" s="33">
        <f t="shared" ref="P6:P13" si="3">N6*O6</f>
        <v>3135</v>
      </c>
      <c r="Q6" s="36"/>
      <c r="R6" s="80">
        <f>IFERROR((SUM(N14)*M4),"")</f>
        <v>19.95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52">
        <f>IF(OR(E7="",ISBLANK(E7)),"",IF($C$4="MTS",_xlfn.XLOOKUP(E7,tblEquipment[Scope of Work],tblEquipment[MTS],0,0,1),IF($C$4="ATS",_xlfn.XLOOKUP(E7,tblEquipment[Scope of Work],tblEquipment[ATS],0,0,1),"Job Type?")))</f>
        <v>0</v>
      </c>
      <c r="E7" s="55" t="s">
        <v>256</v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19.95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C8" s="26">
        <v>1</v>
      </c>
      <c r="D8" s="26" t="str">
        <f>IF(OR(E8="",ISBLANK(E8)),"",IF($C$4="MTS",_xlfn.XLOOKUP(E8,tblEquipment[Scope of Work],tblEquipment[MTS],0,0,1),IF($C$4="ATS",_xlfn.XLOOKUP(E8,tblEquipment[Scope of Work],tblEquipment[ATS],0,0,1),"Job Type?")))</f>
        <v>7.16</v>
      </c>
      <c r="E8" s="18" t="s">
        <v>69</v>
      </c>
      <c r="F8" s="18" t="s">
        <v>257</v>
      </c>
      <c r="G8" s="18" t="s">
        <v>258</v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>8</v>
      </c>
      <c r="J8" s="41">
        <f t="shared" si="1"/>
        <v>8</v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C9" s="26">
        <v>2</v>
      </c>
      <c r="D9" s="26" t="str">
        <f>IF(OR(E9="",ISBLANK(E9)),"",IF($C$4="MTS",_xlfn.XLOOKUP(E9,tblEquipment[Scope of Work],tblEquipment[MTS],0,0,1),IF($C$4="ATS",_xlfn.XLOOKUP(E9,tblEquipment[Scope of Work],tblEquipment[ATS],0,0,1),"Job Type?")))</f>
        <v>7.13</v>
      </c>
      <c r="E9" s="18" t="s">
        <v>55</v>
      </c>
      <c r="G9" s="18" t="s">
        <v>258</v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>2.5</v>
      </c>
      <c r="J9" s="41">
        <f t="shared" si="1"/>
        <v>5</v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19.95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C10" s="26">
        <v>1</v>
      </c>
      <c r="D10" s="26" t="str">
        <f>IF(OR(E10="",ISBLANK(E10)),"",IF($C$4="MTS",_xlfn.XLOOKUP(E10,tblEquipment[Scope of Work],tblEquipment[MTS],0,0,1),IF($C$4="ATS",_xlfn.XLOOKUP(E10,tblEquipment[Scope of Work],tblEquipment[ATS],0,0,1),"Job Type?")))</f>
        <v>7.1</v>
      </c>
      <c r="E10" s="18" t="s">
        <v>230</v>
      </c>
      <c r="F10" s="18" t="s">
        <v>257</v>
      </c>
      <c r="G10" s="18" t="s">
        <v>258</v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>1.5</v>
      </c>
      <c r="J10" s="41">
        <f t="shared" si="1"/>
        <v>1.5</v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19.95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C11" s="26">
        <v>1</v>
      </c>
      <c r="D11" s="26" t="str">
        <f>IF(OR(E11="",ISBLANK(E11)),"",IF($C$4="MTS",_xlfn.XLOOKUP(E11,tblEquipment[Scope of Work],tblEquipment[MTS],0,0,1),IF($C$4="ATS",_xlfn.XLOOKUP(E11,tblEquipment[Scope of Work],tblEquipment[ATS],0,0,1),"Job Type?")))</f>
        <v>7.19</v>
      </c>
      <c r="E11" s="18" t="s">
        <v>10</v>
      </c>
      <c r="G11" s="18" t="s">
        <v>258</v>
      </c>
      <c r="H11" s="14"/>
      <c r="I11" s="26">
        <f>IF(OR(C11="",ISBLANK(C11)),"",IF($C$4="MTS",_xlfn.XLOOKUP(E11,tblEquipment[Scope of Work],tblEquipment[MTS23],0,0,1),IF($C$4="ATS",_xlfn.XLOOKUP(E11,tblEquipment[Scope of Work],tblEquipment[ATS25],0,0,1),"Job Type?")))</f>
        <v>0.5</v>
      </c>
      <c r="J11" s="41">
        <f t="shared" si="1"/>
        <v>0.5</v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C12" s="26">
        <v>1</v>
      </c>
      <c r="D12" s="26" t="str">
        <f>IF(OR(E12="",ISBLANK(E12)),"",IF($C$4="MTS",_xlfn.XLOOKUP(E12,tblEquipment[Scope of Work],tblEquipment[MTS],0,0,1),IF($C$4="ATS",_xlfn.XLOOKUP(E12,tblEquipment[Scope of Work],tblEquipment[ATS],0,0,1),"Job Type?")))</f>
        <v>7.6</v>
      </c>
      <c r="E12" s="18" t="s">
        <v>29</v>
      </c>
      <c r="G12" s="18" t="s">
        <v>258</v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>4</v>
      </c>
      <c r="J12" s="41">
        <f t="shared" si="1"/>
        <v>4</v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0.05</v>
      </c>
      <c r="N13" s="26">
        <f t="shared" si="2"/>
        <v>0.95000000000000007</v>
      </c>
      <c r="O13" s="33">
        <v>165</v>
      </c>
      <c r="P13" s="33">
        <f t="shared" si="3"/>
        <v>156.75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1.05</v>
      </c>
      <c r="N14" s="61">
        <f>SUM(N6:N13)</f>
        <v>19.95</v>
      </c>
      <c r="O14" s="62">
        <f>IFERROR(P14/N14,"$0")</f>
        <v>165</v>
      </c>
      <c r="P14" s="63">
        <f>SUM(P6:P13)</f>
        <v>3291.75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0.05</v>
      </c>
      <c r="N16" s="26">
        <f>$J$3*M16</f>
        <v>0.95000000000000007</v>
      </c>
      <c r="O16" s="33">
        <v>165</v>
      </c>
      <c r="P16" s="33">
        <f>N16*O16</f>
        <v>156.75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0.05</v>
      </c>
      <c r="N19" s="61">
        <f>SUM(N16:N18)</f>
        <v>0.95000000000000007</v>
      </c>
      <c r="O19" s="62">
        <f>IFERROR(P19/N19,"$0")</f>
        <v>165</v>
      </c>
      <c r="P19" s="63">
        <f>SUM(P16:P18)</f>
        <v>156.75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 E8:E488" xr:uid="{EAEE537B-079C-4A42-A360-35724A592B8E}">
      <formula1>INDIRECT("tblEquipment[Scope of Work]")</formula1>
    </dataValidation>
    <dataValidation type="list" allowBlank="1" showInputMessage="1" showErrorMessage="1" sqref="S12" xr:uid="{9454F292-03F8-4410-A2F9-44C82AC4E596}">
      <formula1>$X$3:$X$15</formula1>
    </dataValidation>
    <dataValidation type="list" allowBlank="1" showInputMessage="1" showErrorMessage="1" sqref="T11:T12 T5 T8" xr:uid="{4E5F9461-F108-4454-B5D5-E4553E9C71E2}">
      <formula1>$Y$3:$Y$7</formula1>
    </dataValidation>
    <dataValidation type="list" allowBlank="1" showInputMessage="1" showErrorMessage="1" sqref="C4" xr:uid="{8ACDBF0C-7847-493C-8BE8-38319B4DC806}">
      <formula1>"ATS,MTS"</formula1>
    </dataValidation>
    <dataValidation type="list" allowBlank="1" showInputMessage="1" showErrorMessage="1" sqref="S5 S8 S11" xr:uid="{4E1F51D8-A21B-437D-B6DC-9C380FD6F3C2}">
      <formula1>$X$3:$X$14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535AE-62A7-46E9-8BC6-AEB03DB762BE}">
  <sheetPr codeName="Scope6"/>
  <dimension ref="B1:Y527"/>
  <sheetViews>
    <sheetView zoomScaleNormal="100" workbookViewId="0">
      <selection activeCell="E7" sqref="E7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GWRP NETA ATS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11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2087.25</v>
      </c>
      <c r="Q3" s="14"/>
      <c r="R3" s="80">
        <f>IFERROR((SUM(N14)*M4),"")</f>
        <v>12.1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>
        <f>IFERROR((P4-P3)/P3,"0%")</f>
        <v>0</v>
      </c>
      <c r="P4" s="43">
        <f>P3*M4*N4</f>
        <v>2087.25</v>
      </c>
      <c r="Q4" s="14"/>
      <c r="R4" s="80">
        <f>IFERROR((SUM(N14)*M4),"")</f>
        <v>12.1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11</v>
      </c>
      <c r="O6" s="33">
        <v>165</v>
      </c>
      <c r="P6" s="33">
        <f t="shared" ref="P6:P13" si="3">N6*O6</f>
        <v>1815</v>
      </c>
      <c r="Q6" s="36"/>
      <c r="R6" s="80">
        <f>IFERROR((SUM(N14)*M4),"")</f>
        <v>12.1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C7" s="26">
        <v>11</v>
      </c>
      <c r="D7" s="26" t="str">
        <f>IF(OR(E7="",ISBLANK(E7)),"",IF($C$4="MTS",_xlfn.XLOOKUP(E7,tblEquipment[Scope of Work],tblEquipment[MTS],0,0,1),IF($C$4="ATS",_xlfn.XLOOKUP(E7,tblEquipment[Scope of Work],tblEquipment[ATS],0,0,1),"Job Type?")))</f>
        <v>7.3</v>
      </c>
      <c r="E7" s="18" t="s">
        <v>38</v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>1</v>
      </c>
      <c r="J7" s="41">
        <f t="shared" si="1"/>
        <v>11</v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12.1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12.1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12.1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0.1</v>
      </c>
      <c r="N13" s="26">
        <f t="shared" si="2"/>
        <v>1.1000000000000001</v>
      </c>
      <c r="O13" s="33">
        <v>165</v>
      </c>
      <c r="P13" s="33">
        <f t="shared" si="3"/>
        <v>181.50000000000003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1.1000000000000001</v>
      </c>
      <c r="N14" s="61">
        <f>SUM(N6:N13)</f>
        <v>12.1</v>
      </c>
      <c r="O14" s="62">
        <f>IFERROR(P14/N14,"$0")</f>
        <v>165</v>
      </c>
      <c r="P14" s="63">
        <f>SUM(P6:P13)</f>
        <v>1996.5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0.05</v>
      </c>
      <c r="N16" s="26">
        <f>$J$3*M16</f>
        <v>0.55000000000000004</v>
      </c>
      <c r="O16" s="33">
        <v>165</v>
      </c>
      <c r="P16" s="33">
        <f>N16*O16</f>
        <v>90.750000000000014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0.05</v>
      </c>
      <c r="N19" s="61">
        <f>SUM(N16:N18)</f>
        <v>0.55000000000000004</v>
      </c>
      <c r="O19" s="62">
        <f>IFERROR(P19/N19,"$0")</f>
        <v>165</v>
      </c>
      <c r="P19" s="63">
        <f>SUM(P16:P18)</f>
        <v>90.750000000000014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C1C8DED7-752B-4B57-8294-7DBC0B3ABE4C}">
      <formula1>"ATS,MTS"</formula1>
    </dataValidation>
    <dataValidation type="list" allowBlank="1" showInputMessage="1" showErrorMessage="1" sqref="T11:T12 T5 T8" xr:uid="{28C497A7-C1DD-4DB2-9FB5-059BE759064C}">
      <formula1>$Y$3:$Y$7</formula1>
    </dataValidation>
    <dataValidation type="list" allowBlank="1" showInputMessage="1" showErrorMessage="1" sqref="S12" xr:uid="{A2BDC7A6-398F-4642-A30C-67E356773F70}">
      <formula1>$X$3:$X$15</formula1>
    </dataValidation>
    <dataValidation type="list" allowBlank="1" showInputMessage="1" showErrorMessage="1" sqref="E6:E488" xr:uid="{639E74A9-E03F-4D2A-8771-FBEAC0783670}">
      <formula1>INDIRECT("tblEquipment[Scope of Work]")</formula1>
    </dataValidation>
    <dataValidation type="list" allowBlank="1" showInputMessage="1" showErrorMessage="1" sqref="S5 S8 S11" xr:uid="{682ACCC4-A5C9-4836-8A46-B5B46393A02F}">
      <formula1>$X$3:$X$14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45410-258F-432B-AC2E-0ED45AA25552}">
  <sheetPr codeName="Scope5"/>
  <dimension ref="B1:Y527"/>
  <sheetViews>
    <sheetView tabSelected="1" topLeftCell="A16" zoomScaleNormal="100" workbookViewId="0">
      <selection activeCell="P16" sqref="P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SEWRP NETA ATS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8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1518</v>
      </c>
      <c r="Q3" s="14"/>
      <c r="R3" s="80">
        <f>IFERROR((SUM(N14)*M4),"")</f>
        <v>8.8000000000000007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>
        <f>IFERROR((P4-P3)/P3,"0%")</f>
        <v>0</v>
      </c>
      <c r="P4" s="43">
        <f>P3*M4*N4</f>
        <v>1518</v>
      </c>
      <c r="Q4" s="14"/>
      <c r="R4" s="80">
        <f>IFERROR((SUM(N14)*M4),"")</f>
        <v>8.8000000000000007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8</v>
      </c>
      <c r="O6" s="33">
        <v>165</v>
      </c>
      <c r="P6" s="33">
        <f t="shared" ref="P6:P13" si="3">N6*O6</f>
        <v>1320</v>
      </c>
      <c r="Q6" s="36"/>
      <c r="R6" s="80">
        <f>IFERROR((SUM(N14)*M4),"")</f>
        <v>8.8000000000000007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C7" s="26">
        <v>4</v>
      </c>
      <c r="D7" s="26" t="str">
        <f>IF(OR(E7="",ISBLANK(E7)),"",IF($C$4="MTS",_xlfn.XLOOKUP(E7,tblEquipment[Scope of Work],tblEquipment[MTS],0,0,1),IF($C$4="ATS",_xlfn.XLOOKUP(E7,tblEquipment[Scope of Work],tblEquipment[ATS],0,0,1),"Job Type?")))</f>
        <v>7.3</v>
      </c>
      <c r="E7" s="18" t="s">
        <v>38</v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>1</v>
      </c>
      <c r="J7" s="41">
        <f t="shared" si="1"/>
        <v>4</v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8.8000000000000007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C8" s="26">
        <v>2</v>
      </c>
      <c r="D8" s="26" t="str">
        <f>IF(OR(E8="",ISBLANK(E8)),"",IF($C$4="MTS",_xlfn.XLOOKUP(E8,tblEquipment[Scope of Work],tblEquipment[MTS],0,0,1),IF($C$4="ATS",_xlfn.XLOOKUP(E8,tblEquipment[Scope of Work],tblEquipment[ATS],0,0,1),"Job Type?")))</f>
        <v>7.15</v>
      </c>
      <c r="E8" s="18" t="s">
        <v>67</v>
      </c>
      <c r="H8" s="14"/>
      <c r="I8" s="26">
        <f>IF(OR(C8="",ISBLANK(C8)),"",IF($C$4="MTS",_xlfn.XLOOKUP(E8,tblEquipment[Scope of Work],tblEquipment[MTS23],0,0,1),IF($C$4="ATS",_xlfn.XLOOKUP(E8,tblEquipment[Scope of Work],tblEquipment[ATS25],0,0,1),"Job Type?")))</f>
        <v>2</v>
      </c>
      <c r="J8" s="41">
        <f t="shared" si="1"/>
        <v>4</v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8.8000000000000007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8.8000000000000007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0.1</v>
      </c>
      <c r="N13" s="26">
        <f t="shared" si="2"/>
        <v>0.8</v>
      </c>
      <c r="O13" s="33">
        <v>165</v>
      </c>
      <c r="P13" s="33">
        <f t="shared" si="3"/>
        <v>132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1.1000000000000001</v>
      </c>
      <c r="N14" s="61">
        <f>SUM(N6:N13)</f>
        <v>8.8000000000000007</v>
      </c>
      <c r="O14" s="62">
        <f>IFERROR(P14/N14,"$0")</f>
        <v>165</v>
      </c>
      <c r="P14" s="63">
        <f>SUM(P6:P13)</f>
        <v>1452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0.05</v>
      </c>
      <c r="N16" s="26">
        <f>$J$3*M16</f>
        <v>0.4</v>
      </c>
      <c r="O16" s="33">
        <v>165</v>
      </c>
      <c r="P16" s="33">
        <f>N16*O16</f>
        <v>66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0.05</v>
      </c>
      <c r="N19" s="61">
        <f>SUM(N16:N18)</f>
        <v>0.4</v>
      </c>
      <c r="O19" s="62">
        <f>IFERROR(P19/N19,"$0")</f>
        <v>165</v>
      </c>
      <c r="P19" s="63">
        <f>SUM(P16:P18)</f>
        <v>66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95C54EED-3F5C-46FA-8D22-A55E356BB555}">
      <formula1>INDIRECT("tblEquipment[Scope of Work]")</formula1>
    </dataValidation>
    <dataValidation type="list" allowBlank="1" showInputMessage="1" showErrorMessage="1" sqref="S12" xr:uid="{16BD82A6-6B40-41C3-8917-115AE05D5512}">
      <formula1>$X$3:$X$15</formula1>
    </dataValidation>
    <dataValidation type="list" allowBlank="1" showInputMessage="1" showErrorMessage="1" sqref="T11:T12 T5 T8" xr:uid="{4FF90CEE-14AB-4D3C-B927-9DA3176019C5}">
      <formula1>$Y$3:$Y$7</formula1>
    </dataValidation>
    <dataValidation type="list" allowBlank="1" showInputMessage="1" showErrorMessage="1" sqref="C4" xr:uid="{C6114C0D-993E-4ED4-982F-2DCFAF4F3559}">
      <formula1>"ATS,MTS"</formula1>
    </dataValidation>
    <dataValidation type="list" allowBlank="1" showInputMessage="1" showErrorMessage="1" sqref="S5 S8 S11" xr:uid="{AD9A08B7-A791-4743-9BCE-23C5CA87B27B}">
      <formula1>$X$3:$X$14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36BFA-39A1-4B0C-A194-EBC4F1DF9266}">
  <sheetPr codeName="Scope3"/>
  <dimension ref="B1:Y527"/>
  <sheetViews>
    <sheetView zoomScaleNormal="100" workbookViewId="0">
      <selection activeCell="S25" sqref="S25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IPS PSS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252</v>
      </c>
      <c r="F3" s="134" t="s">
        <v>254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26910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253</v>
      </c>
      <c r="F4" s="134" t="s">
        <v>255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>
        <f>IFERROR((P4-P3)/P3,"0%")</f>
        <v>0</v>
      </c>
      <c r="P4" s="43">
        <f>P3*M4*N4</f>
        <v>26910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259</v>
      </c>
      <c r="M28" s="26">
        <v>40</v>
      </c>
      <c r="N28" s="68">
        <v>80</v>
      </c>
      <c r="O28" s="26">
        <v>1.5</v>
      </c>
      <c r="P28" s="33">
        <f>M28*N28*O28</f>
        <v>4800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260</v>
      </c>
      <c r="M29" s="26">
        <v>11</v>
      </c>
      <c r="N29" s="68">
        <v>1340</v>
      </c>
      <c r="O29" s="26">
        <v>1.5</v>
      </c>
      <c r="P29" s="33">
        <f>M29*N29*O29</f>
        <v>22110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26910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58BAED59-13E8-4FBC-8D8C-8D8F130ECEBB}">
      <formula1>INDIRECT("tblEquipment[Scope of Work]")</formula1>
    </dataValidation>
    <dataValidation type="list" allowBlank="1" showInputMessage="1" showErrorMessage="1" sqref="S12" xr:uid="{900690E7-7066-41A8-AA60-5C2FE21AE664}">
      <formula1>$X$3:$X$15</formula1>
    </dataValidation>
    <dataValidation type="list" allowBlank="1" showInputMessage="1" showErrorMessage="1" sqref="T11:T12 T5 T8" xr:uid="{C6BF7362-76F5-436F-B62C-B1503D3D75AB}">
      <formula1>$Y$3:$Y$7</formula1>
    </dataValidation>
    <dataValidation type="list" allowBlank="1" showInputMessage="1" showErrorMessage="1" sqref="C4" xr:uid="{4C472B52-DFCE-426D-B288-1F783C4633C6}">
      <formula1>"ATS,MTS"</formula1>
    </dataValidation>
    <dataValidation type="list" allowBlank="1" showInputMessage="1" showErrorMessage="1" sqref="S5 S8 S11" xr:uid="{D40B7784-B2E1-48F6-B81F-76148588966F}">
      <formula1>$X$3:$X$14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3B13B-CAC3-445A-9344-A3D4558EEA2D}">
  <sheetPr codeName="Scope4"/>
  <dimension ref="B1:Y527"/>
  <sheetViews>
    <sheetView zoomScaleNormal="100" workbookViewId="0">
      <selection activeCell="P28" sqref="P28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NWWRP PSS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2150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>
        <f>IFERROR((P4-P3)/P3,"0%")</f>
        <v>0</v>
      </c>
      <c r="P4" s="43">
        <f>P3*M4*N4</f>
        <v>2150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264</v>
      </c>
      <c r="M28" s="26">
        <v>1</v>
      </c>
      <c r="N28" s="68">
        <v>2150</v>
      </c>
      <c r="O28" s="26">
        <v>1</v>
      </c>
      <c r="P28" s="33">
        <f>M28*N28*O28</f>
        <v>2150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2150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20FF2992-2171-49FC-8D7E-FD942B118ABA}">
      <formula1>"ATS,MTS"</formula1>
    </dataValidation>
    <dataValidation type="list" allowBlank="1" showInputMessage="1" showErrorMessage="1" sqref="T11:T12 T5 T8" xr:uid="{3003D2FF-3644-4334-BA78-36968B23CAAA}">
      <formula1>$Y$3:$Y$7</formula1>
    </dataValidation>
    <dataValidation type="list" allowBlank="1" showInputMessage="1" showErrorMessage="1" sqref="S12" xr:uid="{C6A6F584-4451-4990-B1EF-7034B9F2FFA6}">
      <formula1>$X$3:$X$15</formula1>
    </dataValidation>
    <dataValidation type="list" allowBlank="1" showInputMessage="1" showErrorMessage="1" sqref="E6:E488" xr:uid="{AC28B4D0-DB76-49F0-BF26-7C3381D96A48}">
      <formula1>INDIRECT("tblEquipment[Scope of Work]")</formula1>
    </dataValidation>
    <dataValidation type="list" allowBlank="1" showInputMessage="1" showErrorMessage="1" sqref="S5 S8 S11" xr:uid="{67F348EF-A888-4324-9BA3-ADBB987D1607}">
      <formula1>$X$3:$X$14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E77E3-4C8B-4167-9C36-9500989422A9}">
  <sheetPr codeName="Scope7"/>
  <dimension ref="B1:Y527"/>
  <sheetViews>
    <sheetView zoomScaleNormal="100" workbookViewId="0">
      <selection activeCell="Y33" sqref="Y3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7.X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61ADF372-41D2-4491-8E8A-476BD4036E7D}">
      <formula1>"ATS,MTS"</formula1>
    </dataValidation>
    <dataValidation type="list" allowBlank="1" showInputMessage="1" showErrorMessage="1" sqref="T11:T12 T5 T8" xr:uid="{1B772BB7-3C27-4C34-B239-B0ACB79EE1BA}">
      <formula1>$Y$3:$Y$7</formula1>
    </dataValidation>
    <dataValidation type="list" allowBlank="1" showInputMessage="1" showErrorMessage="1" sqref="S12" xr:uid="{0C738DE6-3E0E-44B5-90AC-C9E8772DDC51}">
      <formula1>$X$3:$X$15</formula1>
    </dataValidation>
    <dataValidation type="list" allowBlank="1" showInputMessage="1" showErrorMessage="1" sqref="E6:E488" xr:uid="{A3A0DC46-EAEE-4414-8654-A73C52AE494D}">
      <formula1>INDIRECT("tblEquipment[Scope of Work]")</formula1>
    </dataValidation>
    <dataValidation type="list" allowBlank="1" showInputMessage="1" showErrorMessage="1" sqref="S5 S8 S11" xr:uid="{7BB1E6F0-43FF-41DB-A1FC-007B5D328144}">
      <formula1>$X$3:$X$14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2B65-A7B3-4C00-BB08-C15E6E6F5666}">
  <sheetPr codeName="Scope8"/>
  <dimension ref="B1:Y527"/>
  <sheetViews>
    <sheetView zoomScaleNormal="100" workbookViewId="0">
      <selection activeCell="Y33" sqref="Y3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8.X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19DB06DC-1A7D-4BE9-B5AC-F3F46BD51C0F}">
      <formula1>INDIRECT("tblEquipment[Scope of Work]")</formula1>
    </dataValidation>
    <dataValidation type="list" allowBlank="1" showInputMessage="1" showErrorMessage="1" sqref="S12" xr:uid="{27A1CF4E-BBD9-479D-873A-2B4B8D9FAFEC}">
      <formula1>$X$3:$X$15</formula1>
    </dataValidation>
    <dataValidation type="list" allowBlank="1" showInputMessage="1" showErrorMessage="1" sqref="T11:T12 T5 T8" xr:uid="{ACBDD8C4-1A7C-4A68-BC3B-182D3B505CE9}">
      <formula1>$Y$3:$Y$7</formula1>
    </dataValidation>
    <dataValidation type="list" allowBlank="1" showInputMessage="1" showErrorMessage="1" sqref="C4" xr:uid="{671308CE-9926-40AE-B6FF-309155362454}">
      <formula1>"ATS,MTS"</formula1>
    </dataValidation>
    <dataValidation type="list" allowBlank="1" showInputMessage="1" showErrorMessage="1" sqref="S5 S8 S11" xr:uid="{6A025288-BA84-4948-B877-10D0C1CBC31C}">
      <formula1>$X$3:$X$14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21F8-4FF6-42DC-9C82-57374857E77B}">
  <sheetPr codeName="Scope9"/>
  <dimension ref="B1:Y527"/>
  <sheetViews>
    <sheetView zoomScaleNormal="100" workbookViewId="0">
      <selection activeCell="Y33" sqref="Y3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9.X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C37EAADA-11AB-467D-9D4D-DC31CBB2CE68}">
      <formula1>INDIRECT("tblEquipment[Scope of Work]")</formula1>
    </dataValidation>
    <dataValidation type="list" allowBlank="1" showInputMessage="1" showErrorMessage="1" sqref="S12" xr:uid="{EA3C49AD-FFB4-4C3E-913E-A973B6F3CF46}">
      <formula1>$X$3:$X$15</formula1>
    </dataValidation>
    <dataValidation type="list" allowBlank="1" showInputMessage="1" showErrorMessage="1" sqref="T11:T12 T5 T8" xr:uid="{AFF7472A-C92F-45E8-9C59-6E655A1F52F5}">
      <formula1>$Y$3:$Y$7</formula1>
    </dataValidation>
    <dataValidation type="list" allowBlank="1" showInputMessage="1" showErrorMessage="1" sqref="C4" xr:uid="{BFBD5405-FAA0-4704-A1A2-7BBBF00DAE96}">
      <formula1>"ATS,MTS"</formula1>
    </dataValidation>
    <dataValidation type="list" allowBlank="1" showInputMessage="1" showErrorMessage="1" sqref="S5 S8 S11" xr:uid="{2A812720-3A80-4DA2-94CA-0F61E2373D40}">
      <formula1>$X$3:$X$14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D5AEE-D881-4A47-BBF4-F387C355F7CA}">
  <sheetPr codeName="Scope10"/>
  <dimension ref="B1:Y527"/>
  <sheetViews>
    <sheetView zoomScaleNormal="100" workbookViewId="0">
      <selection activeCell="Y33" sqref="Y3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10.X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0C021DC7-9F81-4C1D-8D63-DCCA83464FA9}">
      <formula1>"ATS,MTS"</formula1>
    </dataValidation>
    <dataValidation type="list" allowBlank="1" showInputMessage="1" showErrorMessage="1" sqref="T11:T12 T5 T8" xr:uid="{4E739441-DCBA-4AA7-9D16-3889793A7875}">
      <formula1>$Y$3:$Y$7</formula1>
    </dataValidation>
    <dataValidation type="list" allowBlank="1" showInputMessage="1" showErrorMessage="1" sqref="S12" xr:uid="{7AA06EBD-3856-4CE5-A5E7-8B1420A52316}">
      <formula1>$X$3:$X$15</formula1>
    </dataValidation>
    <dataValidation type="list" allowBlank="1" showInputMessage="1" showErrorMessage="1" sqref="E6:E488" xr:uid="{D381A5E8-3BA3-480E-B9FA-0EA12F55EC08}">
      <formula1>INDIRECT("tblEquipment[Scope of Work]")</formula1>
    </dataValidation>
    <dataValidation type="list" allowBlank="1" showInputMessage="1" showErrorMessage="1" sqref="S5 S8 S11" xr:uid="{89F94DD1-E3EA-4C28-A6C8-E8B6EA63F6EE}">
      <formula1>$X$3:$X$14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EC810-2C7F-4EDB-87BF-E8A082A90042}">
  <sheetPr codeName="Scope11"/>
  <dimension ref="B1:Y527"/>
  <sheetViews>
    <sheetView zoomScaleNormal="100" workbookViewId="0">
      <selection activeCell="Y33" sqref="Y3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11.X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BE35EE72-B72F-499C-81EF-AA2F8111470C}">
      <formula1>"ATS,MTS"</formula1>
    </dataValidation>
    <dataValidation type="list" allowBlank="1" showInputMessage="1" showErrorMessage="1" sqref="T11:T12 T5 T8" xr:uid="{31D89950-8D69-4DFD-BFBA-2AD98E785EAC}">
      <formula1>$Y$3:$Y$7</formula1>
    </dataValidation>
    <dataValidation type="list" allowBlank="1" showInputMessage="1" showErrorMessage="1" sqref="S12" xr:uid="{099CBC9A-7B76-4F89-A915-C4A7A0D75FB5}">
      <formula1>$X$3:$X$15</formula1>
    </dataValidation>
    <dataValidation type="list" allowBlank="1" showInputMessage="1" showErrorMessage="1" sqref="E6:E488" xr:uid="{EE0C6450-C473-4633-A8F7-689B271ACF34}">
      <formula1>INDIRECT("tblEquipment[Scope of Work]")</formula1>
    </dataValidation>
    <dataValidation type="list" allowBlank="1" showInputMessage="1" showErrorMessage="1" sqref="S5 S8 S11" xr:uid="{3D6CA08D-80A2-4C94-9C03-5ADD66F58088}">
      <formula1>$X$3:$X$14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184E9-A08F-49EA-8245-0C4E81CC6224}">
  <sheetPr codeName="Scope12"/>
  <dimension ref="B1:Y527"/>
  <sheetViews>
    <sheetView zoomScaleNormal="100" workbookViewId="0">
      <selection activeCell="Y33" sqref="Y3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12.X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30854E95-7AA2-4994-A622-882AC3DF4CE0}">
      <formula1>INDIRECT("tblEquipment[Scope of Work]")</formula1>
    </dataValidation>
    <dataValidation type="list" allowBlank="1" showInputMessage="1" showErrorMessage="1" sqref="S12" xr:uid="{C8FD0F16-C1DB-45A1-9124-0B4BC9D440B2}">
      <formula1>$X$3:$X$15</formula1>
    </dataValidation>
    <dataValidation type="list" allowBlank="1" showInputMessage="1" showErrorMessage="1" sqref="T11:T12 T5 T8" xr:uid="{921D4DEF-C196-44F4-A942-1E9DA0D8482E}">
      <formula1>$Y$3:$Y$7</formula1>
    </dataValidation>
    <dataValidation type="list" allowBlank="1" showInputMessage="1" showErrorMessage="1" sqref="C4" xr:uid="{736CE904-D996-4148-988D-111BB69A94DE}">
      <formula1>"ATS,MTS"</formula1>
    </dataValidation>
    <dataValidation type="list" allowBlank="1" showInputMessage="1" showErrorMessage="1" sqref="S5 S8 S11" xr:uid="{1C8F5BD6-2BBB-44A1-8211-1DC7891AE271}">
      <formula1>$X$3:$X$14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1691A-0C0A-448F-B772-3B56B8A3A16F}">
  <sheetPr codeName="Scope13"/>
  <dimension ref="B1:Y527"/>
  <sheetViews>
    <sheetView zoomScaleNormal="100" workbookViewId="0">
      <selection activeCell="Y33" sqref="Y3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13.X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83661F6E-4C41-4137-A72E-EF60358ED7EC}">
      <formula1>"ATS,MTS"</formula1>
    </dataValidation>
    <dataValidation type="list" allowBlank="1" showInputMessage="1" showErrorMessage="1" sqref="T11:T12 T5 T8" xr:uid="{35687CB9-7261-471C-B2EC-81D8BF75E0BA}">
      <formula1>$Y$3:$Y$7</formula1>
    </dataValidation>
    <dataValidation type="list" allowBlank="1" showInputMessage="1" showErrorMessage="1" sqref="S12" xr:uid="{BAE99E5F-A13F-415F-ABE7-C92BE122AEEA}">
      <formula1>$X$3:$X$15</formula1>
    </dataValidation>
    <dataValidation type="list" allowBlank="1" showInputMessage="1" showErrorMessage="1" sqref="E6:E488" xr:uid="{4F6A4817-6BB1-4063-83E8-7979E5C01915}">
      <formula1>INDIRECT("tblEquipment[Scope of Work]")</formula1>
    </dataValidation>
    <dataValidation type="list" allowBlank="1" showInputMessage="1" showErrorMessage="1" sqref="S5 S8 S11" xr:uid="{86B837C8-175D-43A0-8673-7B33CFEE5497}">
      <formula1>$X$3:$X$14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F7080-E05E-4FF1-8202-CC67E38DEE97}">
  <sheetPr codeName="Scope14"/>
  <dimension ref="B1:Y527"/>
  <sheetViews>
    <sheetView zoomScaleNormal="100" workbookViewId="0">
      <selection activeCell="Y33" sqref="Y3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14.X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7CD98EC5-015D-466C-AB40-8AC56D25206F}">
      <formula1>INDIRECT("tblEquipment[Scope of Work]")</formula1>
    </dataValidation>
    <dataValidation type="list" allowBlank="1" showInputMessage="1" showErrorMessage="1" sqref="S12" xr:uid="{A384F90F-6E4D-4E96-A0F7-70862E898D22}">
      <formula1>$X$3:$X$15</formula1>
    </dataValidation>
    <dataValidation type="list" allowBlank="1" showInputMessage="1" showErrorMessage="1" sqref="T11:T12 T5 T8" xr:uid="{428AAD69-5998-4E39-B94D-2B8052DE0F1C}">
      <formula1>$Y$3:$Y$7</formula1>
    </dataValidation>
    <dataValidation type="list" allowBlank="1" showInputMessage="1" showErrorMessage="1" sqref="C4" xr:uid="{DCDDD22D-EB79-41D1-A782-DA6BB0227A84}">
      <formula1>"ATS,MTS"</formula1>
    </dataValidation>
    <dataValidation type="list" allowBlank="1" showInputMessage="1" showErrorMessage="1" sqref="S5 S8 S11" xr:uid="{25424B04-6642-4509-8A30-44FD663C6D98}">
      <formula1>$X$3:$X$14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8A911-D621-496D-9D4D-6FDF8BC90155}">
  <sheetPr codeName="Scope15"/>
  <dimension ref="B1:Y527"/>
  <sheetViews>
    <sheetView zoomScaleNormal="100" workbookViewId="0">
      <selection activeCell="Y33" sqref="Y3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15.X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1489249C-110B-4BC2-BA26-6CE1A680681B}">
      <formula1>INDIRECT("tblEquipment[Scope of Work]")</formula1>
    </dataValidation>
    <dataValidation type="list" allowBlank="1" showInputMessage="1" showErrorMessage="1" sqref="S12" xr:uid="{6987B3E7-5317-4643-9544-CDCCDACA3F1F}">
      <formula1>$X$3:$X$15</formula1>
    </dataValidation>
    <dataValidation type="list" allowBlank="1" showInputMessage="1" showErrorMessage="1" sqref="T11:T12 T5 T8" xr:uid="{CE4462A0-E761-4BDE-833B-B471FB2BD70C}">
      <formula1>$Y$3:$Y$7</formula1>
    </dataValidation>
    <dataValidation type="list" allowBlank="1" showInputMessage="1" showErrorMessage="1" sqref="C4" xr:uid="{A186BC9D-BC1A-4035-BA48-83634C5978CD}">
      <formula1>"ATS,MTS"</formula1>
    </dataValidation>
    <dataValidation type="list" allowBlank="1" showInputMessage="1" showErrorMessage="1" sqref="S5 S8 S11" xr:uid="{E9D21687-F132-4DB4-A4B6-58C89233FF87}">
      <formula1>$X$3:$X$14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C1D09-AD7B-47F7-8048-F8FA4AF55862}">
  <sheetPr codeName="Scope16"/>
  <dimension ref="B1:Y527"/>
  <sheetViews>
    <sheetView zoomScaleNormal="100" workbookViewId="0">
      <selection activeCell="Y33" sqref="Y3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16.X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4FF915F4-AEAC-48EA-81B7-E06C90C9B2A2}">
      <formula1>"ATS,MTS"</formula1>
    </dataValidation>
    <dataValidation type="list" allowBlank="1" showInputMessage="1" showErrorMessage="1" sqref="T11:T12 T5 T8" xr:uid="{11AAD0DD-A692-4D5B-AD57-AFE2097020E3}">
      <formula1>$Y$3:$Y$7</formula1>
    </dataValidation>
    <dataValidation type="list" allowBlank="1" showInputMessage="1" showErrorMessage="1" sqref="S12" xr:uid="{38AE3ADA-448A-4A37-92EC-026BEF1206DB}">
      <formula1>$X$3:$X$15</formula1>
    </dataValidation>
    <dataValidation type="list" allowBlank="1" showInputMessage="1" showErrorMessage="1" sqref="E6:E488" xr:uid="{D977FA4D-2EC8-40E4-AF64-DCABEDCFF091}">
      <formula1>INDIRECT("tblEquipment[Scope of Work]")</formula1>
    </dataValidation>
    <dataValidation type="list" allowBlank="1" showInputMessage="1" showErrorMessage="1" sqref="S5 S8 S11" xr:uid="{7E00CC89-B6AF-4507-B552-8944BFD88FD7}">
      <formula1>$X$3:$X$14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5F7F6-0483-4A05-A0A3-BECABC35BCF2}">
  <sheetPr codeName="Scope17"/>
  <dimension ref="B1:Y527"/>
  <sheetViews>
    <sheetView topLeftCell="A85" zoomScaleNormal="100" workbookViewId="0">
      <selection activeCell="Y33" sqref="Y3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17.X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6C573686-CE82-41E1-BBD6-A0B8F1CD96BE}">
      <formula1>INDIRECT("tblEquipment[Scope of Work]")</formula1>
    </dataValidation>
    <dataValidation type="list" allowBlank="1" showInputMessage="1" showErrorMessage="1" sqref="S12" xr:uid="{F38F3018-BA0A-4E50-B372-42F1281B9804}">
      <formula1>$X$3:$X$15</formula1>
    </dataValidation>
    <dataValidation type="list" allowBlank="1" showInputMessage="1" showErrorMessage="1" sqref="T11:T12 T5 T8" xr:uid="{0BC6A820-7509-4D90-BE72-DC0AA71785C7}">
      <formula1>$Y$3:$Y$7</formula1>
    </dataValidation>
    <dataValidation type="list" allowBlank="1" showInputMessage="1" showErrorMessage="1" sqref="C4" xr:uid="{59D184B0-E649-4C25-92B4-23FA4011EF00}">
      <formula1>"ATS,MTS"</formula1>
    </dataValidation>
    <dataValidation type="list" allowBlank="1" showInputMessage="1" showErrorMessage="1" sqref="S5 S8 S11" xr:uid="{E2553D97-E04E-4C81-B6DF-5E490BB7E575}">
      <formula1>$X$3:$X$14</formula1>
    </dataValidation>
  </dataValidation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0889-26C3-4E00-8442-4B726EAA85FC}">
  <sheetPr codeName="Scope18"/>
  <dimension ref="B1:Y527"/>
  <sheetViews>
    <sheetView zoomScaleNormal="100" workbookViewId="0">
      <selection activeCell="Y33" sqref="Y3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18.X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93755641-94F7-4DBE-9206-5D4C7A773A3F}">
      <formula1>"ATS,MTS"</formula1>
    </dataValidation>
    <dataValidation type="list" allowBlank="1" showInputMessage="1" showErrorMessage="1" sqref="T11:T12 T5 T8" xr:uid="{DB22641D-4253-43D4-894C-0E18F70B1FF6}">
      <formula1>$Y$3:$Y$7</formula1>
    </dataValidation>
    <dataValidation type="list" allowBlank="1" showInputMessage="1" showErrorMessage="1" sqref="S12" xr:uid="{C0ECBC1B-0BFB-489C-8324-F6CD0FA94484}">
      <formula1>$X$3:$X$15</formula1>
    </dataValidation>
    <dataValidation type="list" allowBlank="1" showInputMessage="1" showErrorMessage="1" sqref="E6:E488" xr:uid="{8853C80C-F8B2-4269-991D-94E7F4FD4DD4}">
      <formula1>INDIRECT("tblEquipment[Scope of Work]")</formula1>
    </dataValidation>
    <dataValidation type="list" allowBlank="1" showInputMessage="1" showErrorMessage="1" sqref="S5 S8 S11" xr:uid="{1B550F0C-42CE-40CE-8120-02B761029871}">
      <formula1>$X$3:$X$14</formula1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77F87-6D76-41FA-88A2-D04A14AC5A14}">
  <sheetPr codeName="Scope19"/>
  <dimension ref="B1:Y527"/>
  <sheetViews>
    <sheetView zoomScaleNormal="100" workbookViewId="0">
      <selection activeCell="Y33" sqref="Y3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19.X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D7D8417A-C929-4AAE-A06A-5521FE0B45F2}">
      <formula1>"ATS,MTS"</formula1>
    </dataValidation>
    <dataValidation type="list" allowBlank="1" showInputMessage="1" showErrorMessage="1" sqref="T11:T12 T5 T8" xr:uid="{E65500AD-D09E-48BC-9989-B3D65092D7B0}">
      <formula1>$Y$3:$Y$7</formula1>
    </dataValidation>
    <dataValidation type="list" allowBlank="1" showInputMessage="1" showErrorMessage="1" sqref="S12" xr:uid="{6CAA94CA-E41E-483F-A5A2-1E23BCEDF6F4}">
      <formula1>$X$3:$X$15</formula1>
    </dataValidation>
    <dataValidation type="list" allowBlank="1" showInputMessage="1" showErrorMessage="1" sqref="E6:E488" xr:uid="{3DE00389-4092-4CF2-B6FF-B694E775AA31}">
      <formula1>INDIRECT("tblEquipment[Scope of Work]")</formula1>
    </dataValidation>
    <dataValidation type="list" allowBlank="1" showInputMessage="1" showErrorMessage="1" sqref="S5 S8 S11" xr:uid="{8CC7E460-CAD9-4206-A4B1-0D5A9FA1B7D5}">
      <formula1>$X$3:$X$14</formula1>
    </dataValidation>
  </dataValidation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C6305-4B58-481A-91E5-CA67DC4C120D}">
  <sheetPr codeName="Scope20"/>
  <dimension ref="B1:Y527"/>
  <sheetViews>
    <sheetView zoomScaleNormal="100" workbookViewId="0">
      <selection activeCell="Y33" sqref="Y3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20.X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99</v>
      </c>
      <c r="N2" s="38" t="s">
        <v>100</v>
      </c>
      <c r="O2" s="38" t="s">
        <v>101</v>
      </c>
      <c r="P2" s="38" t="s">
        <v>102</v>
      </c>
      <c r="Q2" s="14"/>
      <c r="R2" s="78" t="s">
        <v>197</v>
      </c>
      <c r="S2" s="78" t="s">
        <v>194</v>
      </c>
      <c r="T2" s="78" t="s">
        <v>195</v>
      </c>
      <c r="U2" s="78" t="s">
        <v>196</v>
      </c>
      <c r="V2" s="79"/>
    </row>
    <row r="3" spans="2:25" ht="20.25" customHeight="1" x14ac:dyDescent="0.2">
      <c r="B3" s="14"/>
      <c r="C3" s="133" t="s">
        <v>103</v>
      </c>
      <c r="D3" s="133"/>
      <c r="E3" s="6" t="s">
        <v>122</v>
      </c>
      <c r="F3" s="134" t="s">
        <v>123</v>
      </c>
      <c r="G3" s="134"/>
      <c r="H3" s="40"/>
      <c r="I3" s="131" t="s">
        <v>193</v>
      </c>
      <c r="J3" s="129">
        <f>SUMIF(J6:J488,"&lt;&gt;",J6:J488)</f>
        <v>0</v>
      </c>
      <c r="K3" s="14"/>
      <c r="L3" s="59" t="s">
        <v>181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3" t="s">
        <v>4</v>
      </c>
      <c r="D4" s="133"/>
      <c r="E4" s="6" t="s">
        <v>124</v>
      </c>
      <c r="F4" s="134" t="s">
        <v>184</v>
      </c>
      <c r="G4" s="134"/>
      <c r="H4" s="40"/>
      <c r="I4" s="132"/>
      <c r="J4" s="130"/>
      <c r="K4" s="14"/>
      <c r="L4" s="55" t="s">
        <v>104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105</v>
      </c>
      <c r="D5" s="54" t="s">
        <v>182</v>
      </c>
      <c r="E5" s="36" t="s">
        <v>106</v>
      </c>
      <c r="F5" s="36" t="s">
        <v>107</v>
      </c>
      <c r="G5" s="36" t="s">
        <v>164</v>
      </c>
      <c r="H5" s="36"/>
      <c r="I5" s="44" t="s">
        <v>108</v>
      </c>
      <c r="J5" s="44" t="s">
        <v>109</v>
      </c>
      <c r="K5" s="14"/>
      <c r="L5" s="57" t="s">
        <v>165</v>
      </c>
      <c r="M5" s="45" t="s">
        <v>186</v>
      </c>
      <c r="N5" s="38" t="s">
        <v>110</v>
      </c>
      <c r="O5" s="46" t="s">
        <v>111</v>
      </c>
      <c r="P5" s="46" t="s">
        <v>112</v>
      </c>
      <c r="Q5" s="14"/>
      <c r="R5" s="78" t="s">
        <v>197</v>
      </c>
      <c r="S5" s="78" t="s">
        <v>194</v>
      </c>
      <c r="T5" s="78" t="s">
        <v>195</v>
      </c>
      <c r="U5" s="78" t="s">
        <v>196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:J69" si="1">IF(OR(C6="",ISBLANK(C6)),"",IFERROR(C6*I6,""))</f>
        <v/>
      </c>
      <c r="K6" s="14"/>
      <c r="L6" s="47" t="s">
        <v>168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si="1"/>
        <v/>
      </c>
      <c r="K7" s="14"/>
      <c r="L7" s="47" t="s">
        <v>169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1"/>
        <v/>
      </c>
      <c r="K8" s="14"/>
      <c r="L8" s="32" t="s">
        <v>170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197</v>
      </c>
      <c r="S8" s="78" t="s">
        <v>194</v>
      </c>
      <c r="T8" s="78" t="s">
        <v>195</v>
      </c>
      <c r="U8" s="78" t="s">
        <v>196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1"/>
        <v/>
      </c>
      <c r="K9" s="14"/>
      <c r="L9" s="32" t="s">
        <v>171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1"/>
        <v/>
      </c>
      <c r="K10" s="14"/>
      <c r="L10" s="32" t="s">
        <v>174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1"/>
        <v/>
      </c>
      <c r="K11" s="14"/>
      <c r="L11" s="32" t="s">
        <v>166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1"/>
        <v/>
      </c>
      <c r="K12" s="14"/>
      <c r="L12" s="32" t="s">
        <v>173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1"/>
        <v/>
      </c>
      <c r="K13" s="14"/>
      <c r="L13" s="32" t="s">
        <v>167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1"/>
        <v/>
      </c>
      <c r="K14" s="14"/>
      <c r="L14" s="59" t="s">
        <v>185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1"/>
        <v/>
      </c>
      <c r="K15" s="14"/>
      <c r="L15" s="36" t="s">
        <v>172</v>
      </c>
      <c r="M15" s="35" t="s">
        <v>186</v>
      </c>
      <c r="N15" s="35" t="s">
        <v>110</v>
      </c>
      <c r="O15" s="58" t="s">
        <v>111</v>
      </c>
      <c r="P15" s="58" t="s">
        <v>112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1"/>
        <v/>
      </c>
      <c r="K16" s="14"/>
      <c r="L16" s="32" t="s">
        <v>175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1"/>
        <v/>
      </c>
      <c r="K17" s="14"/>
      <c r="L17" s="32" t="s">
        <v>176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1"/>
        <v/>
      </c>
      <c r="K18" s="14"/>
      <c r="L18" s="32" t="s">
        <v>177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1"/>
        <v/>
      </c>
      <c r="K19" s="14"/>
      <c r="L19" s="59" t="s">
        <v>189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1"/>
        <v/>
      </c>
      <c r="K20" s="14"/>
      <c r="L20" s="74" t="s">
        <v>113</v>
      </c>
      <c r="M20" s="72" t="s">
        <v>114</v>
      </c>
      <c r="N20" s="72" t="s">
        <v>187</v>
      </c>
      <c r="O20" s="73" t="s">
        <v>188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1"/>
        <v/>
      </c>
      <c r="K21" s="14"/>
      <c r="L21" s="32" t="s">
        <v>178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1"/>
        <v/>
      </c>
      <c r="K22" s="14"/>
      <c r="L22" s="32" t="s">
        <v>179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1"/>
        <v/>
      </c>
      <c r="K23" s="14"/>
      <c r="L23" s="32" t="s">
        <v>115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1"/>
        <v/>
      </c>
      <c r="K24" s="14"/>
      <c r="L24" s="32" t="s">
        <v>180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1"/>
        <v/>
      </c>
      <c r="K25" s="14"/>
      <c r="L25" s="75" t="s">
        <v>116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1"/>
        <v/>
      </c>
      <c r="K26" s="14"/>
      <c r="L26" s="59" t="s">
        <v>190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1"/>
        <v/>
      </c>
      <c r="K27" s="14"/>
      <c r="L27" s="77" t="s">
        <v>192</v>
      </c>
      <c r="M27" s="66" t="s">
        <v>114</v>
      </c>
      <c r="N27" s="66" t="s">
        <v>187</v>
      </c>
      <c r="O27" s="67" t="s">
        <v>188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1"/>
        <v/>
      </c>
      <c r="K28" s="14"/>
      <c r="L28" s="32" t="s">
        <v>117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1"/>
        <v/>
      </c>
      <c r="K29" s="14"/>
      <c r="L29" s="32" t="s">
        <v>119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1"/>
        <v/>
      </c>
      <c r="K30" s="14"/>
      <c r="L30" s="32" t="s">
        <v>118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1"/>
        <v/>
      </c>
      <c r="K31" s="14"/>
      <c r="L31" s="32" t="s">
        <v>116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1"/>
        <v/>
      </c>
      <c r="K32" s="14"/>
      <c r="L32" s="75" t="s">
        <v>116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1"/>
        <v/>
      </c>
      <c r="K33" s="14"/>
      <c r="L33" s="59" t="s">
        <v>191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1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1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1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1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1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1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1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1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1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1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1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1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1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1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1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1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1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1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1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1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1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1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1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1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1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1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1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1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1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1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1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1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1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1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1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1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ref="J70:J133" si="4">IF(OR(C70="",ISBLANK(C70)),"",IFERROR(C70*I70,""))</f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si="4"/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4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4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4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4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4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4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4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4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4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4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4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4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4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4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4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4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4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4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4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4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4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4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4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4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4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4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4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4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4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4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4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4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4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4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4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4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4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4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4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4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4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4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4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4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4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4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4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4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4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4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4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4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4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4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4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4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4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4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4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4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4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4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ref="J134:J197" si="5">IF(OR(C134="",ISBLANK(C134)),"",IFERROR(C134*I134,""))</f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si="5"/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5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5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5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5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5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5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5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5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5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5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5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5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5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5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5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5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5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5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5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5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5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5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5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5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5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5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5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5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5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5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5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5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5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5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5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5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5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5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5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5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5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5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5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5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5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5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5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5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5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5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5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5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5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5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5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5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5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5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5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5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5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5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ref="J198:J261" si="6">IF(OR(C198="",ISBLANK(C198)),"",IFERROR(C198*I198,""))</f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si="6"/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6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6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6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6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6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6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6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6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6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6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6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6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6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6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6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6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6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6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6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6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6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6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6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6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6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6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6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6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6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6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6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6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6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6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6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6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6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6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6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6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6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6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6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6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6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6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6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6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6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6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6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6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6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6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6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6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6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6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6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6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6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6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ref="J262:J325" si="7">IF(OR(C262="",ISBLANK(C262)),"",IFERROR(C262*I262,""))</f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si="7"/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7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7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7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7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7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7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7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7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7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7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7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7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7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7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7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7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7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7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7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7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7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7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7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7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7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7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7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7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7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7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7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7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7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7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7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7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7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7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7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7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7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7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7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7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7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7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7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7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7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7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7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7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7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7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7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7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7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7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7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7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7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7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ref="J326:J389" si="8">IF(OR(C326="",ISBLANK(C326)),"",IFERROR(C326*I326,""))</f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si="8"/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8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8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8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8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8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8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8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8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8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8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8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8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8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8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8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8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8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8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8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8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8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8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8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8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8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8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8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8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8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8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8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8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8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8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8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8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8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8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8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8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8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8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8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8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8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8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8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8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8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8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8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8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8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8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8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8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8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8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8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8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8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8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ref="J390:J453" si="9">IF(OR(C390="",ISBLANK(C390)),"",IFERROR(C390*I390,""))</f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si="9"/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9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9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9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9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9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9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9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9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9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9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9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9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9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9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9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9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9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9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9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9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9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9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9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9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9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9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9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9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9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9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9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9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9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9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9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9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9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9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9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9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9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9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9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9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9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9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9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9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9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9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9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9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9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9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9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9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9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9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9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9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9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9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ref="J454:J488" si="10">IF(OR(C454="",ISBLANK(C454)),"",IFERROR(C454*I454,""))</f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si="10"/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0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0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0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0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0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0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0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0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0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0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0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0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0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0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0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0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0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0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0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0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0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0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0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0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0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0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0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0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0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0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0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0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0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CEDAE47D-AAFC-4BA9-8F04-27AC3ED462CE}">
      <formula1>INDIRECT("tblEquipment[Scope of Work]")</formula1>
    </dataValidation>
    <dataValidation type="list" allowBlank="1" showInputMessage="1" showErrorMessage="1" sqref="S12" xr:uid="{6ECFA8B3-0908-4F5D-9ACB-622912997698}">
      <formula1>$X$3:$X$15</formula1>
    </dataValidation>
    <dataValidation type="list" allowBlank="1" showInputMessage="1" showErrorMessage="1" sqref="T11:T12 T5 T8" xr:uid="{FA17A78A-F83C-4E7D-832C-8E0FF521C523}">
      <formula1>$Y$3:$Y$7</formula1>
    </dataValidation>
    <dataValidation type="list" allowBlank="1" showInputMessage="1" showErrorMessage="1" sqref="C4" xr:uid="{C62BCFA7-0AD3-4E5D-B7C4-8F7A51A6A7D7}">
      <formula1>"ATS,MTS"</formula1>
    </dataValidation>
    <dataValidation type="list" allowBlank="1" showInputMessage="1" showErrorMessage="1" sqref="S5 S8 S11" xr:uid="{CD081945-6CE6-4B46-A00E-DC78322D653D}">
      <formula1>$X$3:$X$14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EBE2D3B072254EA1EF7A5E34BA8262" ma:contentTypeVersion="19" ma:contentTypeDescription="Create a new document." ma:contentTypeScope="" ma:versionID="2ae8c5aff7a06ad913f1b55623936a04">
  <xsd:schema xmlns:xsd="http://www.w3.org/2001/XMLSchema" xmlns:xs="http://www.w3.org/2001/XMLSchema" xmlns:p="http://schemas.microsoft.com/office/2006/metadata/properties" xmlns:ns2="719d0d50-b227-487f-a0a4-46a838d854ee" xmlns:ns3="4b664e92-eb71-49b4-aae7-2b219be1d91d" targetNamespace="http://schemas.microsoft.com/office/2006/metadata/properties" ma:root="true" ma:fieldsID="b373d6c97bf6f3a4792a3f84ece6ec18" ns2:_="" ns3:_="">
    <xsd:import namespace="719d0d50-b227-487f-a0a4-46a838d854ee"/>
    <xsd:import namespace="4b664e92-eb71-49b4-aae7-2b219be1d9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9d0d50-b227-487f-a0a4-46a838d854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6b0fc82e-7ded-4240-b1d5-7d16020877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664e92-eb71-49b4-aae7-2b219be1d91d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de141c3-ba88-4371-99e9-c5c7374b3a7c}" ma:internalName="TaxCatchAll" ma:showField="CatchAllData" ma:web="4b664e92-eb71-49b4-aae7-2b219be1d91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b664e92-eb71-49b4-aae7-2b219be1d91d" xsi:nil="true"/>
    <lcf76f155ced4ddcb4097134ff3c332f xmlns="719d0d50-b227-487f-a0a4-46a838d854e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899AB59-28C6-44CE-98C2-A8C0DD8CCA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9d0d50-b227-487f-a0a4-46a838d854ee"/>
    <ds:schemaRef ds:uri="4b664e92-eb71-49b4-aae7-2b219be1d9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1B85419-5191-4361-B291-2238825051E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525791-3047-40E5-A98B-B1B2143811DA}">
  <ds:schemaRefs>
    <ds:schemaRef ds:uri="http://schemas.microsoft.com/office/2006/metadata/properties"/>
    <ds:schemaRef ds:uri="http://www.w3.org/2000/xmlns/"/>
    <ds:schemaRef ds:uri="4b664e92-eb71-49b4-aae7-2b219be1d91d"/>
    <ds:schemaRef ds:uri="http://www.w3.org/2001/XMLSchema-instance"/>
    <ds:schemaRef ds:uri="719d0d50-b227-487f-a0a4-46a838d854ee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6</vt:i4>
      </vt:variant>
    </vt:vector>
  </HeadingPairs>
  <TitlesOfParts>
    <vt:vector size="28" baseType="lpstr">
      <vt:lpstr>Equipment Reference</vt:lpstr>
      <vt:lpstr>Print_Template</vt:lpstr>
      <vt:lpstr>IPS NETA ATS</vt:lpstr>
      <vt:lpstr>NWWRP NETA ATS</vt:lpstr>
      <vt:lpstr>GWRP NETA ATS</vt:lpstr>
      <vt:lpstr>SEWRP NETA ATS</vt:lpstr>
      <vt:lpstr>IPS PSS</vt:lpstr>
      <vt:lpstr>NWWRP PSS</vt:lpstr>
      <vt:lpstr>7.X</vt:lpstr>
      <vt:lpstr>8.X</vt:lpstr>
      <vt:lpstr>9.X</vt:lpstr>
      <vt:lpstr>10.X</vt:lpstr>
      <vt:lpstr>11.X</vt:lpstr>
      <vt:lpstr>12.X</vt:lpstr>
      <vt:lpstr>13.X</vt:lpstr>
      <vt:lpstr>14.X</vt:lpstr>
      <vt:lpstr>15.X</vt:lpstr>
      <vt:lpstr>16.X</vt:lpstr>
      <vt:lpstr>17.X</vt:lpstr>
      <vt:lpstr>18.X</vt:lpstr>
      <vt:lpstr>19.X</vt:lpstr>
      <vt:lpstr>20.X</vt:lpstr>
      <vt:lpstr>Print_Template!Print_Area</vt:lpstr>
      <vt:lpstr>PrintArea_Template</vt:lpstr>
      <vt:lpstr>PrintDestRange</vt:lpstr>
      <vt:lpstr>ProjectTotals</vt:lpstr>
      <vt:lpstr>RefreshSourceRange</vt:lpstr>
      <vt:lpstr>TotalOnsiteHoursAdjRange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Jason Swenson</cp:lastModifiedBy>
  <cp:revision/>
  <cp:lastPrinted>2025-10-29T23:50:39Z</cp:lastPrinted>
  <dcterms:created xsi:type="dcterms:W3CDTF">2022-07-17T00:30:03Z</dcterms:created>
  <dcterms:modified xsi:type="dcterms:W3CDTF">2025-11-23T04:52:12Z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0x01010024EBE2D3B072254EA1EF7A5E34BA8262</vt:lpwstr>
  </property>
  <property fmtid="{D5CDD505-2E9C-101B-9397-08002B2CF9AE}" pid="3" name="MediaServiceImageTags">
    <vt:lpwstr/>
  </property>
</Properties>
</file>