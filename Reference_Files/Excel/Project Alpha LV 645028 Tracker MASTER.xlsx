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drawings/drawing7.xml" ContentType="application/vnd.openxmlformats-officedocument.drawing+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drawings/drawing9.xml" ContentType="application/vnd.openxmlformats-officedocument.drawing+xml"/>
  <Override PartName="/xl/tables/table6.xml" ContentType="application/vnd.openxmlformats-officedocument.spreadsheetml.table+xml"/>
  <Override PartName="/xl/drawings/drawing10.xml" ContentType="application/vnd.openxmlformats-officedocument.drawing+xml"/>
  <Override PartName="/xl/tables/table7.xml" ContentType="application/vnd.openxmlformats-officedocument.spreadsheetml.table+xml"/>
  <Override PartName="/xl/drawings/drawing11.xml" ContentType="application/vnd.openxmlformats-officedocument.drawing+xml"/>
  <Override PartName="/xl/comments3.xml" ContentType="application/vnd.openxmlformats-officedocument.spreadsheetml.comments+xml"/>
  <Override PartName="/xl/drawings/drawing12.xml" ContentType="application/vnd.openxmlformats-officedocument.drawing+xml"/>
  <Override PartName="/xl/comments4.xml" ContentType="application/vnd.openxmlformats-officedocument.spreadsheetml.comments+xml"/>
  <Override PartName="/xl/drawings/drawing13.xml" ContentType="application/vnd.openxmlformats-officedocument.drawing+xml"/>
  <Override PartName="/xl/comments5.xml" ContentType="application/vnd.openxmlformats-officedocument.spreadsheetml.comments+xml"/>
  <Override PartName="/xl/drawings/drawing14.xml" ContentType="application/vnd.openxmlformats-officedocument.drawing+xml"/>
  <Override PartName="/xl/comments6.xml" ContentType="application/vnd.openxmlformats-officedocument.spreadsheetml.comments+xml"/>
  <Override PartName="/xl/drawings/drawing15.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resapowersolutions.sharepoint.com/sites/ResaCustomers/Phoenix Files/Jason Swenson/Project Alpha LV/"/>
    </mc:Choice>
  </mc:AlternateContent>
  <xr:revisionPtr revIDLastSave="1056" documentId="13_ncr:1_{6883A512-F41E-4A43-BA71-0A71835ECCAE}" xr6:coauthVersionLast="47" xr6:coauthVersionMax="47" xr10:uidLastSave="{D54B0F6E-6569-4B47-87FC-ADAAC4530B75}"/>
  <bookViews>
    <workbookView xWindow="38430" yWindow="30" windowWidth="38355" windowHeight="20835" firstSheet="2" activeTab="7" xr2:uid="{00000000-000D-0000-FFFF-FFFF00000000}"/>
  </bookViews>
  <sheets>
    <sheet name="RESA XFMR Test Results" sheetId="4" state="hidden" r:id="rId1"/>
    <sheet name="RESA MV Cable Test Results" sheetId="5" state="hidden" r:id="rId2"/>
    <sheet name="Project Alpha LV Tracker" sheetId="56" r:id="rId3"/>
    <sheet name="Emergency Generator Dist" sheetId="28" r:id="rId4"/>
    <sheet name="Datacenter Distribution" sheetId="54" r:id="rId5"/>
    <sheet name="A1 Electrical Room" sheetId="36" r:id="rId6"/>
    <sheet name="A2 Electrical Room" sheetId="34" r:id="rId7"/>
    <sheet name="E Electrical Room" sheetId="31" r:id="rId8"/>
    <sheet name="F1 Electrical Room" sheetId="37" r:id="rId9"/>
    <sheet name="F2 Eletrical Room" sheetId="55" r:id="rId10"/>
    <sheet name="RESA MV Breaker Test Results" sheetId="6" state="hidden" r:id="rId11"/>
    <sheet name="RESA Relay Test Results" sheetId="15" state="hidden" r:id="rId12"/>
    <sheet name="RESA CT Test Results" sheetId="13" state="hidden" r:id="rId13"/>
    <sheet name="RESA PT Test Results" sheetId="14" state="hidden" r:id="rId14"/>
    <sheet name="RESA LV Cable Test Results" sheetId="12" state="hidden" r:id="rId15"/>
  </sheets>
  <definedNames>
    <definedName name="Display_Week" localSheetId="2">'Project Alpha LV Tracker'!$K$5</definedName>
    <definedName name="Display_Week">#REF!</definedName>
    <definedName name="_xlnm.Print_Area" localSheetId="12">'RESA CT Test Results'!$A$1:$DE$110</definedName>
    <definedName name="_xlnm.Print_Area" localSheetId="14">'RESA LV Cable Test Results'!$A$1:$DE$112</definedName>
    <definedName name="_xlnm.Print_Area" localSheetId="10">'RESA MV Breaker Test Results'!$A$1:$DE$110</definedName>
    <definedName name="_xlnm.Print_Area" localSheetId="1">'RESA MV Cable Test Results'!$A$1:$DE$55</definedName>
    <definedName name="_xlnm.Print_Area" localSheetId="13">'RESA PT Test Results'!$A$1:$DE$55</definedName>
    <definedName name="_xlnm.Print_Area" localSheetId="11">'RESA Relay Test Results'!$A$1:$DE$114</definedName>
    <definedName name="_xlnm.Print_Area" localSheetId="0">'RESA XFMR Test Results'!$A$1:$DE$55</definedName>
    <definedName name="_xlnm.Print_Titles" localSheetId="2">'Project Alpha LV Tracker'!$5:$7</definedName>
    <definedName name="Project_Start" localSheetId="2">'Project Alpha LV Tracker'!$K$4</definedName>
    <definedName name="Project_Start">#REF!</definedName>
    <definedName name="task_end" localSheetId="2">'Project Alpha LV Tracker'!$L1</definedName>
    <definedName name="task_progress" localSheetId="2">'Project Alpha LV Tracker'!$I1</definedName>
    <definedName name="task_start" localSheetId="2">'Project Alpha LV Tracker'!$K1</definedName>
    <definedName name="today" localSheetId="2">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4" l="1"/>
  <c r="G5" i="34"/>
  <c r="G6" i="34"/>
  <c r="G7" i="34"/>
  <c r="G8" i="34"/>
  <c r="G9" i="34"/>
  <c r="G10" i="34"/>
  <c r="G11" i="34"/>
  <c r="G12" i="34"/>
  <c r="G13" i="34"/>
  <c r="G14" i="34"/>
  <c r="G15" i="34"/>
  <c r="G16" i="34"/>
  <c r="G17" i="34"/>
  <c r="G18" i="34"/>
  <c r="G19" i="34"/>
  <c r="G20" i="34"/>
  <c r="G21" i="34"/>
  <c r="G22" i="34"/>
  <c r="G23" i="34"/>
  <c r="G24" i="34"/>
  <c r="H4" i="34"/>
  <c r="H5" i="34"/>
  <c r="I5" i="34" s="1"/>
  <c r="H6" i="34"/>
  <c r="H7" i="34"/>
  <c r="I7" i="34" s="1"/>
  <c r="H8" i="34"/>
  <c r="H9" i="34"/>
  <c r="I9" i="34" s="1"/>
  <c r="H10" i="34"/>
  <c r="I10" i="34" s="1"/>
  <c r="H11" i="34"/>
  <c r="I11" i="34" s="1"/>
  <c r="H12" i="34"/>
  <c r="I12" i="34" s="1"/>
  <c r="H13" i="34"/>
  <c r="H14" i="34"/>
  <c r="I14" i="34" s="1"/>
  <c r="H15" i="34"/>
  <c r="I15" i="34" s="1"/>
  <c r="H16" i="34"/>
  <c r="I16" i="34" s="1"/>
  <c r="H17" i="34"/>
  <c r="I17" i="34" s="1"/>
  <c r="H18" i="34"/>
  <c r="I18" i="34" s="1"/>
  <c r="H19" i="34"/>
  <c r="I19" i="34" s="1"/>
  <c r="H20" i="34"/>
  <c r="I20" i="34" s="1"/>
  <c r="H21" i="34"/>
  <c r="I21" i="34" s="1"/>
  <c r="H22" i="34"/>
  <c r="I22" i="34" s="1"/>
  <c r="H23" i="34"/>
  <c r="I23" i="34" s="1"/>
  <c r="H24" i="34"/>
  <c r="I24" i="34" s="1"/>
  <c r="I4" i="34"/>
  <c r="I6" i="34"/>
  <c r="I8" i="34"/>
  <c r="I13" i="34"/>
  <c r="N50" i="31" l="1"/>
  <c r="G4" i="55"/>
  <c r="G5" i="55"/>
  <c r="G6" i="55"/>
  <c r="G7" i="55"/>
  <c r="G8" i="55"/>
  <c r="G9" i="55"/>
  <c r="G10" i="55"/>
  <c r="G11" i="55"/>
  <c r="G12" i="55"/>
  <c r="G13" i="55"/>
  <c r="G14" i="55"/>
  <c r="G15" i="55"/>
  <c r="G16" i="55"/>
  <c r="G17" i="55"/>
  <c r="G18" i="55"/>
  <c r="G19" i="55"/>
  <c r="G20" i="55"/>
  <c r="G21" i="55"/>
  <c r="G22" i="55"/>
  <c r="G23" i="55"/>
  <c r="G24" i="55"/>
  <c r="G25" i="55"/>
  <c r="G26" i="55"/>
  <c r="G27" i="55"/>
  <c r="G28" i="55"/>
  <c r="G29" i="55"/>
  <c r="G30" i="55"/>
  <c r="G31" i="55"/>
  <c r="G32" i="55"/>
  <c r="G33" i="55"/>
  <c r="G34" i="55"/>
  <c r="G35" i="55"/>
  <c r="G36" i="55"/>
  <c r="G37" i="55"/>
  <c r="H80" i="31" l="1"/>
  <c r="I80" i="31" s="1"/>
  <c r="G80" i="31"/>
  <c r="H79" i="31"/>
  <c r="I79" i="31" s="1"/>
  <c r="J79" i="31" s="1"/>
  <c r="G79" i="31"/>
  <c r="H76" i="31"/>
  <c r="I76" i="31" s="1"/>
  <c r="G76" i="31"/>
  <c r="H75" i="31"/>
  <c r="I75" i="31" s="1"/>
  <c r="J75" i="31" s="1"/>
  <c r="G75" i="31"/>
  <c r="H74" i="31"/>
  <c r="I74" i="31" s="1"/>
  <c r="G74" i="31"/>
  <c r="H73" i="31"/>
  <c r="I73" i="31" s="1"/>
  <c r="G73" i="31"/>
  <c r="H72" i="31"/>
  <c r="I72" i="31" s="1"/>
  <c r="J72" i="31" s="1"/>
  <c r="G72" i="31"/>
  <c r="H70" i="31"/>
  <c r="I70" i="31" s="1"/>
  <c r="J70" i="31" s="1"/>
  <c r="G70" i="31"/>
  <c r="H69" i="31"/>
  <c r="I69" i="31" s="1"/>
  <c r="J69" i="31" s="1"/>
  <c r="G69" i="31"/>
  <c r="H68" i="31"/>
  <c r="I68" i="31" s="1"/>
  <c r="J68" i="31" s="1"/>
  <c r="G68" i="31"/>
  <c r="H67" i="31"/>
  <c r="I67" i="31" s="1"/>
  <c r="G67" i="31"/>
  <c r="H66" i="31"/>
  <c r="I66" i="31" s="1"/>
  <c r="G66" i="31"/>
  <c r="H65" i="31"/>
  <c r="I65" i="31" s="1"/>
  <c r="G65" i="31"/>
  <c r="H63" i="31"/>
  <c r="I63" i="31" s="1"/>
  <c r="G63" i="31"/>
  <c r="H62" i="31"/>
  <c r="I62" i="31" s="1"/>
  <c r="G62" i="31"/>
  <c r="H61" i="31"/>
  <c r="I61" i="31" s="1"/>
  <c r="G61" i="31"/>
  <c r="H60" i="31"/>
  <c r="I60" i="31" s="1"/>
  <c r="J60" i="31" s="1"/>
  <c r="G60" i="31"/>
  <c r="H58" i="31"/>
  <c r="I58" i="31" s="1"/>
  <c r="G58" i="31"/>
  <c r="H57" i="31"/>
  <c r="I57" i="31" s="1"/>
  <c r="J57" i="31" s="1"/>
  <c r="G57" i="31"/>
  <c r="H56" i="31"/>
  <c r="I56" i="31" s="1"/>
  <c r="G56" i="31"/>
  <c r="H55" i="31"/>
  <c r="I55" i="31" s="1"/>
  <c r="G55" i="31"/>
  <c r="H53" i="31"/>
  <c r="I53" i="31" s="1"/>
  <c r="J53" i="31" s="1"/>
  <c r="G53" i="31"/>
  <c r="H52" i="31"/>
  <c r="I52" i="31" s="1"/>
  <c r="G52" i="31"/>
  <c r="H51" i="31"/>
  <c r="I51" i="31" s="1"/>
  <c r="G51" i="31"/>
  <c r="H49" i="31"/>
  <c r="I49" i="31" s="1"/>
  <c r="G49" i="31"/>
  <c r="H48" i="31"/>
  <c r="I48" i="31" s="1"/>
  <c r="G48" i="31"/>
  <c r="H47" i="31"/>
  <c r="I47" i="31" s="1"/>
  <c r="J47" i="31" s="1"/>
  <c r="G47" i="31"/>
  <c r="I46" i="31"/>
  <c r="J46" i="31" s="1"/>
  <c r="H46" i="31"/>
  <c r="G46" i="31"/>
  <c r="H45" i="31"/>
  <c r="I45" i="31" s="1"/>
  <c r="J45" i="31" s="1"/>
  <c r="G45" i="31"/>
  <c r="H43" i="31"/>
  <c r="I43" i="31" s="1"/>
  <c r="G43" i="31"/>
  <c r="H42" i="31"/>
  <c r="I42" i="31" s="1"/>
  <c r="J42" i="31" s="1"/>
  <c r="G42" i="31"/>
  <c r="H41" i="31"/>
  <c r="I41" i="31" s="1"/>
  <c r="G41" i="31"/>
  <c r="H40" i="31"/>
  <c r="I40" i="31" s="1"/>
  <c r="J40" i="31" s="1"/>
  <c r="G40" i="31"/>
  <c r="H38" i="31"/>
  <c r="I38" i="31" s="1"/>
  <c r="G38" i="31"/>
  <c r="H37" i="31"/>
  <c r="I37" i="31" s="1"/>
  <c r="J37" i="31" s="1"/>
  <c r="G37" i="31"/>
  <c r="H36" i="31"/>
  <c r="I36" i="31" s="1"/>
  <c r="G36" i="31"/>
  <c r="I35" i="31"/>
  <c r="J35" i="31" s="1"/>
  <c r="H35" i="31"/>
  <c r="G35" i="31"/>
  <c r="H34" i="31"/>
  <c r="I34" i="31" s="1"/>
  <c r="J34" i="31" s="1"/>
  <c r="G34" i="31"/>
  <c r="H32" i="31"/>
  <c r="I32" i="31" s="1"/>
  <c r="J32" i="31" s="1"/>
  <c r="G32" i="31"/>
  <c r="H31" i="31"/>
  <c r="I31" i="31" s="1"/>
  <c r="J31" i="31" s="1"/>
  <c r="G31" i="31"/>
  <c r="H30" i="31"/>
  <c r="I30" i="31" s="1"/>
  <c r="G30" i="31"/>
  <c r="H29" i="31"/>
  <c r="I29" i="31" s="1"/>
  <c r="G29" i="31"/>
  <c r="H28" i="31"/>
  <c r="I28" i="31" s="1"/>
  <c r="G28" i="31"/>
  <c r="H26" i="31"/>
  <c r="I26" i="31" s="1"/>
  <c r="G26" i="31"/>
  <c r="H25" i="31"/>
  <c r="I25" i="31" s="1"/>
  <c r="G25" i="31"/>
  <c r="H24" i="31"/>
  <c r="I24" i="31" s="1"/>
  <c r="J24" i="31" s="1"/>
  <c r="G24" i="31"/>
  <c r="H23" i="31"/>
  <c r="I23" i="31" s="1"/>
  <c r="G23" i="31"/>
  <c r="H22" i="31"/>
  <c r="I22" i="31" s="1"/>
  <c r="J22" i="31" s="1"/>
  <c r="G22" i="31"/>
  <c r="H21" i="31"/>
  <c r="I21" i="31" s="1"/>
  <c r="J21" i="31" s="1"/>
  <c r="G21" i="31"/>
  <c r="H19" i="31"/>
  <c r="I19" i="31" s="1"/>
  <c r="G19" i="31"/>
  <c r="H18" i="31"/>
  <c r="I18" i="31" s="1"/>
  <c r="G18" i="31"/>
  <c r="H17" i="31"/>
  <c r="I17" i="31" s="1"/>
  <c r="G17" i="31"/>
  <c r="H15" i="31"/>
  <c r="I15" i="31" s="1"/>
  <c r="G15" i="31"/>
  <c r="H14" i="31"/>
  <c r="I14" i="31" s="1"/>
  <c r="G14" i="31"/>
  <c r="H13" i="31"/>
  <c r="I13" i="31" s="1"/>
  <c r="J13" i="31" s="1"/>
  <c r="G13" i="31"/>
  <c r="H11" i="31"/>
  <c r="I11" i="31" s="1"/>
  <c r="J11" i="31" s="1"/>
  <c r="G11" i="31"/>
  <c r="H10" i="31"/>
  <c r="I10" i="31" s="1"/>
  <c r="J10" i="31" s="1"/>
  <c r="G10" i="31"/>
  <c r="H9" i="31"/>
  <c r="I9" i="31" s="1"/>
  <c r="J9" i="31" s="1"/>
  <c r="G9" i="31"/>
  <c r="H7" i="31"/>
  <c r="I7" i="31" s="1"/>
  <c r="J7" i="31" s="1"/>
  <c r="G7" i="31"/>
  <c r="H6" i="31"/>
  <c r="I6" i="31" s="1"/>
  <c r="G6" i="31"/>
  <c r="H5" i="31"/>
  <c r="I5" i="31" s="1"/>
  <c r="G5" i="31"/>
  <c r="H4" i="31"/>
  <c r="I4" i="31" s="1"/>
  <c r="G4" i="31"/>
  <c r="D69" i="56"/>
  <c r="E68" i="56"/>
  <c r="D68" i="56"/>
  <c r="J36" i="31" l="1"/>
  <c r="J74" i="31"/>
  <c r="J65" i="31"/>
  <c r="J5" i="31"/>
  <c r="J56" i="31"/>
  <c r="J61" i="31"/>
  <c r="J62" i="31"/>
  <c r="J26" i="31"/>
  <c r="J14" i="31"/>
  <c r="J28" i="31"/>
  <c r="J66" i="31"/>
  <c r="J80" i="31"/>
  <c r="J25" i="31"/>
  <c r="J15" i="31"/>
  <c r="J41" i="31"/>
  <c r="J55" i="31"/>
  <c r="J73" i="31"/>
  <c r="J51" i="31"/>
  <c r="J67" i="31"/>
  <c r="J6" i="31"/>
  <c r="J63" i="31"/>
  <c r="J52" i="31"/>
  <c r="J17" i="31"/>
  <c r="J30" i="31"/>
  <c r="J18" i="31"/>
  <c r="J19" i="31"/>
  <c r="J58" i="31"/>
  <c r="J48" i="31"/>
  <c r="J49" i="31"/>
  <c r="J38" i="31"/>
  <c r="J76" i="31"/>
  <c r="J29" i="31"/>
  <c r="J4" i="31"/>
  <c r="J43" i="31"/>
  <c r="J23" i="31"/>
  <c r="E62" i="56"/>
  <c r="D62" i="56"/>
  <c r="E61" i="56"/>
  <c r="D61" i="56"/>
  <c r="E60" i="56"/>
  <c r="D60" i="56"/>
  <c r="E59" i="56"/>
  <c r="D59" i="56"/>
  <c r="E58" i="56"/>
  <c r="D58" i="56"/>
  <c r="E56" i="56"/>
  <c r="D56" i="56"/>
  <c r="E55" i="56"/>
  <c r="D55" i="56"/>
  <c r="E54" i="56"/>
  <c r="D54" i="56"/>
  <c r="E53" i="56"/>
  <c r="D53" i="56"/>
  <c r="E52" i="56"/>
  <c r="D52" i="56"/>
  <c r="E48" i="56"/>
  <c r="D48" i="56"/>
  <c r="D75" i="56" s="1"/>
  <c r="E75" i="56" s="1"/>
  <c r="E47" i="56"/>
  <c r="D47" i="56"/>
  <c r="D74" i="56" s="1"/>
  <c r="E46" i="56"/>
  <c r="D46" i="56"/>
  <c r="D73" i="56" s="1"/>
  <c r="E45" i="56"/>
  <c r="D45" i="56"/>
  <c r="D72" i="56" s="1"/>
  <c r="E72" i="56" s="1"/>
  <c r="E44" i="56"/>
  <c r="D44" i="56"/>
  <c r="D71" i="56" s="1"/>
  <c r="E43" i="56"/>
  <c r="D43" i="56"/>
  <c r="D70" i="56" s="1"/>
  <c r="E42" i="56"/>
  <c r="D42" i="56"/>
  <c r="D67" i="56" s="1"/>
  <c r="E40" i="56"/>
  <c r="D40" i="56"/>
  <c r="E39" i="56"/>
  <c r="D39" i="56"/>
  <c r="E38" i="56"/>
  <c r="D38" i="56"/>
  <c r="E37" i="56"/>
  <c r="D37" i="56"/>
  <c r="E36" i="56"/>
  <c r="D36" i="56"/>
  <c r="E35" i="56"/>
  <c r="D35" i="56"/>
  <c r="E34" i="56"/>
  <c r="D34" i="56"/>
  <c r="E32" i="56"/>
  <c r="E31" i="56"/>
  <c r="E29" i="56"/>
  <c r="E28" i="56"/>
  <c r="E27" i="56"/>
  <c r="E26" i="56"/>
  <c r="D32" i="56"/>
  <c r="D31" i="56"/>
  <c r="D30" i="56"/>
  <c r="D29" i="56"/>
  <c r="D28" i="56"/>
  <c r="D27" i="56"/>
  <c r="D26" i="56"/>
  <c r="E74" i="56" l="1"/>
  <c r="E71" i="56"/>
  <c r="E70" i="56"/>
  <c r="E73" i="56"/>
  <c r="E67" i="56"/>
  <c r="B27" i="28"/>
  <c r="B15" i="54"/>
  <c r="H4" i="55"/>
  <c r="I4" i="55" s="1"/>
  <c r="H5" i="55"/>
  <c r="I5" i="55" s="1"/>
  <c r="H6" i="55"/>
  <c r="I6" i="55" s="1"/>
  <c r="H7" i="55"/>
  <c r="I7" i="55" s="1"/>
  <c r="I24" i="55"/>
  <c r="I25" i="55"/>
  <c r="I15" i="55"/>
  <c r="I16" i="55"/>
  <c r="J27" i="37"/>
  <c r="G27" i="37"/>
  <c r="H27" i="37"/>
  <c r="I27" i="37" s="1"/>
  <c r="E50" i="56"/>
  <c r="H50" i="56" s="1"/>
  <c r="I50" i="56" s="1"/>
  <c r="E49" i="56"/>
  <c r="H49" i="56" s="1"/>
  <c r="I49" i="56" s="1"/>
  <c r="F82" i="31"/>
  <c r="G50" i="56"/>
  <c r="G49" i="56"/>
  <c r="E16" i="56" l="1"/>
  <c r="H16" i="56" s="1"/>
  <c r="E15" i="56"/>
  <c r="E14" i="56"/>
  <c r="E13" i="56"/>
  <c r="E12" i="56"/>
  <c r="E69" i="56" s="1"/>
  <c r="E11" i="56"/>
  <c r="E10" i="56"/>
  <c r="G16" i="56"/>
  <c r="I16" i="56" l="1"/>
  <c r="G15" i="56"/>
  <c r="H15" i="56"/>
  <c r="G14" i="56"/>
  <c r="H14" i="56"/>
  <c r="G13" i="56"/>
  <c r="H13" i="56"/>
  <c r="I13" i="56" s="1"/>
  <c r="G12" i="56"/>
  <c r="H12" i="56"/>
  <c r="I12" i="56" s="1"/>
  <c r="G11" i="56"/>
  <c r="H11" i="56"/>
  <c r="I11" i="56" s="1"/>
  <c r="N10" i="56"/>
  <c r="G10" i="56"/>
  <c r="H10" i="56"/>
  <c r="N9" i="56"/>
  <c r="N17" i="56"/>
  <c r="E18" i="56"/>
  <c r="H18" i="56" s="1"/>
  <c r="G18" i="56"/>
  <c r="N18" i="56"/>
  <c r="E19" i="56"/>
  <c r="H19" i="56" s="1"/>
  <c r="G19" i="56"/>
  <c r="E20" i="56"/>
  <c r="H20" i="56" s="1"/>
  <c r="G20" i="56"/>
  <c r="E21" i="56"/>
  <c r="H21" i="56" s="1"/>
  <c r="G21" i="56"/>
  <c r="E22" i="56"/>
  <c r="H22" i="56" s="1"/>
  <c r="G22" i="56"/>
  <c r="E23" i="56"/>
  <c r="H23" i="56" s="1"/>
  <c r="G23" i="56"/>
  <c r="E24" i="56"/>
  <c r="H24" i="56" s="1"/>
  <c r="G24" i="56"/>
  <c r="N64" i="56"/>
  <c r="G62" i="56"/>
  <c r="H62" i="56"/>
  <c r="G61" i="56"/>
  <c r="H61" i="56"/>
  <c r="G60" i="56"/>
  <c r="H60" i="56"/>
  <c r="G59" i="56"/>
  <c r="H59" i="56"/>
  <c r="I59" i="56" s="1"/>
  <c r="G58" i="56"/>
  <c r="H58" i="56"/>
  <c r="G56" i="56"/>
  <c r="H56" i="56"/>
  <c r="G55" i="56"/>
  <c r="H55" i="56"/>
  <c r="G54" i="56"/>
  <c r="H54" i="56"/>
  <c r="G53" i="56"/>
  <c r="H53" i="56"/>
  <c r="G52" i="56"/>
  <c r="H52" i="56"/>
  <c r="G48" i="56"/>
  <c r="H48" i="56"/>
  <c r="G47" i="56"/>
  <c r="H47" i="56"/>
  <c r="G46" i="56"/>
  <c r="H46" i="56"/>
  <c r="G45" i="56"/>
  <c r="H45" i="56"/>
  <c r="G44" i="56"/>
  <c r="H44" i="56"/>
  <c r="I44" i="56" s="1"/>
  <c r="G43" i="56"/>
  <c r="H43" i="56"/>
  <c r="G42" i="56"/>
  <c r="H42" i="56"/>
  <c r="G40" i="56"/>
  <c r="H40" i="56"/>
  <c r="N39" i="56"/>
  <c r="G39" i="56"/>
  <c r="H39" i="56"/>
  <c r="G38" i="56"/>
  <c r="H38" i="56"/>
  <c r="I38" i="56" s="1"/>
  <c r="N37" i="56"/>
  <c r="G37" i="56"/>
  <c r="H37" i="56"/>
  <c r="I37" i="56" s="1"/>
  <c r="N36" i="56"/>
  <c r="G36" i="56"/>
  <c r="H36" i="56"/>
  <c r="G35" i="56"/>
  <c r="H35" i="56"/>
  <c r="I35" i="56" s="1"/>
  <c r="N34" i="56"/>
  <c r="G34" i="56"/>
  <c r="H34" i="56"/>
  <c r="I34" i="56" s="1"/>
  <c r="N33" i="56"/>
  <c r="G32" i="56"/>
  <c r="H32" i="56"/>
  <c r="G31" i="56"/>
  <c r="H31" i="56"/>
  <c r="G30" i="56"/>
  <c r="E30" i="56"/>
  <c r="H30" i="56" s="1"/>
  <c r="I30" i="56" s="1"/>
  <c r="G29" i="56"/>
  <c r="H29" i="56"/>
  <c r="I29" i="56" s="1"/>
  <c r="G28" i="56"/>
  <c r="H28" i="56"/>
  <c r="G27" i="56"/>
  <c r="H27" i="56"/>
  <c r="N26" i="56"/>
  <c r="G26" i="56"/>
  <c r="H26" i="56"/>
  <c r="N25" i="56"/>
  <c r="N8" i="56"/>
  <c r="O6" i="56"/>
  <c r="O5" i="56" s="1"/>
  <c r="H19" i="55"/>
  <c r="I19" i="55" s="1"/>
  <c r="H20" i="55"/>
  <c r="I20" i="55" s="1"/>
  <c r="H21" i="55"/>
  <c r="I21" i="55" s="1"/>
  <c r="H36" i="55"/>
  <c r="I36" i="55" s="1"/>
  <c r="H37" i="55"/>
  <c r="I37" i="55" s="1"/>
  <c r="F39" i="55"/>
  <c r="E39" i="55"/>
  <c r="B39" i="55"/>
  <c r="H35" i="55"/>
  <c r="I35" i="55" s="1"/>
  <c r="H31" i="55"/>
  <c r="I31" i="55" s="1"/>
  <c r="H27" i="55"/>
  <c r="I27" i="55" s="1"/>
  <c r="H23" i="55"/>
  <c r="I23" i="55" s="1"/>
  <c r="H18" i="55"/>
  <c r="I18" i="55" s="1"/>
  <c r="H14" i="55"/>
  <c r="I14" i="55" s="1"/>
  <c r="H12" i="55"/>
  <c r="I12" i="55" s="1"/>
  <c r="H11" i="55"/>
  <c r="I11" i="55" s="1"/>
  <c r="H10" i="55"/>
  <c r="I10" i="55" s="1"/>
  <c r="H9" i="55"/>
  <c r="I9" i="55" s="1"/>
  <c r="H3" i="55"/>
  <c r="I3" i="55" s="1"/>
  <c r="G3" i="55"/>
  <c r="G31" i="37"/>
  <c r="H31" i="37"/>
  <c r="I31" i="37" s="1"/>
  <c r="G14" i="37"/>
  <c r="H14" i="37"/>
  <c r="I14" i="37" s="1"/>
  <c r="G16" i="37"/>
  <c r="H16" i="37"/>
  <c r="I16" i="37" s="1"/>
  <c r="G10" i="37"/>
  <c r="H10" i="37"/>
  <c r="I10" i="37" s="1"/>
  <c r="I23" i="56" l="1"/>
  <c r="I60" i="56"/>
  <c r="I48" i="56"/>
  <c r="G41" i="56"/>
  <c r="H41" i="56"/>
  <c r="I31" i="56"/>
  <c r="I14" i="56"/>
  <c r="I32" i="56"/>
  <c r="I15" i="56"/>
  <c r="I43" i="56"/>
  <c r="I20" i="56"/>
  <c r="I18" i="56"/>
  <c r="I40" i="56"/>
  <c r="I24" i="56"/>
  <c r="I19" i="56"/>
  <c r="G51" i="56"/>
  <c r="I22" i="56"/>
  <c r="I53" i="56"/>
  <c r="I21" i="56"/>
  <c r="I46" i="56"/>
  <c r="I62" i="56"/>
  <c r="G9" i="56"/>
  <c r="G17" i="56"/>
  <c r="I27" i="56"/>
  <c r="I10" i="56"/>
  <c r="H9" i="56"/>
  <c r="H17" i="56"/>
  <c r="I61" i="56"/>
  <c r="I28" i="56"/>
  <c r="I55" i="56"/>
  <c r="I39" i="56"/>
  <c r="I56" i="56"/>
  <c r="H57" i="56"/>
  <c r="I45" i="56"/>
  <c r="G57" i="56"/>
  <c r="I47" i="56"/>
  <c r="G25" i="56"/>
  <c r="I54" i="56"/>
  <c r="G33" i="56"/>
  <c r="I42" i="56"/>
  <c r="H25" i="56"/>
  <c r="I26" i="56"/>
  <c r="H33" i="56"/>
  <c r="I36" i="56"/>
  <c r="H51" i="56"/>
  <c r="I52" i="56"/>
  <c r="I58" i="56"/>
  <c r="P6" i="56"/>
  <c r="O7" i="56"/>
  <c r="J10" i="55"/>
  <c r="J23" i="55"/>
  <c r="J11" i="55"/>
  <c r="J12" i="55"/>
  <c r="J35" i="55"/>
  <c r="J31" i="55"/>
  <c r="H39" i="55"/>
  <c r="J9" i="55"/>
  <c r="J14" i="55"/>
  <c r="J18" i="55"/>
  <c r="G39" i="55"/>
  <c r="J27" i="55"/>
  <c r="J3" i="55"/>
  <c r="I39" i="55"/>
  <c r="J31" i="37"/>
  <c r="J16" i="37"/>
  <c r="J10" i="37"/>
  <c r="J14" i="37"/>
  <c r="H63" i="56" l="1"/>
  <c r="I33" i="56"/>
  <c r="G63" i="56"/>
  <c r="I17" i="56"/>
  <c r="I9" i="56"/>
  <c r="I41" i="56"/>
  <c r="I25" i="56"/>
  <c r="I57" i="56"/>
  <c r="P7" i="56"/>
  <c r="Q6" i="56"/>
  <c r="I51" i="56"/>
  <c r="J39" i="55"/>
  <c r="I63" i="56" l="1"/>
  <c r="Q7" i="56"/>
  <c r="R6" i="56"/>
  <c r="J22" i="34"/>
  <c r="J23" i="34"/>
  <c r="J12" i="34"/>
  <c r="H16" i="36"/>
  <c r="I16" i="36" s="1"/>
  <c r="G16" i="36"/>
  <c r="H24" i="36"/>
  <c r="I24" i="36" s="1"/>
  <c r="H25" i="36"/>
  <c r="I25" i="36" s="1"/>
  <c r="H26" i="36"/>
  <c r="I26" i="36" s="1"/>
  <c r="H27" i="36"/>
  <c r="I27" i="36" s="1"/>
  <c r="G24" i="36"/>
  <c r="G25" i="36"/>
  <c r="G26" i="36"/>
  <c r="G27" i="36"/>
  <c r="H19" i="36"/>
  <c r="I19" i="36" s="1"/>
  <c r="H20" i="36"/>
  <c r="I20" i="36" s="1"/>
  <c r="H21" i="36"/>
  <c r="I21" i="36" s="1"/>
  <c r="G19" i="36"/>
  <c r="G20" i="36"/>
  <c r="G21" i="36"/>
  <c r="G7" i="36"/>
  <c r="H7" i="36"/>
  <c r="G8" i="36"/>
  <c r="H8" i="36"/>
  <c r="I8" i="36" s="1"/>
  <c r="G38" i="36"/>
  <c r="H38" i="36"/>
  <c r="G39" i="36"/>
  <c r="H39" i="36"/>
  <c r="G32" i="36"/>
  <c r="H32" i="36"/>
  <c r="I32" i="36" s="1"/>
  <c r="G33" i="36"/>
  <c r="H33" i="36"/>
  <c r="G30" i="36"/>
  <c r="G31" i="36"/>
  <c r="H30" i="36"/>
  <c r="I30" i="36" s="1"/>
  <c r="H31" i="36"/>
  <c r="I31" i="36" s="1"/>
  <c r="G11" i="36"/>
  <c r="G12" i="36"/>
  <c r="G13" i="36"/>
  <c r="H13" i="36"/>
  <c r="I13" i="36" s="1"/>
  <c r="G6" i="36"/>
  <c r="H6" i="36"/>
  <c r="I6" i="36" s="1"/>
  <c r="J16" i="36" l="1"/>
  <c r="I33" i="36"/>
  <c r="J33" i="36" s="1"/>
  <c r="I39" i="36"/>
  <c r="J39" i="36" s="1"/>
  <c r="I7" i="36"/>
  <c r="J7" i="36" s="1"/>
  <c r="I38" i="36"/>
  <c r="J38" i="36" s="1"/>
  <c r="S6" i="56"/>
  <c r="R7" i="56"/>
  <c r="J11" i="34"/>
  <c r="J17" i="34"/>
  <c r="J7" i="34"/>
  <c r="J6" i="34"/>
  <c r="J27" i="36"/>
  <c r="J26" i="36"/>
  <c r="J8" i="36"/>
  <c r="J32" i="36"/>
  <c r="J6" i="36"/>
  <c r="J13" i="36"/>
  <c r="S7" i="56" l="1"/>
  <c r="T6" i="56"/>
  <c r="G5" i="54"/>
  <c r="H5" i="54" s="1"/>
  <c r="G6" i="54"/>
  <c r="H6" i="54" s="1"/>
  <c r="G7" i="54"/>
  <c r="H7" i="54" s="1"/>
  <c r="G8" i="54"/>
  <c r="H8" i="54" s="1"/>
  <c r="G10" i="54"/>
  <c r="H10" i="54" s="1"/>
  <c r="G11" i="54"/>
  <c r="H11" i="54" s="1"/>
  <c r="I11" i="54" s="1"/>
  <c r="G12" i="54"/>
  <c r="H12" i="54" s="1"/>
  <c r="G13" i="54"/>
  <c r="H13" i="54" s="1"/>
  <c r="F5" i="54"/>
  <c r="F6" i="54"/>
  <c r="F7" i="54"/>
  <c r="F8" i="54"/>
  <c r="F10" i="54"/>
  <c r="F11" i="54"/>
  <c r="F12" i="54"/>
  <c r="F13" i="54"/>
  <c r="H5" i="28"/>
  <c r="I5" i="28" s="1"/>
  <c r="H7" i="28"/>
  <c r="I7" i="28" s="1"/>
  <c r="H8" i="28"/>
  <c r="I8" i="28" s="1"/>
  <c r="H9" i="28"/>
  <c r="I9" i="28" s="1"/>
  <c r="H10" i="28"/>
  <c r="I10" i="28" s="1"/>
  <c r="H11" i="28"/>
  <c r="I11" i="28" s="1"/>
  <c r="H13" i="28"/>
  <c r="I13" i="28" s="1"/>
  <c r="H14" i="28"/>
  <c r="I14" i="28" s="1"/>
  <c r="H16" i="28"/>
  <c r="I16" i="28" s="1"/>
  <c r="H17" i="28"/>
  <c r="I17" i="28" s="1"/>
  <c r="H18" i="28"/>
  <c r="I18" i="28" s="1"/>
  <c r="H19" i="28"/>
  <c r="I19" i="28" s="1"/>
  <c r="H20" i="28"/>
  <c r="I20" i="28" s="1"/>
  <c r="H22" i="28"/>
  <c r="I22" i="28" s="1"/>
  <c r="H23" i="28"/>
  <c r="I23" i="28" s="1"/>
  <c r="H24" i="28"/>
  <c r="I24" i="28" s="1"/>
  <c r="H25" i="28"/>
  <c r="I25" i="28" s="1"/>
  <c r="G5" i="28"/>
  <c r="G7" i="28"/>
  <c r="G8" i="28"/>
  <c r="G9" i="28"/>
  <c r="G10" i="28"/>
  <c r="G11" i="28"/>
  <c r="G13" i="28"/>
  <c r="G14" i="28"/>
  <c r="G16" i="28"/>
  <c r="G17" i="28"/>
  <c r="G18" i="28"/>
  <c r="G19" i="28"/>
  <c r="G20" i="28"/>
  <c r="G22" i="28"/>
  <c r="G23" i="28"/>
  <c r="G24" i="28"/>
  <c r="G25" i="28"/>
  <c r="D15" i="54"/>
  <c r="G15" i="54" s="1"/>
  <c r="G4" i="54"/>
  <c r="H4" i="54" s="1"/>
  <c r="F4" i="54"/>
  <c r="E27" i="28"/>
  <c r="I8" i="54" l="1"/>
  <c r="I5" i="54"/>
  <c r="T7" i="56"/>
  <c r="U6" i="56"/>
  <c r="J22" i="28"/>
  <c r="J25" i="28"/>
  <c r="J24" i="28"/>
  <c r="J23" i="28"/>
  <c r="I7" i="54"/>
  <c r="I6" i="54"/>
  <c r="I12" i="54"/>
  <c r="I13" i="54"/>
  <c r="F15" i="54"/>
  <c r="H15" i="54"/>
  <c r="I4" i="54"/>
  <c r="H27" i="28"/>
  <c r="F45" i="37"/>
  <c r="E45" i="37"/>
  <c r="B45" i="37"/>
  <c r="H37" i="37"/>
  <c r="I37" i="37" s="1"/>
  <c r="G37" i="37"/>
  <c r="H33" i="37"/>
  <c r="I33" i="37" s="1"/>
  <c r="G33" i="37"/>
  <c r="H30" i="37"/>
  <c r="I30" i="37" s="1"/>
  <c r="G30" i="37"/>
  <c r="H29" i="37"/>
  <c r="I29" i="37" s="1"/>
  <c r="G29" i="37"/>
  <c r="H26" i="37"/>
  <c r="I26" i="37" s="1"/>
  <c r="G26" i="37"/>
  <c r="H18" i="37"/>
  <c r="I18" i="37" s="1"/>
  <c r="G18" i="37"/>
  <c r="H15" i="37"/>
  <c r="I15" i="37" s="1"/>
  <c r="G15" i="37"/>
  <c r="H13" i="37"/>
  <c r="I13" i="37" s="1"/>
  <c r="G13" i="37"/>
  <c r="H12" i="37"/>
  <c r="I12" i="37" s="1"/>
  <c r="G12" i="37"/>
  <c r="H9" i="37"/>
  <c r="I9" i="37" s="1"/>
  <c r="G9" i="37"/>
  <c r="H8" i="37"/>
  <c r="I8" i="37" s="1"/>
  <c r="G8" i="37"/>
  <c r="H7" i="37"/>
  <c r="I7" i="37" s="1"/>
  <c r="G7" i="37"/>
  <c r="H3" i="37"/>
  <c r="I3" i="37" s="1"/>
  <c r="G3" i="37"/>
  <c r="F41" i="36"/>
  <c r="E41" i="36"/>
  <c r="B41" i="36"/>
  <c r="H37" i="36"/>
  <c r="I37" i="36" s="1"/>
  <c r="G37" i="36"/>
  <c r="H36" i="36"/>
  <c r="I36" i="36" s="1"/>
  <c r="G36" i="36"/>
  <c r="H35" i="36"/>
  <c r="I35" i="36" s="1"/>
  <c r="G35" i="36"/>
  <c r="H29" i="36"/>
  <c r="I29" i="36" s="1"/>
  <c r="G29" i="36"/>
  <c r="H23" i="36"/>
  <c r="I23" i="36" s="1"/>
  <c r="G23" i="36"/>
  <c r="H18" i="36"/>
  <c r="I18" i="36" s="1"/>
  <c r="G18" i="36"/>
  <c r="H15" i="36"/>
  <c r="I15" i="36" s="1"/>
  <c r="G15" i="36"/>
  <c r="H12" i="36"/>
  <c r="I12" i="36" s="1"/>
  <c r="H11" i="36"/>
  <c r="I11" i="36" s="1"/>
  <c r="H10" i="36"/>
  <c r="I10" i="36" s="1"/>
  <c r="G10" i="36"/>
  <c r="H5" i="36"/>
  <c r="I5" i="36" s="1"/>
  <c r="G5" i="36"/>
  <c r="H4" i="36"/>
  <c r="I4" i="36" s="1"/>
  <c r="G4" i="36"/>
  <c r="H3" i="36"/>
  <c r="I3" i="36" s="1"/>
  <c r="G3" i="36"/>
  <c r="F25" i="34"/>
  <c r="E25" i="34"/>
  <c r="B25" i="34"/>
  <c r="J4" i="34"/>
  <c r="H3" i="34"/>
  <c r="I3" i="34" s="1"/>
  <c r="G3" i="34"/>
  <c r="G3" i="31"/>
  <c r="E82" i="31"/>
  <c r="B82" i="31"/>
  <c r="H3" i="31"/>
  <c r="I3" i="31" s="1"/>
  <c r="H4" i="28"/>
  <c r="I4" i="28" s="1"/>
  <c r="G4" i="28"/>
  <c r="I41" i="36" l="1"/>
  <c r="I82" i="31"/>
  <c r="G82" i="31"/>
  <c r="J3" i="31"/>
  <c r="U7" i="56"/>
  <c r="V6" i="56"/>
  <c r="H25" i="34"/>
  <c r="G41" i="36"/>
  <c r="H41" i="36"/>
  <c r="I15" i="54"/>
  <c r="G27" i="28"/>
  <c r="I27" i="28"/>
  <c r="J13" i="28"/>
  <c r="J5" i="28"/>
  <c r="J8" i="28"/>
  <c r="J9" i="28"/>
  <c r="J10" i="28"/>
  <c r="J19" i="28"/>
  <c r="H45" i="37"/>
  <c r="J9" i="37"/>
  <c r="J18" i="37"/>
  <c r="J37" i="37"/>
  <c r="J11" i="36"/>
  <c r="J15" i="36"/>
  <c r="J19" i="36"/>
  <c r="J25" i="36"/>
  <c r="J4" i="36"/>
  <c r="J29" i="36"/>
  <c r="J5" i="36"/>
  <c r="J30" i="36"/>
  <c r="J10" i="36"/>
  <c r="J12" i="36"/>
  <c r="J36" i="36"/>
  <c r="J23" i="36"/>
  <c r="J37" i="36"/>
  <c r="J18" i="36"/>
  <c r="J24" i="36"/>
  <c r="J31" i="36"/>
  <c r="J35" i="36"/>
  <c r="J5" i="34"/>
  <c r="J20" i="34"/>
  <c r="J9" i="34"/>
  <c r="J21" i="34"/>
  <c r="G25" i="34"/>
  <c r="J10" i="34"/>
  <c r="J14" i="34"/>
  <c r="J15" i="34"/>
  <c r="J16" i="34"/>
  <c r="J19" i="34"/>
  <c r="J13" i="37"/>
  <c r="G45" i="37"/>
  <c r="J12" i="37"/>
  <c r="J33" i="37"/>
  <c r="J7" i="37"/>
  <c r="J29" i="37"/>
  <c r="J8" i="37"/>
  <c r="J15" i="37"/>
  <c r="J26" i="37"/>
  <c r="J30" i="37"/>
  <c r="I45" i="37"/>
  <c r="J3" i="37"/>
  <c r="J3" i="36"/>
  <c r="I25" i="34"/>
  <c r="J3" i="34"/>
  <c r="H82" i="31"/>
  <c r="J16" i="28"/>
  <c r="J7" i="28"/>
  <c r="J18" i="28"/>
  <c r="J4" i="28"/>
  <c r="J14" i="28"/>
  <c r="J17" i="28"/>
  <c r="V7" i="56" l="1"/>
  <c r="V5" i="56"/>
  <c r="W6" i="56"/>
  <c r="J27" i="28"/>
  <c r="J41" i="36"/>
  <c r="J25" i="34"/>
  <c r="J45" i="37"/>
  <c r="J82" i="31"/>
  <c r="W7" i="56" l="1"/>
  <c r="X6" i="56"/>
  <c r="Y6" i="56" l="1"/>
  <c r="X7" i="56"/>
  <c r="Z6" i="56" l="1"/>
  <c r="Y7" i="56"/>
  <c r="AA6" i="56" l="1"/>
  <c r="Z7" i="56"/>
  <c r="AB6" i="56" l="1"/>
  <c r="AA7" i="56"/>
  <c r="AC6" i="56" l="1"/>
  <c r="AB7" i="56"/>
  <c r="AC5" i="56" l="1"/>
  <c r="AC7" i="56"/>
  <c r="AD6" i="56"/>
  <c r="AE6" i="56" l="1"/>
  <c r="AD7" i="56"/>
  <c r="AF6" i="56" l="1"/>
  <c r="AE7" i="56"/>
  <c r="AG6" i="56" l="1"/>
  <c r="AF7" i="56"/>
  <c r="AH6" i="56" l="1"/>
  <c r="AG7" i="56"/>
  <c r="AH7" i="56" l="1"/>
  <c r="AI6" i="56"/>
  <c r="AJ6" i="56" l="1"/>
  <c r="AI7" i="56"/>
  <c r="AJ5" i="56" l="1"/>
  <c r="AJ7" i="56"/>
  <c r="AK6" i="56"/>
  <c r="AK7" i="56" l="1"/>
  <c r="AL6" i="56"/>
  <c r="AM6" i="56" l="1"/>
  <c r="AL7" i="56"/>
  <c r="AM7" i="56" l="1"/>
  <c r="AN6" i="56"/>
  <c r="AO6" i="56" l="1"/>
  <c r="AN7" i="56"/>
  <c r="AO7" i="56" l="1"/>
  <c r="AP6" i="56"/>
  <c r="AP7" i="56" l="1"/>
  <c r="AQ6" i="56"/>
  <c r="AQ7" i="56" l="1"/>
  <c r="AQ5" i="56"/>
  <c r="AR6" i="56"/>
  <c r="AR7" i="56" l="1"/>
  <c r="AS6" i="56"/>
  <c r="AT6" i="56" l="1"/>
  <c r="AS7" i="56"/>
  <c r="AU6" i="56" l="1"/>
  <c r="AT7" i="56"/>
  <c r="AV6" i="56" l="1"/>
  <c r="AU7" i="56"/>
  <c r="AW6" i="56" l="1"/>
  <c r="AV7" i="56"/>
  <c r="AW7" i="56" l="1"/>
  <c r="AX6" i="56"/>
  <c r="AX5" i="56" l="1"/>
  <c r="AY6" i="56"/>
  <c r="AX7" i="56"/>
  <c r="AZ6" i="56" l="1"/>
  <c r="AY7" i="56"/>
  <c r="BA6" i="56" l="1"/>
  <c r="AZ7" i="56"/>
  <c r="BB6" i="56" l="1"/>
  <c r="BA7" i="56"/>
  <c r="BC6" i="56" l="1"/>
  <c r="BB7" i="56"/>
  <c r="BD6" i="56" l="1"/>
  <c r="BC7" i="56"/>
  <c r="BD7" i="56" l="1"/>
  <c r="BE6" i="56"/>
  <c r="BE5" i="56" l="1"/>
  <c r="BE7" i="56"/>
  <c r="BF6" i="56"/>
  <c r="BF7" i="56" l="1"/>
  <c r="BG6" i="56"/>
  <c r="BG7" i="56" l="1"/>
  <c r="BH6" i="56"/>
  <c r="BH7" i="56" l="1"/>
  <c r="BI6" i="56"/>
  <c r="BI7" i="56" l="1"/>
  <c r="BJ6" i="56"/>
  <c r="BJ7" i="56" l="1"/>
  <c r="BK6" i="56"/>
  <c r="BK7" i="56" l="1"/>
  <c r="BL6" i="56"/>
  <c r="BL7" i="56" l="1"/>
  <c r="BL5" i="56"/>
  <c r="BM6" i="56"/>
  <c r="BM7" i="56" l="1"/>
  <c r="BN6" i="56"/>
  <c r="BN7" i="56" l="1"/>
  <c r="BO6" i="56"/>
  <c r="BP6" i="56" l="1"/>
  <c r="BO7" i="56"/>
  <c r="BP7" i="56" l="1"/>
  <c r="BQ6" i="56"/>
  <c r="BR6" i="56" l="1"/>
  <c r="BR7" i="56" s="1"/>
  <c r="BQ7"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 Gannon</author>
  </authors>
  <commentList>
    <comment ref="CN9" authorId="0" shapeId="0" xr:uid="{D74C4941-FF00-46CF-8714-7FB1E7C2D5A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64" authorId="0" shapeId="0" xr:uid="{D065829F-0EF6-48AB-AD8C-E829ED06498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Tim Gannon</author>
  </authors>
  <commentList>
    <comment ref="CN9" authorId="0" shapeId="0" xr:uid="{4C3DFFB2-CCE6-4E8F-ACBF-8315CC95921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64" authorId="0" shapeId="0" xr:uid="{2117A72C-854C-4C43-B37A-53170CFDEB0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Tim Gannon</author>
  </authors>
  <commentList>
    <comment ref="CN9" authorId="0" shapeId="0" xr:uid="{B4FA96E8-5FDD-42ED-B9DC-FAD1E10A145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F14" authorId="0" shapeId="0" xr:uid="{9B539BD0-5A2E-4A0C-BC0A-0507841ADCC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S14" authorId="0" shapeId="0" xr:uid="{9D7E2354-A9C7-4016-8F71-97CBDAFBD8C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64" authorId="0" shapeId="0" xr:uid="{7DC3E19D-D502-40E7-B4DD-C23DC289B27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69" authorId="0" shapeId="0" xr:uid="{50CDBDAB-E2B8-4B19-B999-8B431B8653D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69" authorId="0" shapeId="0" xr:uid="{22306D48-03FC-4670-856C-CBD079B97CD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Tim Gannon</author>
  </authors>
  <commentList>
    <comment ref="CN9" authorId="0" shapeId="0" xr:uid="{14D4E5D2-F67A-4528-9F98-387A9DAC621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14" authorId="0" shapeId="0" xr:uid="{0F34C950-163F-4DE1-A692-D3FA3818939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14" authorId="0" shapeId="0" xr:uid="{EF470A94-1AE2-4FB0-BD1F-06B0A09CB85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66" authorId="0" shapeId="0" xr:uid="{73F737B6-32EF-4592-9B47-80306697317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71" authorId="0" shapeId="0" xr:uid="{186B6C77-2051-4C9C-A45B-2359D11C35C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71" authorId="0" shapeId="0" xr:uid="{80FC83B8-57D5-4FD1-B806-657BD76B2D2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Tim Gannon</author>
  </authors>
  <commentList>
    <comment ref="CN9" authorId="0" shapeId="0" xr:uid="{628B55E4-C777-4F9D-959B-DCFC153FB98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14" authorId="0" shapeId="0" xr:uid="{0A0FF082-70B8-40E9-9C80-01354AEB113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14" authorId="0" shapeId="0" xr:uid="{BEDBA07C-6489-420C-80D2-BA684B5EE42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64" authorId="0" shapeId="0" xr:uid="{46968006-6B6A-488A-91D5-ACD8FE13327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69" authorId="0" shapeId="0" xr:uid="{A8B3E6AF-B1F3-42A6-B969-03F4FB64B4A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69" authorId="0" shapeId="0" xr:uid="{A4C98CBD-AB66-47B6-B521-A56FBEE26CC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119" authorId="0" shapeId="0" xr:uid="{EF2222E4-2DF4-449C-B052-6E12FECE959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124" authorId="0" shapeId="0" xr:uid="{9445F0E1-5409-4274-8D89-A97A17A17FE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124" authorId="0" shapeId="0" xr:uid="{970F1341-5650-4A2D-A2D1-E706A58E9FF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174" authorId="0" shapeId="0" xr:uid="{A2146CEA-2B54-4BBD-B396-23F35E002EC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179" authorId="0" shapeId="0" xr:uid="{C1E29CDB-DBDC-46A2-9056-7BD315CC962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179" authorId="0" shapeId="0" xr:uid="{49F6EC95-5EAC-457D-84D0-AE1C86A5A86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Tim Gannon</author>
  </authors>
  <commentList>
    <comment ref="CN9" authorId="0" shapeId="0" xr:uid="{19B72E68-404F-45A1-A17F-0A68B83F820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14" authorId="0" shapeId="0" xr:uid="{6A859D04-DD28-484B-81BB-EA3C8D33E76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14" authorId="0" shapeId="0" xr:uid="{5140E587-BFA2-4440-8753-690C1D5D31C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64" authorId="0" shapeId="0" xr:uid="{43C11DED-61C2-4B3D-8ED8-D95EE40DD36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C69" authorId="0" shapeId="0" xr:uid="{9A99B7AF-8C70-4ABA-B681-F8430528AF0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69" authorId="0" shapeId="0" xr:uid="{4B497FD7-CE7E-45A9-8C7C-DC1A4B3C6E1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Tim Gannon</author>
  </authors>
  <commentList>
    <comment ref="CN9" authorId="0" shapeId="0" xr:uid="{EEB06DA1-9043-41FA-8F42-F6ECB20D27E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F14" authorId="0" shapeId="0" xr:uid="{E209D11E-2380-4D61-A8AD-3E831340457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S14" authorId="0" shapeId="0" xr:uid="{92CB3B05-E780-4ADD-957A-4AE1852C76B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18" authorId="0" shapeId="0" xr:uid="{384756EA-0FE2-42C3-83DD-461EA47756A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18" authorId="0" shapeId="0" xr:uid="{B1A2E1CD-3FD5-4114-8A57-42DEE00907C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18" authorId="0" shapeId="0" xr:uid="{12FC56A5-2A8D-4D5A-B697-480B2C291D7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19" authorId="0" shapeId="0" xr:uid="{6AE6FB40-F1A3-4D35-8485-117EE79DF4F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19" authorId="0" shapeId="0" xr:uid="{82A5AECA-20F4-4F3D-9B2E-90EA1D5FBF0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19" authorId="0" shapeId="0" xr:uid="{396ACB32-F8AD-45A3-9B7E-E6115F9B7EC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20" authorId="0" shapeId="0" xr:uid="{E5E67F40-CF6F-4F91-BF20-66EF07B872F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20" authorId="0" shapeId="0" xr:uid="{E3A33F67-2545-4F88-B1F2-76D02F146F0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20" authorId="0" shapeId="0" xr:uid="{1AD35F7D-0AB6-4502-9E7E-D863877D640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21" authorId="0" shapeId="0" xr:uid="{570D07BC-93A8-4F54-995D-97C92E2FA1E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21" authorId="0" shapeId="0" xr:uid="{AF03C2FE-CC0C-4544-825D-BDFB622FA0D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21" authorId="0" shapeId="0" xr:uid="{96146D07-5421-4365-8A99-8F2B8831997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29" authorId="0" shapeId="0" xr:uid="{0A0FC058-5E19-4E52-982A-B395E69492B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29" authorId="0" shapeId="0" xr:uid="{9D54D0F2-2E61-4E53-8E3B-5E8E9014952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29" authorId="0" shapeId="0" xr:uid="{FB22604C-719B-49CF-8D49-53177A37198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29" authorId="0" shapeId="0" xr:uid="{90FF7AA8-D23C-4431-BE92-147C81FAF86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0" authorId="0" shapeId="0" xr:uid="{E750713C-62F4-4F80-BF42-A2E9E6B9694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0" authorId="0" shapeId="0" xr:uid="{D7004363-CAB3-4AC1-9721-D1DF846CC50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0" authorId="0" shapeId="0" xr:uid="{958E2D95-B777-4622-AF34-C591CA99B29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0" authorId="0" shapeId="0" xr:uid="{85653DF6-567C-4DFB-97AC-671A974D7FD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1" authorId="0" shapeId="0" xr:uid="{6A49D882-86B8-4CBB-A562-F8F190DD720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1" authorId="0" shapeId="0" xr:uid="{26EBC0E8-E353-4704-8C86-337E1CB1A83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1" authorId="0" shapeId="0" xr:uid="{3ACD1387-48AD-47E0-B031-E0AEE492A27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1" authorId="0" shapeId="0" xr:uid="{CE5AC4BA-6968-48A5-AFA0-FDACD128F54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2" authorId="0" shapeId="0" xr:uid="{D5BDD4A5-E72C-4D6C-B496-496D03804A7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2" authorId="0" shapeId="0" xr:uid="{8C6C8054-291E-4D5C-BC4F-260693E9DDD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2" authorId="0" shapeId="0" xr:uid="{203867DE-BA5D-415E-A11C-60749DF2C90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2" authorId="0" shapeId="0" xr:uid="{78D45021-54CA-46DC-B284-FE3DAEB6A54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3" authorId="0" shapeId="0" xr:uid="{801797D2-CAB4-47C2-871B-79D6DCEBB9F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3" authorId="0" shapeId="0" xr:uid="{C2087FDB-FC64-4487-A84A-85486C658D1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3" authorId="0" shapeId="0" xr:uid="{40218354-C25F-4AD3-BD78-AA7D3DB5BF3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3" authorId="0" shapeId="0" xr:uid="{E5CD2C1F-CB10-48A3-AF87-4D95AA79425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4" authorId="0" shapeId="0" xr:uid="{C70DC5C3-C780-488F-8EE2-6EFE4DA2248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4" authorId="0" shapeId="0" xr:uid="{E972116D-0E09-4122-B2EC-B6A6898CCE8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4" authorId="0" shapeId="0" xr:uid="{300D3C89-C42A-46DC-AE89-523E607FF07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4" authorId="0" shapeId="0" xr:uid="{AB90114E-58F9-4A0E-95C5-723F619D245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5" authorId="0" shapeId="0" xr:uid="{771B3A49-435E-4D74-9241-ED7A8430654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5" authorId="0" shapeId="0" xr:uid="{A94E1D2F-C173-42F0-BEC4-3300CFDEA0A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5" authorId="0" shapeId="0" xr:uid="{8CD961AA-384A-4576-B98A-F54B9E83DBE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5" authorId="0" shapeId="0" xr:uid="{6F6E1A26-84C9-41B5-A422-15C99F286A2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6" authorId="0" shapeId="0" xr:uid="{7013B2E2-4D6C-4D01-895C-CABE8C126D2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6" authorId="0" shapeId="0" xr:uid="{54CC34EC-0979-4AF6-AFC2-4355D31D01E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6" authorId="0" shapeId="0" xr:uid="{6A5BD69D-EEF4-48A9-8F35-0E48417D64A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6" authorId="0" shapeId="0" xr:uid="{19EC0645-B0FE-455B-AE02-65506F36E98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7" authorId="0" shapeId="0" xr:uid="{5C8AC15C-5FB1-4A20-931B-F3A93B07E3A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7" authorId="0" shapeId="0" xr:uid="{F1F0CCCE-3774-4411-A87D-66FE8E066AF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7" authorId="0" shapeId="0" xr:uid="{1F4C2749-B558-44A3-BCC5-A0644969E47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7" authorId="0" shapeId="0" xr:uid="{0748E015-0090-4176-9165-A21D8760C53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8" authorId="0" shapeId="0" xr:uid="{4D39A561-5ABA-49FA-8A0E-3AB00D5DABB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8" authorId="0" shapeId="0" xr:uid="{BF96F35D-AE9C-4C08-B484-8E2C5869B79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8" authorId="0" shapeId="0" xr:uid="{EBD96F24-1633-42B9-A932-F76EE7F1C28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8" authorId="0" shapeId="0" xr:uid="{A3D950E3-3733-4963-ADCE-7A0F3E92C32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39" authorId="0" shapeId="0" xr:uid="{118A34E2-A40C-47A7-BA73-953BE1F390C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39" authorId="0" shapeId="0" xr:uid="{BE4DB086-795B-4ABC-A27F-626593A74C7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39" authorId="0" shapeId="0" xr:uid="{93375C9D-9370-4F10-97F0-0A8D82D93FF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39" authorId="0" shapeId="0" xr:uid="{B61D1303-9357-4490-A978-9049C1DA05E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0" authorId="0" shapeId="0" xr:uid="{C6ACFE79-5ED9-40A5-B020-B12F4D4ED55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0" authorId="0" shapeId="0" xr:uid="{E07785F6-E2F3-4777-B81B-94E4627DA2A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0" authorId="0" shapeId="0" xr:uid="{1E748828-54A3-4D2F-BAFA-0534FFDBF52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0" authorId="0" shapeId="0" xr:uid="{0994C716-24B7-4C48-ADA6-6C5BD422DD9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1" authorId="0" shapeId="0" xr:uid="{276A94A5-7AE2-4EAA-83AF-4BE18858D44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1" authorId="0" shapeId="0" xr:uid="{22609D23-A3C3-4F8A-8D49-663E2F09301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1" authorId="0" shapeId="0" xr:uid="{EEC8ABFF-DD6A-4DDA-A893-A8CB14562C8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1" authorId="0" shapeId="0" xr:uid="{8B580071-A8CC-4A72-8D59-EFDEA859277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2" authorId="0" shapeId="0" xr:uid="{4983DDC8-AF31-4FB3-948C-63F70EB02F7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2" authorId="0" shapeId="0" xr:uid="{A570682F-9266-45C1-8492-FBD17050BAC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2" authorId="0" shapeId="0" xr:uid="{0F9928C9-3D1D-4C6F-A121-295221FEE41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2" authorId="0" shapeId="0" xr:uid="{82884617-0212-4C38-B8E7-3851EC848F5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3" authorId="0" shapeId="0" xr:uid="{D71B1A87-C7E4-4104-8993-3055BE55A0F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3" authorId="0" shapeId="0" xr:uid="{533768C4-BFDF-4652-9B71-A5E965D561D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3" authorId="0" shapeId="0" xr:uid="{C0F6125B-CDA8-4B97-96C1-2D9BA052833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3" authorId="0" shapeId="0" xr:uid="{A3CBACFC-08D1-4B23-BB7E-820E3BE63EA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4" authorId="0" shapeId="0" xr:uid="{2FD1A7C5-529C-4921-95EA-619CD76492C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4" authorId="0" shapeId="0" xr:uid="{6BE31F39-6EB4-41A1-A712-1DABDD2EEF9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4" authorId="0" shapeId="0" xr:uid="{41904433-8237-45D8-BB28-A44E02B65CC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4" authorId="0" shapeId="0" xr:uid="{FAEFD507-028D-49DE-A06C-90AA92F674D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5" authorId="0" shapeId="0" xr:uid="{5CDF4BB3-1708-4A7D-A79C-E52A79739FA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5" authorId="0" shapeId="0" xr:uid="{773E9A1E-CAF1-490D-82DE-DFE0483D569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5" authorId="0" shapeId="0" xr:uid="{EAA941D8-A5A0-45B2-818C-9F5B8A4D78F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5" authorId="0" shapeId="0" xr:uid="{7FA74F64-30BA-4E2B-8D8A-4671B2E1573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6" authorId="0" shapeId="0" xr:uid="{745719D2-B518-406E-9CFB-888FED2E49D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6" authorId="0" shapeId="0" xr:uid="{D49001CC-531E-4B45-963A-161FDBA3975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6" authorId="0" shapeId="0" xr:uid="{8CA18220-813C-4B68-853F-C400728344D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6" authorId="0" shapeId="0" xr:uid="{1A2746A7-1B81-49E9-925B-719BF6DB314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7" authorId="0" shapeId="0" xr:uid="{E2A471E5-4DBC-44F4-AE65-B2B62EDCC10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7" authorId="0" shapeId="0" xr:uid="{52014153-4644-4F4A-BA2F-D195A1BB07C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7" authorId="0" shapeId="0" xr:uid="{00C8C52A-30AF-4DE0-BB2D-3B7369DF6A6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7" authorId="0" shapeId="0" xr:uid="{2997DBC3-971E-40A8-A265-8FEC011606D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8" authorId="0" shapeId="0" xr:uid="{F96881C5-9017-446B-AAC3-699C7AEC43C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8" authorId="0" shapeId="0" xr:uid="{B0BC6553-A0CB-4FE1-AFB0-7695C37A0E5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8" authorId="0" shapeId="0" xr:uid="{AFEFEFD3-3716-4B9A-866A-506794D234B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8" authorId="0" shapeId="0" xr:uid="{5067192B-6EB3-4B78-9E2F-AAA80475246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49" authorId="0" shapeId="0" xr:uid="{77D48983-C756-4998-BCD9-0AAE4E2E378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49" authorId="0" shapeId="0" xr:uid="{E2C4C959-1020-4A62-A716-878D0A66753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49" authorId="0" shapeId="0" xr:uid="{98CBEF0F-700C-4D2E-8336-B58CD1B4DF7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49" authorId="0" shapeId="0" xr:uid="{D123EB86-9598-4D2B-AB91-535062EEDEE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50" authorId="0" shapeId="0" xr:uid="{F8423F77-3268-4EC4-8DFA-F6C8BEFFF9D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50" authorId="0" shapeId="0" xr:uid="{E00EF041-9791-40EF-9223-917E865EB9F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50" authorId="0" shapeId="0" xr:uid="{A48DA972-B584-4F56-B49E-6A31242B258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50" authorId="0" shapeId="0" xr:uid="{DD9C7C49-E326-487F-B4F8-0C0CB6DE614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51" authorId="0" shapeId="0" xr:uid="{FEB7BFC4-DB66-484F-B0B1-E16D1A69C50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51" authorId="0" shapeId="0" xr:uid="{9F424E8A-E9BE-45A3-9F93-7045CC5A967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51" authorId="0" shapeId="0" xr:uid="{8F4114D4-0E2D-4CE3-8518-82A1CF5065B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51" authorId="0" shapeId="0" xr:uid="{C869B0F0-4FC1-4CDC-8FC6-A651E646BC6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CN65" authorId="0" shapeId="0" xr:uid="{A221D525-37BE-48BC-B276-E9B063AFF2D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F70" authorId="0" shapeId="0" xr:uid="{1D724518-1299-4D37-9471-12C3407C687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S70" authorId="0" shapeId="0" xr:uid="{6161117D-FA66-48C6-9D66-B5A4F16BD12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74" authorId="0" shapeId="0" xr:uid="{811A46A1-74BB-4EFF-8DB4-6E04D89395F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74" authorId="0" shapeId="0" xr:uid="{8ADC3A20-EF88-4592-BEBD-A2DE1861764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74" authorId="0" shapeId="0" xr:uid="{464B9653-12D9-4F77-B703-12EB34A3D0A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75" authorId="0" shapeId="0" xr:uid="{770CFB05-100C-499B-B353-6921CC77C9D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75" authorId="0" shapeId="0" xr:uid="{8A5CBD3B-49C5-471F-BEAB-721D7451779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75" authorId="0" shapeId="0" xr:uid="{201D378E-2992-4D75-AD7B-1637850CF43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76" authorId="0" shapeId="0" xr:uid="{E7B6A080-D606-4DE4-AAE1-1D376C3C565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76" authorId="0" shapeId="0" xr:uid="{8567EDB3-E0AC-43A9-B44B-148EB307196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76" authorId="0" shapeId="0" xr:uid="{1F46CC4C-CF14-4993-AD2A-A7DA883E803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L77" authorId="0" shapeId="0" xr:uid="{DAFC8EEB-D023-4732-B2D7-F14DA981F6A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O77" authorId="0" shapeId="0" xr:uid="{EDB23FB1-616D-4FC7-A83F-9B88A71D007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R77" authorId="0" shapeId="0" xr:uid="{06404924-3E3C-4431-89BF-13FAFC83A61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85" authorId="0" shapeId="0" xr:uid="{06B1E4C8-207F-45F5-80CE-B140B464C08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85" authorId="0" shapeId="0" xr:uid="{12CCB973-CE76-4405-9A4E-F68BAA52BF3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85" authorId="0" shapeId="0" xr:uid="{76EDA8EB-C639-48FE-BCB7-149373497B1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85" authorId="0" shapeId="0" xr:uid="{C87132C6-3C51-49F9-A211-EFFEBF37071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85" authorId="0" shapeId="0" xr:uid="{053043E7-0F89-4B44-B756-00CE352E5DC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86" authorId="0" shapeId="0" xr:uid="{4D7A3DF1-448B-4BA8-83B9-CFED3ED4AF6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86" authorId="0" shapeId="0" xr:uid="{E8C711B6-191D-49EB-928C-AF6ED38988B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86" authorId="0" shapeId="0" xr:uid="{AC9F1770-08E6-4EFC-9503-F426DA7ED84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86" authorId="0" shapeId="0" xr:uid="{A8C7319C-8F8C-4401-9CCE-EE05724788B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86" authorId="0" shapeId="0" xr:uid="{127B81BA-4A86-4313-B371-53A45AF2EB9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87" authorId="0" shapeId="0" xr:uid="{01E90FCE-432B-4E98-ADC1-1AFAA18C660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87" authorId="0" shapeId="0" xr:uid="{29D7347B-15FF-42D1-8987-A46A18E32CB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87" authorId="0" shapeId="0" xr:uid="{59DB7DA9-5E3A-4A04-83E5-77C05D57E46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87" authorId="0" shapeId="0" xr:uid="{CB8FFBAA-F30E-49ED-A777-3D0129B02C5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87" authorId="0" shapeId="0" xr:uid="{D6BD8219-1508-418D-A234-43E5BECE942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88" authorId="0" shapeId="0" xr:uid="{4E60D15B-5543-4C8C-AA3B-AC730605836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88" authorId="0" shapeId="0" xr:uid="{8FD52C3D-198E-4972-AC21-BBC207C36B4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88" authorId="0" shapeId="0" xr:uid="{98BE3530-1E42-4BF0-A785-A82A3ED9BA2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88" authorId="0" shapeId="0" xr:uid="{BD937D18-5776-4C4C-9BE1-B70FE0A28C7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88" authorId="0" shapeId="0" xr:uid="{77807FDD-0739-4D61-BFD6-8CEB2D9BD97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89" authorId="0" shapeId="0" xr:uid="{5E2EC829-E90E-496E-A146-2532B63868D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89" authorId="0" shapeId="0" xr:uid="{643B7BC7-C2C6-46B2-891E-D348BB256B5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89" authorId="0" shapeId="0" xr:uid="{A3BA5830-1715-4824-8076-2276ECA41B7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89" authorId="0" shapeId="0" xr:uid="{FC16114C-8314-4FE8-8C0E-05026520900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89" authorId="0" shapeId="0" xr:uid="{5AAEDE7C-9467-4142-A6A0-4AC8A933F17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0" authorId="0" shapeId="0" xr:uid="{3D27F483-A2DB-4DE9-96B9-AD2AC19D25B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0" authorId="0" shapeId="0" xr:uid="{7E8FEE13-68C4-45A5-A7BC-5EE80ADC85F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0" authorId="0" shapeId="0" xr:uid="{E22DCC8A-9C8B-4211-B2B8-1034AB43B43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0" authorId="0" shapeId="0" xr:uid="{4A55DE9F-86A5-44C5-BC2C-45523090640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0" authorId="0" shapeId="0" xr:uid="{9DBF1A83-3A1B-48E3-BD8F-B17E55CDDAE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1" authorId="0" shapeId="0" xr:uid="{B97B502A-4222-4936-9D0F-DAD54B4397B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1" authorId="0" shapeId="0" xr:uid="{E3859360-D31D-42FF-8E01-B0E29B8AE10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1" authorId="0" shapeId="0" xr:uid="{E721680C-5C83-4F8C-A8A9-F2BDEEADDCA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1" authorId="0" shapeId="0" xr:uid="{44E5C8A8-0A5A-4DE6-8065-BB4063D89D7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1" authorId="0" shapeId="0" xr:uid="{6AF60B9B-8575-4A76-B084-52F2C797512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2" authorId="0" shapeId="0" xr:uid="{5BBAFFE9-C481-445F-960E-BE6B54C4D56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2" authorId="0" shapeId="0" xr:uid="{4347C1B7-6A2D-4700-B56F-A85E62BB6DF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2" authorId="0" shapeId="0" xr:uid="{4A82DFD0-E58D-4FD0-B6BA-0FE35040C99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2" authorId="0" shapeId="0" xr:uid="{4444EDBF-D243-4EDB-AD36-D49F8B125DE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2" authorId="0" shapeId="0" xr:uid="{ECA24024-DAF0-413C-A70F-9B37125B1C2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3" authorId="0" shapeId="0" xr:uid="{95FCB6F2-AFFC-4BBD-84B7-98240541499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3" authorId="0" shapeId="0" xr:uid="{3B02EEFB-0B61-4C01-8330-35118813987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3" authorId="0" shapeId="0" xr:uid="{D7C9D03B-4864-4B24-9AB3-F5B97D4965A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3" authorId="0" shapeId="0" xr:uid="{8352C61D-62EA-4E8C-91C1-1882636D5ED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3" authorId="0" shapeId="0" xr:uid="{14959639-4B26-4501-A0BD-92079DA05FF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4" authorId="0" shapeId="0" xr:uid="{0064CB87-0F15-4E0A-BB30-FB5DA449945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4" authorId="0" shapeId="0" xr:uid="{470FD587-71D0-4439-84E4-F7698D621D5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4" authorId="0" shapeId="0" xr:uid="{DF0209FC-798B-4A1C-A94B-09DB00B71A9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4" authorId="0" shapeId="0" xr:uid="{E0E1B9BF-6BEA-4162-9C34-0CC32E75994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4" authorId="0" shapeId="0" xr:uid="{602CE9DB-5F51-4F2C-ABBB-C78F8FF56B0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5" authorId="0" shapeId="0" xr:uid="{06E5A8A0-8AD4-4858-BB4E-D4775B3A18B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5" authorId="0" shapeId="0" xr:uid="{03FD2D4F-9F1C-4A2F-A989-B7AAC1E27BA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5" authorId="0" shapeId="0" xr:uid="{D27CCC48-FF0D-497C-850B-7B06619FC4D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5" authorId="0" shapeId="0" xr:uid="{98925FE4-41EF-4D1D-94A4-829FC28E8A8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5" authorId="0" shapeId="0" xr:uid="{9E8E0C2F-4007-4175-9E7E-C005B8F3E57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6" authorId="0" shapeId="0" xr:uid="{9D2A36AD-15E5-4D56-9EAD-CD5B6CF668A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6" authorId="0" shapeId="0" xr:uid="{EE49AB90-7AE5-48DE-BB09-B3A549B35BD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6" authorId="0" shapeId="0" xr:uid="{7FB62FC7-DDFB-47B4-A5A1-F0719CCFD69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6" authorId="0" shapeId="0" xr:uid="{D8C236F4-D883-4437-8875-E44F037942B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6" authorId="0" shapeId="0" xr:uid="{959CAA77-CC5B-401B-81D7-1DCC89FBE82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7" authorId="0" shapeId="0" xr:uid="{D12FF8B2-2919-4DFF-A634-0CB128D9393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7" authorId="0" shapeId="0" xr:uid="{21E7062A-51B5-4B65-A494-AABDE3B1112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7" authorId="0" shapeId="0" xr:uid="{3A08B857-499C-403E-9662-4DD5F00E78D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7" authorId="0" shapeId="0" xr:uid="{80B3C193-778A-42F7-B030-C5AC202FD7B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7" authorId="0" shapeId="0" xr:uid="{C3ED18A2-C290-4268-AF3D-B565B393298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8" authorId="0" shapeId="0" xr:uid="{8A8AD18A-DDC5-4252-B7DC-D2C2E361200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8" authorId="0" shapeId="0" xr:uid="{853424ED-27E7-4739-A39E-BCC193A9F3B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8" authorId="0" shapeId="0" xr:uid="{1B2A94CA-EB44-4D7E-8879-6022A014B7A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8" authorId="0" shapeId="0" xr:uid="{1080ECA6-46DB-48EC-869B-4765AFE0F55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8" authorId="0" shapeId="0" xr:uid="{678C030F-04E9-4FE5-AEE9-B7BE2D4AB78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99" authorId="0" shapeId="0" xr:uid="{0804C26C-BDFC-4B21-A37D-7278F868F0C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99" authorId="0" shapeId="0" xr:uid="{7A6A850D-5BFE-46C4-A15A-9D0EB62B29A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99" authorId="0" shapeId="0" xr:uid="{FC664E5A-ED10-4436-AB5D-FB2D6B4CB1CF}">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99" authorId="0" shapeId="0" xr:uid="{715961F0-0771-49EB-8E4C-F32BFF9BE6B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99" authorId="0" shapeId="0" xr:uid="{3F7778D7-303E-4403-82B3-C2631366CD7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0" authorId="0" shapeId="0" xr:uid="{39A3C160-6A71-4782-B9F6-47337A32904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0" authorId="0" shapeId="0" xr:uid="{FD9BD60A-71DD-4F14-8502-56EEE3AC21D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0" authorId="0" shapeId="0" xr:uid="{86A3DC79-F8E6-4651-AB14-A0A3E08440B0}">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0" authorId="0" shapeId="0" xr:uid="{E8DE3F56-277A-43DB-984B-3B8A080ED7F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0" authorId="0" shapeId="0" xr:uid="{2C785D66-3A07-4965-AD0A-2F06700E000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1" authorId="0" shapeId="0" xr:uid="{56A5444C-978D-4A96-B7D4-52F27570ECF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1" authorId="0" shapeId="0" xr:uid="{2A2E5C97-73DB-4A93-B1F9-B241FF9E69B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1" authorId="0" shapeId="0" xr:uid="{C011BD8B-FB59-4ABA-8577-753A9D5BAA3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1" authorId="0" shapeId="0" xr:uid="{9791129C-CFCD-486B-BD1C-AF8A1DD2868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1" authorId="0" shapeId="0" xr:uid="{5C2A5BCB-375B-4100-890F-2510A93DD41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2" authorId="0" shapeId="0" xr:uid="{43EE68B8-553D-44B5-BA1B-028FBF23624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2" authorId="0" shapeId="0" xr:uid="{162E2AE9-ED62-431B-9F5D-3C8DCB689AF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2" authorId="0" shapeId="0" xr:uid="{B9C42B06-BCA5-4DFF-AB52-4A1CDB4539C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2" authorId="0" shapeId="0" xr:uid="{B7338334-1636-40CA-84E0-9382B1AB5667}">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2" authorId="0" shapeId="0" xr:uid="{6A881FE0-6EE7-4849-9ECE-0A50856F0AAB}">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3" authorId="0" shapeId="0" xr:uid="{5BBA4C5D-E4D4-4143-B41C-E142ECF266F8}">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3" authorId="0" shapeId="0" xr:uid="{E7499BF9-105D-453B-8853-8216B767C60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3" authorId="0" shapeId="0" xr:uid="{16882075-CF6F-48DC-BC5C-CDDEA5C556A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3" authorId="0" shapeId="0" xr:uid="{28A988C3-28E4-4F8C-A613-5F690AA5FC8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3" authorId="0" shapeId="0" xr:uid="{43E0C4A3-1610-4E29-BBC0-55EA7AD5E7B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4" authorId="0" shapeId="0" xr:uid="{BA6CF6CD-796A-45F1-80E4-74812E73A85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4" authorId="0" shapeId="0" xr:uid="{3D0DABDF-872A-4BB5-AEA8-6DF9BE4CFC2E}">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4" authorId="0" shapeId="0" xr:uid="{37F638B5-71A5-4A76-906E-AD7B944B3AAD}">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4" authorId="0" shapeId="0" xr:uid="{67DD9316-D0D4-43A4-97FF-A8E523A902B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4" authorId="0" shapeId="0" xr:uid="{9F4FC6CD-9651-480E-BFB6-6E561387C79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5" authorId="0" shapeId="0" xr:uid="{0B7580DB-39C0-4639-934E-A32E8175094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5" authorId="0" shapeId="0" xr:uid="{026DF841-5BDF-465E-B7F8-34DA638247D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5" authorId="0" shapeId="0" xr:uid="{7DBBE526-7493-4768-A93F-D419F0634ED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5" authorId="0" shapeId="0" xr:uid="{07184769-D2D5-40ED-84A0-66E86A7BEC0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5" authorId="0" shapeId="0" xr:uid="{145EC0E5-9C5C-4492-A7C0-B3A760730CEA}">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6" authorId="0" shapeId="0" xr:uid="{14940DA7-C34B-4649-B8F0-80364842653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6" authorId="0" shapeId="0" xr:uid="{E318115C-B665-46CA-BE1B-56D190A825D1}">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6" authorId="0" shapeId="0" xr:uid="{0D91044C-EC70-4602-8D08-4C60136B96FC}">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6" authorId="0" shapeId="0" xr:uid="{A415F679-BAD4-4DBB-AC43-6B0B0622CB85}">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6" authorId="0" shapeId="0" xr:uid="{48C9A026-72A0-48CA-8208-5868899F8E23}">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U107" authorId="0" shapeId="0" xr:uid="{A04A9C58-B25C-4F26-A70A-6C3F3CEED4D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AX107" authorId="0" shapeId="0" xr:uid="{C95F3228-1FCE-46BC-ABB1-452CA5DC22C9}">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A107" authorId="0" shapeId="0" xr:uid="{E8DC55E7-74F1-40ED-AFD6-7B8430E9B6E2}">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D107" authorId="0" shapeId="0" xr:uid="{AF008BB0-96EB-4721-A2D6-32776FA90004}">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 ref="BG107" authorId="0" shapeId="0" xr:uid="{0E02B0B6-FB5A-4344-A3A4-1FC855079836}">
      <text>
        <r>
          <rPr>
            <b/>
            <sz val="9"/>
            <color indexed="81"/>
            <rFont val="Rubik Light"/>
          </rPr>
          <t>Tim Gannon:</t>
        </r>
        <r>
          <rPr>
            <sz val="9"/>
            <color indexed="81"/>
            <rFont val="Rubik Light"/>
          </rPr>
          <t xml:space="preserve">
Font for Check Marks is Wingdings 2.  Use a capital 'P' to create a check.
'P' =</t>
        </r>
        <r>
          <rPr>
            <sz val="9"/>
            <color indexed="81"/>
            <rFont val="Tahoma"/>
            <family val="2"/>
          </rPr>
          <t xml:space="preserve"> </t>
        </r>
        <r>
          <rPr>
            <b/>
            <sz val="12"/>
            <color indexed="81"/>
            <rFont val="Wingdings 2"/>
            <family val="1"/>
            <charset val="2"/>
          </rPr>
          <t>P</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C8EF90-F760-4F8B-9761-4EECD5DEFD21}" keepAlive="1" name="Query - Page001" description="Connection to the 'Page001' query in the workbook." type="5" refreshedVersion="0" background="1" saveData="1">
    <dbPr connection="Provider=Microsoft.Mashup.OleDb.1;Data Source=$Workbook$;Location=Page001;Extended Properties=&quot;&quot;" command="SELECT * FROM [Page001]"/>
  </connection>
  <connection id="2" xr16:uid="{E1F3D9E3-7134-40A0-8061-D963055A61BA}"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<sst xmlns="http://schemas.openxmlformats.org/spreadsheetml/2006/main" count="1786" uniqueCount="324">
  <si>
    <t>EQ Description</t>
  </si>
  <si>
    <t xml:space="preserve">
www.resapower.com</t>
  </si>
  <si>
    <t>MV XFMR TEST RESULT SUMMARY</t>
  </si>
  <si>
    <t>TF-03 Rev.8</t>
  </si>
  <si>
    <t>JOB NUMBER:</t>
  </si>
  <si>
    <t>DATE:</t>
  </si>
  <si>
    <t>TESTING STANDARD</t>
  </si>
  <si>
    <t>P</t>
  </si>
  <si>
    <t xml:space="preserve">  ACCEPTANCE TEST</t>
  </si>
  <si>
    <t>CLIENT NAME:</t>
  </si>
  <si>
    <t>STURGEON ELECTRIC</t>
  </si>
  <si>
    <t>TESTED BY:</t>
  </si>
  <si>
    <t>AP/TD</t>
  </si>
  <si>
    <t xml:space="preserve">  MAINTENANCE TEST</t>
  </si>
  <si>
    <t>SITE/LOCATION:</t>
  </si>
  <si>
    <t>TPG CAT MODERNIZATION</t>
  </si>
  <si>
    <t>APPROVED BY:</t>
  </si>
  <si>
    <t>J. SWENSON</t>
  </si>
  <si>
    <t xml:space="preserve">  PROOF TEST</t>
  </si>
  <si>
    <t>DEVICE ID</t>
  </si>
  <si>
    <t>RATING IN KVA</t>
  </si>
  <si>
    <t>SERIAL NUMBER</t>
  </si>
  <si>
    <t>POWER FACTOR</t>
  </si>
  <si>
    <t>EXCITATION</t>
  </si>
  <si>
    <t>INSULATION RESISTANCE</t>
  </si>
  <si>
    <t>TURNS RATIO</t>
  </si>
  <si>
    <t>WINDING RESISTANCE</t>
  </si>
  <si>
    <t>BUSHINGS &amp; ARRESTERS</t>
  </si>
  <si>
    <t>CURRENT TRANSFORMER</t>
  </si>
  <si>
    <t>OIL ANALYSIS</t>
  </si>
  <si>
    <t>NOTES</t>
  </si>
  <si>
    <t>MV CABLE TEST RESULT SUMMARY</t>
  </si>
  <si>
    <t>CABLE ID</t>
  </si>
  <si>
    <t>LENGTH</t>
  </si>
  <si>
    <t>TYPE/INSULATION</t>
  </si>
  <si>
    <t>RATED VOLTAGE</t>
  </si>
  <si>
    <t>SIZE</t>
  </si>
  <si>
    <t>FORMATION</t>
  </si>
  <si>
    <t>SOURCE LOCATION</t>
  </si>
  <si>
    <t>TERMINATION LOCATION</t>
  </si>
  <si>
    <t>VLF</t>
  </si>
  <si>
    <t>ACCEPTABLE</t>
  </si>
  <si>
    <t>NOT ACCEPTABLE</t>
  </si>
  <si>
    <t>SEE NOTES</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</si>
  <si>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</si>
  <si>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Project Alpha:</t>
  </si>
  <si>
    <t>RESA Power Project Manager: Jason Swenson</t>
  </si>
  <si>
    <t>Enter the name of the Project Lead in cell B3. Enter the Project Start date in cell E3. Project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</si>
  <si>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</si>
  <si>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</si>
  <si>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</si>
  <si>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</si>
  <si>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</si>
  <si>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</si>
  <si>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Task Info</t>
  </si>
  <si>
    <t>Qty on Site</t>
  </si>
  <si>
    <t>Qty Completed</t>
  </si>
  <si>
    <t>Hours / Unit</t>
  </si>
  <si>
    <t>Total Hours</t>
  </si>
  <si>
    <t>Hours Remaining</t>
  </si>
  <si>
    <t>Progress</t>
  </si>
  <si>
    <t>Comments</t>
  </si>
  <si>
    <t>START</t>
  </si>
  <si>
    <t>END</t>
  </si>
  <si>
    <t>DAYS</t>
  </si>
  <si>
    <t xml:space="preserve">Do not delete this row. This row is hidden to preserve a formula that is used to highlight the current day within the project schedule. </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</si>
  <si>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</si>
  <si>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SCOPE 1</t>
  </si>
  <si>
    <t>Sample phase title block</t>
  </si>
  <si>
    <t>SCOPE 2</t>
  </si>
  <si>
    <t>SCOPE 3</t>
  </si>
  <si>
    <t>Total Project Progress:</t>
  </si>
  <si>
    <t>This row marks the end of the Project Schedule. DO NOT enter anything in this row. 
Insert new rows ABOVE this one to continue building out your Project Schedule.</t>
  </si>
  <si>
    <t>Insert new rows ABOVE this one</t>
  </si>
  <si>
    <t>Qty Bid</t>
  </si>
  <si>
    <t>QTY   Complete</t>
  </si>
  <si>
    <t>Hrs/unit</t>
  </si>
  <si>
    <t>Total Hrs</t>
  </si>
  <si>
    <t>QTY Remain.</t>
  </si>
  <si>
    <t>Hours Remain</t>
  </si>
  <si>
    <t>Notes</t>
  </si>
  <si>
    <t>TOTALS</t>
  </si>
  <si>
    <t>C</t>
  </si>
  <si>
    <t>MV BREAKER TEST RESULT SUMMARY</t>
  </si>
  <si>
    <t xml:space="preserve"> BREAKER NAMEPLATE DATA</t>
  </si>
  <si>
    <t>MANUFACTURER:</t>
  </si>
  <si>
    <t>EATON</t>
  </si>
  <si>
    <t>RATED AMPS:</t>
  </si>
  <si>
    <t>BIL (kV):</t>
  </si>
  <si>
    <t>INTERRUPT RATING:</t>
  </si>
  <si>
    <t>40 kA</t>
  </si>
  <si>
    <t>CLOSE/CHG VOLTAGE:</t>
  </si>
  <si>
    <t>120 VAC</t>
  </si>
  <si>
    <t>TYPE:</t>
  </si>
  <si>
    <t>15VCP-W40</t>
  </si>
  <si>
    <t>RATED VOLTS:</t>
  </si>
  <si>
    <t>15 kV</t>
  </si>
  <si>
    <t>WITHSTAND VOLTAGE:</t>
  </si>
  <si>
    <t>95 kV</t>
  </si>
  <si>
    <t>INTERRUPT TIME:</t>
  </si>
  <si>
    <t>50 ms</t>
  </si>
  <si>
    <t>TRIP CKT VOLTAGE:</t>
  </si>
  <si>
    <t>120 VAC (CAP TRIP)</t>
  </si>
  <si>
    <t>TEST &amp; INSPECTION CHECKLIST</t>
  </si>
  <si>
    <t>LOAD SERVED</t>
  </si>
  <si>
    <t>CONTACT RESISTANCE</t>
  </si>
  <si>
    <t>VACUUM BOTTLE INTEGRITY</t>
  </si>
  <si>
    <t>OVERPOTENTIAL</t>
  </si>
  <si>
    <t>TIMING TESTS</t>
  </si>
  <si>
    <t>FUNCTIONAL TESTING</t>
  </si>
  <si>
    <t>BURDEN</t>
  </si>
  <si>
    <t>ACCURACY CLASS</t>
  </si>
  <si>
    <t>MV-01 CT TEST RESULT SUMMARY</t>
  </si>
  <si>
    <t>LV CABLE TEST FORM</t>
  </si>
  <si>
    <t xml:space="preserve"> CABLE NAMEPLATE DATA</t>
  </si>
  <si>
    <t>CABLE INSULATION</t>
  </si>
  <si>
    <t>JACKET</t>
  </si>
  <si>
    <t>LSZH, CPE</t>
  </si>
  <si>
    <t>CONDUCTOR MATERIAL</t>
  </si>
  <si>
    <t>MANUFACTURER</t>
  </si>
  <si>
    <t>LOCATION</t>
  </si>
  <si>
    <t>INDOOR</t>
  </si>
  <si>
    <t>OUTDOOR</t>
  </si>
  <si>
    <t>TEMPERATURE RATING</t>
  </si>
  <si>
    <t>DESCRIPTION</t>
  </si>
  <si>
    <t>PASS</t>
  </si>
  <si>
    <t>FAIL</t>
  </si>
  <si>
    <t>N/A</t>
  </si>
  <si>
    <t>VISUAL INSPECTION</t>
  </si>
  <si>
    <t>NO VISIBLE DAMAGE</t>
  </si>
  <si>
    <t>PHASING OK</t>
  </si>
  <si>
    <t>VERIFIED WITH MULTIMETER</t>
  </si>
  <si>
    <t>TERMINATIONS - CONDITION - INSTALLATION</t>
  </si>
  <si>
    <t>PER MANUFACTURER SPECS</t>
  </si>
  <si>
    <t>TORQUE MARKS PRESENT</t>
  </si>
  <si>
    <t>VERIFIED</t>
  </si>
  <si>
    <t>DRAWING NUMBER:</t>
  </si>
  <si>
    <t>REVISION:</t>
  </si>
  <si>
    <t>INSULATION RESISTANCE &amp; CONTINUITY TEST</t>
  </si>
  <si>
    <t>CABLE RUN DESCRIPTION</t>
  </si>
  <si>
    <t>CONDUCTOR CONT. VERIFIED TO GROUND</t>
  </si>
  <si>
    <t>INSULATION RESISTANCE TEST @ 1kV DC</t>
  </si>
  <si>
    <t>ORIGIN</t>
  </si>
  <si>
    <t>DESTINATION</t>
  </si>
  <si>
    <t>INSULATION</t>
  </si>
  <si>
    <t>SETS</t>
  </si>
  <si>
    <t>A</t>
  </si>
  <si>
    <t>B</t>
  </si>
  <si>
    <t>G</t>
  </si>
  <si>
    <t>N</t>
  </si>
  <si>
    <t>A-G</t>
  </si>
  <si>
    <t>B-G</t>
  </si>
  <si>
    <t>C-G</t>
  </si>
  <si>
    <t>A-N</t>
  </si>
  <si>
    <t>B-N</t>
  </si>
  <si>
    <t>C-N</t>
  </si>
  <si>
    <t>A-B</t>
  </si>
  <si>
    <t>B-C</t>
  </si>
  <si>
    <t>C-A</t>
  </si>
  <si>
    <t>-</t>
  </si>
  <si>
    <t>&gt;2.2</t>
  </si>
  <si>
    <t>EQUIPMENT #</t>
  </si>
  <si>
    <t>155643WFDV</t>
  </si>
  <si>
    <t>TEMPERATURE</t>
  </si>
  <si>
    <t>°C</t>
  </si>
  <si>
    <t>HUMIDITY</t>
  </si>
  <si>
    <t>%</t>
  </si>
  <si>
    <r>
      <t>RESULTS G</t>
    </r>
    <r>
      <rPr>
        <b/>
        <sz val="9"/>
        <rFont val="Arial"/>
        <family val="2"/>
      </rPr>
      <t>Ω</t>
    </r>
  </si>
  <si>
    <t>RESULTS</t>
  </si>
  <si>
    <t>RESA Power Lead Technician: Austin Painter</t>
  </si>
  <si>
    <t>Task 1.1</t>
  </si>
  <si>
    <t>1F0EL-ESWB-01 (480Y/277V, 3000A)</t>
  </si>
  <si>
    <t>Task 1.2</t>
  </si>
  <si>
    <t>LV Circuit Breakers Primary Injection</t>
  </si>
  <si>
    <t>Task 1.3</t>
  </si>
  <si>
    <t>LV ATS' (Hi-Potential &amp; DLRO)</t>
  </si>
  <si>
    <t>Task 1.4</t>
  </si>
  <si>
    <t>Task 1.5</t>
  </si>
  <si>
    <t>Task 1.6</t>
  </si>
  <si>
    <t xml:space="preserve">LV Panelboards </t>
  </si>
  <si>
    <t>LV MCB Secondary Injection</t>
  </si>
  <si>
    <t>Emergency Generator Distribution</t>
  </si>
  <si>
    <t>1F0AS-ESWB-02 (480Y/277V, 2500A)</t>
  </si>
  <si>
    <t>LV Distribution Panel 1F0FO-EHDP-2 01</t>
  </si>
  <si>
    <t>Datacenter Main Distribution</t>
  </si>
  <si>
    <t>LV Isolation-Bypass ATS' (Hi-Potential &amp; DLRO)</t>
  </si>
  <si>
    <t>LV Distribution Boards</t>
  </si>
  <si>
    <t>LV Distribution Panels</t>
  </si>
  <si>
    <t>Emergency Generator Scope</t>
  </si>
  <si>
    <t>A1 Electrical Rooms</t>
  </si>
  <si>
    <t>Task 1.7</t>
  </si>
  <si>
    <t>Unit Substation LV Circuit Breakers (Primary Injection)</t>
  </si>
  <si>
    <t>LV Distribution Panelboards</t>
  </si>
  <si>
    <t>LV Panelboards</t>
  </si>
  <si>
    <t xml:space="preserve">LV Dry-Type Transformer </t>
  </si>
  <si>
    <t>LV Bus Duct</t>
  </si>
  <si>
    <t>LV Bus Duct MCB's (Secondary Injection)</t>
  </si>
  <si>
    <t>A2 Electrical Rooms</t>
  </si>
  <si>
    <t xml:space="preserve"> </t>
  </si>
  <si>
    <t xml:space="preserve">LV Large Dry-Type Transformer </t>
  </si>
  <si>
    <t>1F0AS-SS-A-01 USS 600V Breakers (Primary)</t>
  </si>
  <si>
    <t>1F0AS-SS-A-02 USS 600V Breakers (Primary)</t>
  </si>
  <si>
    <t>1F0AS-SS-B-01 USS 600V Breakers (Primary)</t>
  </si>
  <si>
    <t>1F0AS-SS-B-02 USS 600V Breakers (Primary)</t>
  </si>
  <si>
    <t>1F0AS-SS-B-03 USS 600V Breakers (Primary)</t>
  </si>
  <si>
    <t>1F0AS-SS-B-04 USS 600V Breakers (Primary)</t>
  </si>
  <si>
    <t>1F0AS-SS-B-05 USS 600V Breakers (Primary)</t>
  </si>
  <si>
    <t>1F0AS-SS-C-01 USS 600V Breakers (Primary)</t>
  </si>
  <si>
    <t>1F0AS-SS-C-02 USS 600V Breakers (Primary)</t>
  </si>
  <si>
    <t>1F0AS-SS-C-03 USS 600V Breakers (Primary)</t>
  </si>
  <si>
    <t>1F0AS-SS-C-04 USS 600V Breakers (Primary)</t>
  </si>
  <si>
    <t>1F0EL-SS-A-01 USS 600V Breakers (Primary)</t>
  </si>
  <si>
    <t>1F0EL-SS-A-02 USS 600V Breakers (Primary)</t>
  </si>
  <si>
    <t>1F0EL-SS-A-03 USS 600V Breakers (Primary)</t>
  </si>
  <si>
    <t>1F0EL-SS-A-04 USS 600V Breakers (Primary)</t>
  </si>
  <si>
    <t>1F0EL-SS-B-01 USS 600V Breakers (Primary)</t>
  </si>
  <si>
    <t>1F0EL-SS-B-02 USS 600V Breakers (Primary)</t>
  </si>
  <si>
    <t>1F0EL-SS-B-03 USS 600V Breakers (Primary)</t>
  </si>
  <si>
    <t>1F0EL-SS-B-04 USS 600V Breakers (Primary)</t>
  </si>
  <si>
    <t>1F0EL-SS-C-01 USS 600V Breakers (Primary)</t>
  </si>
  <si>
    <t>1F0EL-SS-C-02 USS 600V Breakers (Primary)</t>
  </si>
  <si>
    <t>1F0EL-SS-C-03 USS 600V Breakers (Primary)</t>
  </si>
  <si>
    <t>1F0EL-SS-D-01 USS 600V Breakers (Primary)</t>
  </si>
  <si>
    <t>1F0EL-SS-D-02 USS 600V Breakers (Primary)</t>
  </si>
  <si>
    <t>1F0EL-SS-D-03 USS 600V Breakers (Primary)</t>
  </si>
  <si>
    <t>1F0FO-SS-A-01 USS 600V Breakers (Primary)</t>
  </si>
  <si>
    <t>1F0FO-SS-A-02 USS 600V Breakers (Primary)</t>
  </si>
  <si>
    <t>1F0FO-SS-A-03 USS 600V Breakers (Primary)</t>
  </si>
  <si>
    <t>1F0FO-SS-A-04 USS 600V Breakers (Primary)</t>
  </si>
  <si>
    <t>1F0FO-SS-B-01 USS 600V Breakers (Primary)</t>
  </si>
  <si>
    <t>1F0FO-SS-B-02 USS 600V Breakers (Primary)</t>
  </si>
  <si>
    <t>1F0FO-SS-B-03 USS 600V Breakers (Primary)</t>
  </si>
  <si>
    <t>1F0FO-SS-B-04 USS 600V Breakers (Primary)</t>
  </si>
  <si>
    <t>SCOPE 5</t>
  </si>
  <si>
    <t>SCOPE 4</t>
  </si>
  <si>
    <t>F1 Electrical Room</t>
  </si>
  <si>
    <t>F2 Electrical Room</t>
  </si>
  <si>
    <t>1F0FO-SS-A-05 USS 600V Breakers (Primary)</t>
  </si>
  <si>
    <t>1F0FO-SS-B-05 USS 600V Breakers (Primary)</t>
  </si>
  <si>
    <t>1F0FO-SS-C-01 USS 600V Breakers (Primary)</t>
  </si>
  <si>
    <t>1F0FO-SS-C-02 USS 600V Breakers (Primary)</t>
  </si>
  <si>
    <t>1F0FO-SS-C-03 USS 600V Breakers (Primary)</t>
  </si>
  <si>
    <t>1F0FO-SS-C-04 USS 600V Breakers (Primary)</t>
  </si>
  <si>
    <t>1F0FO-SS-D-01 USS 600V Breakers (Primary)</t>
  </si>
  <si>
    <t>1F0FO-SS-D-02 USS 600V Breakers (Primary)</t>
  </si>
  <si>
    <t>1F0FO-SS-D-03 USS 600V Breakers (Primary)</t>
  </si>
  <si>
    <t>1F0FO-SS-D-04 USS 600V Breakers (Primary)</t>
  </si>
  <si>
    <t>LV Distribution Panel = &lt;1000 Amps Hi-Potential</t>
  </si>
  <si>
    <t>LV Panelboard = &gt;1000 Amps Insulation Resistance</t>
  </si>
  <si>
    <t>SCOPE 6</t>
  </si>
  <si>
    <t>SCOPE 7</t>
  </si>
  <si>
    <t>LV Switchboards</t>
  </si>
  <si>
    <t>Task 1.8</t>
  </si>
  <si>
    <t>Electrical Single Line 1FO-E653</t>
  </si>
  <si>
    <t>Electrical Single Line 1FO-E654</t>
  </si>
  <si>
    <t>LV Distribution Panel 1F0AS-EHDP-2 02</t>
  </si>
  <si>
    <t>LV Distribution Panel 1F0EL-EHDP-2 01</t>
  </si>
  <si>
    <t>Electrode Room Emergency Distribution</t>
  </si>
  <si>
    <t>2.0 MW Generator &amp; Distribution (Outdoor)</t>
  </si>
  <si>
    <t>A1 &amp; A2 Electrical Room Emergency Distribution</t>
  </si>
  <si>
    <t>F1 &amp; F2 Electrical Room Emergency Distribution</t>
  </si>
  <si>
    <t>1.5 MW Generator &amp; Distribution (Outdoor)</t>
  </si>
  <si>
    <t>E Electrical Room</t>
  </si>
  <si>
    <t>Electrode Room Point-to-Point</t>
  </si>
  <si>
    <t>IT Room Point-to-Point</t>
  </si>
  <si>
    <t>Task 1.9</t>
  </si>
  <si>
    <t>Equipment Grounding P-T-P</t>
  </si>
  <si>
    <t>Electrode Room P-T-P</t>
  </si>
  <si>
    <t>IT Room P-T-P</t>
  </si>
  <si>
    <t>Future</t>
  </si>
  <si>
    <t>Datacenter Distribution Scope</t>
  </si>
  <si>
    <t>E Elec Room Scope</t>
  </si>
  <si>
    <t>A2 Elec Room Scope</t>
  </si>
  <si>
    <t>A1 Elec Room Scope</t>
  </si>
  <si>
    <t>F1 Elec Room Scope</t>
  </si>
  <si>
    <t>Drawing</t>
  </si>
  <si>
    <t>1FO-E633</t>
  </si>
  <si>
    <t>1FO-E634</t>
  </si>
  <si>
    <t>1FO-E635</t>
  </si>
  <si>
    <t>1FO-E636</t>
  </si>
  <si>
    <t>1FO-E637</t>
  </si>
  <si>
    <t>1FO-E638</t>
  </si>
  <si>
    <t>1FO-E639</t>
  </si>
  <si>
    <t>1FO-E640</t>
  </si>
  <si>
    <t>1FO-E641</t>
  </si>
  <si>
    <t>1FO-E642</t>
  </si>
  <si>
    <t>1FO-E643</t>
  </si>
  <si>
    <t>1FO-E644</t>
  </si>
  <si>
    <t>1FO-E645</t>
  </si>
  <si>
    <t>1FO-E646</t>
  </si>
  <si>
    <t>1FO-E616</t>
  </si>
  <si>
    <t>1FO-E626</t>
  </si>
  <si>
    <t>1FO-E647</t>
  </si>
  <si>
    <t>1FO-E648</t>
  </si>
  <si>
    <t>1FO-E649</t>
  </si>
  <si>
    <t>LV MCB Secondary Injection = &gt;250 Amps</t>
  </si>
  <si>
    <t>1FO-E620</t>
  </si>
  <si>
    <t>1FO-E621</t>
  </si>
  <si>
    <t>1FO-E624</t>
  </si>
  <si>
    <t>1FO-E629</t>
  </si>
  <si>
    <t>1FO-E628</t>
  </si>
  <si>
    <t>1FO-E625</t>
  </si>
  <si>
    <t>1FO-E627</t>
  </si>
  <si>
    <t>1FO-E630</t>
  </si>
  <si>
    <t>1FO-E631</t>
  </si>
  <si>
    <t>1FO-E632</t>
  </si>
  <si>
    <t>1FO-E602</t>
  </si>
  <si>
    <t>1FO-E605</t>
  </si>
  <si>
    <t>1FO-E609</t>
  </si>
  <si>
    <t>1FO-E603</t>
  </si>
  <si>
    <t>1FO-E604</t>
  </si>
  <si>
    <t>1FO-E607</t>
  </si>
  <si>
    <t>1FO-E608</t>
  </si>
  <si>
    <t>1FO-E610</t>
  </si>
  <si>
    <t>1FO-E611</t>
  </si>
  <si>
    <t>1FO-E612</t>
  </si>
  <si>
    <t>1FO-E613</t>
  </si>
  <si>
    <t>1FO-E617</t>
  </si>
  <si>
    <t>1FO-E619</t>
  </si>
  <si>
    <t>F2 Elec Room Scope</t>
  </si>
  <si>
    <t>1FO-E601</t>
  </si>
  <si>
    <t>Total</t>
  </si>
  <si>
    <t>Remaining</t>
  </si>
  <si>
    <t>LV 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</si>
</sst>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
    <numFmt numFmtId="165" formatCode="[$-1009]d/mmm/yy;@"/>
    <numFmt numFmtId="166" formatCode="ddd\,\ m/d/yyyy"/>
    <numFmt numFmtId="167" formatCode="mmm\ d\,\ yyyy"/>
    <numFmt numFmtId="168" formatCode="d"/>
    <numFmt numFmtId="169" formatCode="m/d/yy;@"/>
  </numFmts>
  <fonts count="7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0"/>
      <color indexed="12"/>
      <name val="Arial"/>
      <family val="2"/>
    </font>
    <font>
      <sz val="10"/>
      <name val="MS Sans Serif"/>
      <family val="2"/>
    </font>
    <font>
      <b/>
      <sz val="12"/>
      <name val="Wingdings 2"/>
      <family val="1"/>
      <charset val="2"/>
    </font>
    <font>
      <b/>
      <sz val="9"/>
      <color indexed="81"/>
      <name val="Rubik Light"/>
    </font>
    <font>
      <sz val="9"/>
      <color indexed="81"/>
      <name val="Rubik Light"/>
    </font>
    <font>
      <sz val="9"/>
      <color indexed="81"/>
      <name val="Tahoma"/>
      <family val="2"/>
    </font>
    <font>
      <b/>
      <sz val="12"/>
      <color indexed="81"/>
      <name val="Wingdings 2"/>
      <family val="1"/>
      <charset val="2"/>
    </font>
    <font>
      <sz val="10"/>
      <name val="Arial"/>
      <family val="2"/>
    </font>
    <font>
      <b/>
      <sz val="18"/>
      <color theme="0"/>
      <name val="Arial"/>
      <family val="2"/>
    </font>
    <font>
      <b/>
      <sz val="11"/>
      <color theme="0"/>
      <name val="Arial"/>
      <family val="2"/>
    </font>
    <font>
      <sz val="8"/>
      <name val="Arial"/>
      <family val="2"/>
    </font>
    <font>
      <b/>
      <sz val="8"/>
      <name val="Arial"/>
      <family val="2"/>
    </font>
    <font>
      <b/>
      <sz val="8"/>
      <color theme="3" tint="0.39997558519241921"/>
      <name val="Arial"/>
      <family val="2"/>
    </font>
    <font>
      <b/>
      <sz val="8"/>
      <color theme="1"/>
      <name val="Arial"/>
      <family val="2"/>
    </font>
    <font>
      <b/>
      <sz val="10"/>
      <name val="Arial"/>
      <family val="2"/>
    </font>
    <font>
      <sz val="8"/>
      <name val="Arial"/>
      <family val="2"/>
    </font>
    <font>
      <b/>
      <sz val="12"/>
      <name val="Arial"/>
      <family val="2"/>
    </font>
    <font>
      <sz val="11"/>
      <color theme="0"/>
      <name val="Calibri"/>
      <family val="2"/>
      <scheme val="minor"/>
    </font>
    <font>
      <b/>
      <sz val="22"/>
      <color theme="1" tint="0.34998626667073579"/>
      <name val="Cambria"/>
      <family val="2"/>
      <scheme val="major"/>
    </font>
    <font>
      <b/>
      <sz val="20"/>
      <color theme="4" tint="-0.249977111117893"/>
      <name val="Cambria"/>
      <family val="2"/>
      <scheme val="major"/>
    </font>
    <font>
      <sz val="10"/>
      <name val="Calibri"/>
      <family val="2"/>
      <scheme val="minor"/>
    </font>
    <font>
      <b/>
      <sz val="11"/>
      <name val="Calibri"/>
      <family val="2"/>
      <scheme val="minor"/>
    </font>
    <font>
      <sz val="14"/>
      <color theme="1"/>
      <name val="Calibri"/>
      <family val="2"/>
      <scheme val="minor"/>
    </font>
    <font>
      <b/>
      <sz val="14"/>
      <color theme="1"/>
      <name val="Calibri"/>
      <family val="2"/>
      <scheme val="minor"/>
    </font>
    <font>
      <u/>
      <sz val="11"/>
      <color indexed="12"/>
      <name val="Arial"/>
      <family val="2"/>
    </font>
    <font>
      <sz val="11"/>
      <name val="Calibri"/>
      <family val="2"/>
      <scheme val="minor"/>
    </font>
    <font>
      <b/>
      <sz val="16"/>
      <color theme="1"/>
      <name val="Calibri"/>
      <family val="2"/>
      <scheme val="minor"/>
    </font>
    <font>
      <b/>
      <sz val="16"/>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sz val="12"/>
      <color theme="1"/>
      <name val="Calibri"/>
      <family val="2"/>
      <scheme val="minor"/>
    </font>
    <font>
      <b/>
      <sz val="8"/>
      <name val="Wingdings 2"/>
      <family val="1"/>
      <charset val="2"/>
    </font>
    <font>
      <sz val="8"/>
      <name val="Symbol"/>
      <family val="1"/>
      <charset val="2"/>
    </font>
    <font>
      <b/>
      <sz val="8"/>
      <color rgb="FFFF0000"/>
      <name val="Arial"/>
      <family val="2"/>
    </font>
    <font>
      <b/>
      <sz val="8"/>
      <color theme="3" tint="-0.249977111117893"/>
      <name val="Arial"/>
      <family val="2"/>
    </font>
    <font>
      <b/>
      <sz val="8"/>
      <color rgb="FF00B050"/>
      <name val="Arial"/>
      <family val="2"/>
    </font>
    <font>
      <b/>
      <sz val="8"/>
      <color theme="0"/>
      <name val="Arial"/>
      <family val="2"/>
    </font>
    <font>
      <b/>
      <sz val="9"/>
      <name val="Arial"/>
      <family val="2"/>
    </font>
    <font>
      <b/>
      <sz val="11"/>
      <color theme="0"/>
      <name val="Calibri"/>
      <family val="2"/>
      <scheme val="minor"/>
    </font>
    <font>
      <sz val="16"/>
      <color theme="1"/>
      <name val="Calibri"/>
      <family val="2"/>
      <scheme val="minor"/>
    </font>
    <font>
      <sz val="16"/>
      <name val="Calibri"/>
      <family val="2"/>
      <scheme val="minor"/>
    </font>
    <font>
      <sz val="12"/>
      <name val="Calibri"/>
      <family val="2"/>
      <scheme val="minor"/>
    </font>
    <font>
      <b/>
      <sz val="7"/>
      <name val="Arial"/>
      <family val="2"/>
    </font>
    <font>
      <b/>
      <sz val="11"/>
      <color theme="1"/>
      <name val="Calibri"/>
      <family val="2"/>
      <scheme val="minor"/>
    </font>
    <font>
      <b/>
      <sz val="12"/>
      <name val="Calibri"/>
      <family val="2"/>
      <scheme val="minor"/>
    </font>
    <font>
      <sz val="42"/>
      <color theme="2" tint="-0.499984740745262"/>
      <name val="Calibri"/>
      <family val="2"/>
      <scheme val="minor"/>
    </font>
    <font>
      <b/>
      <sz val="10"/>
      <color theme="1"/>
      <name val="Calibri"/>
      <family val="2"/>
      <scheme val="minor"/>
    </font>
    <font>
      <sz val="10"/>
      <color theme="1"/>
      <name val="Calibri"/>
      <family val="2"/>
      <scheme val="minor"/>
    </font>
    <font>
      <sz val="42"/>
      <color rgb="FF64A416"/>
      <name val="Calibri"/>
      <family val="2"/>
      <scheme val="minor"/>
    </font>
    <font>
      <sz val="10"/>
      <color rgb="FF000000"/>
      <name val="Times New Roman"/>
      <family val="1"/>
    </font>
    <font>
      <b/>
      <sz val="11"/>
      <color rgb="FF0C5485"/>
      <name val="Calibri"/>
      <family val="2"/>
      <scheme val="minor"/>
    </font>
    <font>
      <b/>
      <sz val="10"/>
      <color theme="0"/>
      <name val="Arial"/>
      <family val="2"/>
    </font>
    <font>
      <b/>
      <sz val="11"/>
      <color rgb="FFFF0000"/>
      <name val="Calibri"/>
      <family val="2"/>
      <scheme val="minor"/>
    </font>
    <font>
      <sz val="10"/>
      <color theme="0"/>
      <name val="Arial"/>
      <family val="2"/>
    </font>
    <font>
      <sz val="11"/>
      <color theme="3" tint="0.39997558519241921"/>
      <name val="Calibri"/>
      <family val="2"/>
      <scheme val="minor"/>
    </font>
    <font>
      <b/>
      <sz val="11"/>
      <color theme="3" tint="0.39997558519241921"/>
      <name val="Calibri"/>
      <family val="2"/>
      <scheme val="minor"/>
    </font>
    <font>
      <sz val="11"/>
      <color theme="1"/>
      <name val="Arial"/>
      <family val="2"/>
    </font>
    <font>
      <b/>
      <sz val="11"/>
      <color theme="1"/>
      <name val="Arial"/>
      <family val="2"/>
    </font>
  </fonts>
  <fills count="24">
    <fill>
      <patternFill patternType="none"/>
    </fill>
    <fill>
      <patternFill patternType="gray125"/>
    </fill>
    <fill>
      <patternFill patternType="solid">
        <fgColor theme="8" tint="0.39997558519241921"/>
        <bgColor indexed="64"/>
      </patternFill>
    </fill>
    <fill>
      <patternFill patternType="solid">
        <fgColor rgb="FF0054A5"/>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0C5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s>
  <borders count="5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medium">
        <color auto="1"/>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medium">
        <color auto="1"/>
      </left>
      <right style="thin">
        <color auto="1"/>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bottom/>
      <diagonal/>
    </border>
    <border>
      <left style="thin">
        <color auto="1"/>
      </left>
      <right style="thin">
        <color auto="1"/>
      </right>
      <top style="medium">
        <color auto="1"/>
      </top>
      <bottom style="thin">
        <color auto="1"/>
      </bottom>
      <diagonal/>
    </border>
    <border>
      <left style="thin">
        <color auto="1"/>
      </left>
      <right/>
      <top/>
      <bottom/>
      <diagonal/>
    </border>
    <border>
      <left/>
      <right style="thin">
        <color auto="1"/>
      </right>
      <top/>
      <bottom/>
      <diagonal/>
    </border>
    <border>
      <left/>
      <right/>
      <top style="medium">
        <color theme="0" tint="-0.14996795556505021"/>
      </top>
      <bottom/>
      <diagonal/>
    </border>
    <border>
      <left/>
      <right/>
      <top/>
      <bottom style="medium">
        <color theme="0" tint="-0.14996795556505021"/>
      </bottom>
      <diagonal/>
    </border>
    <border>
      <left/>
      <right/>
      <top style="medium">
        <color theme="0" tint="-0.14993743705557422"/>
      </top>
      <bottom style="medium">
        <color theme="0" tint="-0.14993743705557422"/>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7">
    <xf numFmtId="0" fontId="0" fillId="0" borderId="0"/>
    <xf numFmtId="0" fontId="14" fillId="0" borderId="0" applyNumberFormat="0" applyFill="0" applyBorder="0" applyAlignment="0" applyProtection="0">
      <alignment vertical="top"/>
      <protection locked="0"/>
    </xf>
    <xf numFmtId="0" fontId="15" fillId="0" borderId="0"/>
    <xf numFmtId="0" fontId="31" fillId="0" borderId="0"/>
    <xf numFmtId="0" fontId="13" fillId="0" borderId="0"/>
    <xf numFmtId="0" fontId="32" fillId="0" borderId="0" applyNumberFormat="0" applyFill="0" applyBorder="0" applyAlignment="0" applyProtection="0"/>
    <xf numFmtId="0" fontId="36" fillId="0" borderId="0" applyNumberFormat="0" applyFill="0" applyAlignment="0" applyProtection="0"/>
    <xf numFmtId="0" fontId="38" fillId="0" borderId="0" applyNumberFormat="0" applyFill="0" applyBorder="0" applyAlignment="0" applyProtection="0">
      <alignment vertical="top"/>
      <protection locked="0"/>
    </xf>
    <xf numFmtId="0" fontId="36" fillId="0" borderId="0" applyNumberFormat="0" applyFill="0" applyProtection="0">
      <alignment vertical="top"/>
    </xf>
    <xf numFmtId="0" fontId="13" fillId="0" borderId="0" applyNumberFormat="0" applyFill="0" applyProtection="0">
      <alignment horizontal="right" indent="1"/>
    </xf>
    <xf numFmtId="166" fontId="13" fillId="0" borderId="26">
      <alignment horizontal="center" vertical="center"/>
    </xf>
    <xf numFmtId="0" fontId="13" fillId="0" borderId="34" applyFill="0">
      <alignment horizontal="center" vertical="center"/>
    </xf>
    <xf numFmtId="9" fontId="13" fillId="0" borderId="0" applyFont="0" applyFill="0" applyBorder="0" applyAlignment="0" applyProtection="0"/>
    <xf numFmtId="0" fontId="13" fillId="0" borderId="34" applyFill="0">
      <alignment horizontal="left" vertical="center" indent="2"/>
    </xf>
    <xf numFmtId="169" fontId="13" fillId="0" borderId="34" applyFill="0">
      <alignment horizontal="center" vertical="center"/>
    </xf>
    <xf numFmtId="0" fontId="46" fillId="0" borderId="0"/>
    <xf numFmtId="0" fontId="12" fillId="0" borderId="0"/>
    <xf numFmtId="9" fontId="12" fillId="0" borderId="0" applyFont="0" applyFill="0" applyBorder="0" applyAlignment="0" applyProtection="0"/>
    <xf numFmtId="43" fontId="12" fillId="0" borderId="26" applyFont="0" applyFill="0" applyAlignment="0" applyProtection="0"/>
    <xf numFmtId="0" fontId="12" fillId="0" borderId="0" applyNumberFormat="0" applyFill="0" applyProtection="0">
      <alignment horizontal="right" indent="1"/>
    </xf>
    <xf numFmtId="166" fontId="12" fillId="0" borderId="26">
      <alignment horizontal="center" vertical="center"/>
    </xf>
    <xf numFmtId="169" fontId="12" fillId="0" borderId="34" applyFill="0">
      <alignment horizontal="center" vertical="center"/>
    </xf>
    <xf numFmtId="0" fontId="12" fillId="0" borderId="34" applyFill="0">
      <alignment horizontal="center" vertical="center"/>
    </xf>
    <xf numFmtId="0" fontId="12" fillId="0" borderId="34" applyFill="0">
      <alignment horizontal="left" vertical="center" indent="2"/>
    </xf>
    <xf numFmtId="0" fontId="10" fillId="0" borderId="0"/>
    <xf numFmtId="0" fontId="65" fillId="0" borderId="0"/>
    <xf numFmtId="9" fontId="8" fillId="0" borderId="0" applyFont="0" applyFill="0" applyBorder="0" applyAlignment="0" applyProtection="0"/>
  </cellStyleXfs>
  <cellXfs count="499">
    <xf numFmtId="0" fontId="0" fillId="0" borderId="0" xfId="0"/>
    <xf numFmtId="0" fontId="21" fillId="0" borderId="0" xfId="0" applyFont="1"/>
    <xf numFmtId="0" fontId="24" fillId="0" borderId="0" xfId="0" applyFont="1" applyAlignment="1" applyProtection="1">
      <alignment horizontal="left" vertical="center"/>
      <protection locked="0"/>
    </xf>
    <xf numFmtId="0" fontId="21" fillId="0" borderId="1" xfId="0" applyFont="1" applyBorder="1" applyProtection="1">
      <protection locked="0"/>
    </xf>
    <xf numFmtId="0" fontId="25" fillId="0" borderId="0" xfId="0" applyFont="1" applyAlignment="1" applyProtection="1">
      <alignment horizontal="center" vertical="center"/>
      <protection locked="0"/>
    </xf>
    <xf numFmtId="0" fontId="24" fillId="0" borderId="0" xfId="0" applyFont="1" applyAlignment="1" applyProtection="1">
      <alignment vertical="center"/>
      <protection locked="0"/>
    </xf>
    <xf numFmtId="0" fontId="24" fillId="0" borderId="1" xfId="0" applyFont="1" applyBorder="1" applyProtection="1">
      <protection locked="0"/>
    </xf>
    <xf numFmtId="0" fontId="21" fillId="0" borderId="2" xfId="0" applyFont="1" applyBorder="1"/>
    <xf numFmtId="0" fontId="21" fillId="0" borderId="1" xfId="0" applyFont="1" applyBorder="1" applyAlignment="1" applyProtection="1">
      <alignment horizontal="center"/>
      <protection locked="0"/>
    </xf>
    <xf numFmtId="49" fontId="26" fillId="0" borderId="0" xfId="2" applyNumberFormat="1" applyFont="1" applyAlignment="1">
      <alignment horizontal="center" vertical="center"/>
    </xf>
    <xf numFmtId="2" fontId="24" fillId="0" borderId="0" xfId="2" applyNumberFormat="1" applyFont="1" applyAlignment="1">
      <alignment horizontal="center" vertical="center"/>
    </xf>
    <xf numFmtId="0" fontId="25" fillId="0" borderId="0" xfId="2" applyFont="1" applyAlignment="1">
      <alignment vertical="center"/>
    </xf>
    <xf numFmtId="0" fontId="21" fillId="0" borderId="0" xfId="0" applyFont="1" applyAlignment="1">
      <alignment horizontal="center"/>
    </xf>
    <xf numFmtId="0" fontId="21" fillId="0" borderId="4" xfId="0" applyFont="1" applyBorder="1"/>
    <xf numFmtId="0" fontId="21" fillId="0" borderId="5" xfId="0" applyFont="1" applyBorder="1"/>
    <xf numFmtId="0" fontId="21" fillId="0" borderId="0" xfId="0" applyFont="1" applyProtection="1">
      <protection locked="0"/>
    </xf>
    <xf numFmtId="0" fontId="25" fillId="0" borderId="0" xfId="0" applyFont="1" applyAlignment="1" applyProtection="1">
      <alignment vertical="center"/>
      <protection locked="0"/>
    </xf>
    <xf numFmtId="0" fontId="21" fillId="0" borderId="0" xfId="0" applyFont="1" applyAlignment="1" applyProtection="1">
      <alignment horizontal="center"/>
      <protection locked="0"/>
    </xf>
    <xf numFmtId="0" fontId="24" fillId="0" borderId="0" xfId="0" applyFont="1" applyAlignment="1">
      <alignment vertical="center"/>
    </xf>
    <xf numFmtId="0" fontId="25" fillId="0" borderId="0" xfId="0" applyFont="1" applyAlignment="1">
      <alignment vertical="center"/>
    </xf>
    <xf numFmtId="0" fontId="24" fillId="0" borderId="0" xfId="0" applyFont="1" applyAlignment="1">
      <alignment vertical="top" wrapText="1"/>
    </xf>
    <xf numFmtId="164" fontId="24" fillId="0" borderId="0" xfId="0" applyNumberFormat="1" applyFont="1" applyAlignment="1">
      <alignment vertical="center"/>
    </xf>
    <xf numFmtId="0" fontId="16" fillId="0" borderId="0" xfId="0" applyFont="1" applyAlignment="1">
      <alignment vertical="center"/>
    </xf>
    <xf numFmtId="0" fontId="25" fillId="0" borderId="2" xfId="0" applyFont="1" applyBorder="1" applyAlignment="1" applyProtection="1">
      <alignment horizontal="center" vertical="center"/>
      <protection locked="0"/>
    </xf>
    <xf numFmtId="2" fontId="24" fillId="0" borderId="2" xfId="2" applyNumberFormat="1" applyFont="1" applyBorder="1" applyAlignment="1">
      <alignment horizontal="center" vertical="center"/>
    </xf>
    <xf numFmtId="0" fontId="21" fillId="0" borderId="3" xfId="0" applyFont="1" applyBorder="1" applyProtection="1">
      <protection locked="0"/>
    </xf>
    <xf numFmtId="0" fontId="24" fillId="0" borderId="4" xfId="0" applyFont="1" applyBorder="1" applyAlignment="1" applyProtection="1">
      <alignment vertical="center"/>
      <protection locked="0"/>
    </xf>
    <xf numFmtId="0" fontId="30" fillId="0" borderId="0" xfId="0" applyFont="1" applyAlignment="1">
      <alignment horizontal="center" vertical="center"/>
    </xf>
    <xf numFmtId="0" fontId="31" fillId="0" borderId="0" xfId="3"/>
    <xf numFmtId="0" fontId="13" fillId="0" borderId="0" xfId="4" applyAlignment="1">
      <alignment horizontal="center"/>
    </xf>
    <xf numFmtId="0" fontId="13" fillId="0" borderId="0" xfId="4"/>
    <xf numFmtId="0" fontId="31" fillId="0" borderId="0" xfId="3" applyAlignment="1">
      <alignment wrapText="1"/>
    </xf>
    <xf numFmtId="0" fontId="34" fillId="0" borderId="0" xfId="4" applyFont="1"/>
    <xf numFmtId="0" fontId="34" fillId="0" borderId="0" xfId="4" applyFont="1" applyAlignment="1">
      <alignment horizontal="center"/>
    </xf>
    <xf numFmtId="0" fontId="34" fillId="0" borderId="0" xfId="4" applyFont="1" applyAlignment="1">
      <alignment horizontal="center" vertical="center"/>
    </xf>
    <xf numFmtId="0" fontId="35" fillId="0" borderId="0" xfId="4" applyFont="1"/>
    <xf numFmtId="0" fontId="21" fillId="0" borderId="0" xfId="7" applyFont="1" applyProtection="1">
      <alignment vertical="top"/>
    </xf>
    <xf numFmtId="0" fontId="13" fillId="0" borderId="25" xfId="9" applyBorder="1">
      <alignment horizontal="right" indent="1"/>
    </xf>
    <xf numFmtId="0" fontId="13" fillId="0" borderId="33" xfId="4" applyBorder="1" applyAlignment="1">
      <alignment vertical="center"/>
    </xf>
    <xf numFmtId="0" fontId="39" fillId="0" borderId="34" xfId="4" applyFont="1" applyBorder="1" applyAlignment="1">
      <alignment horizontal="center" vertical="center"/>
    </xf>
    <xf numFmtId="0" fontId="13" fillId="0" borderId="0" xfId="4" applyAlignment="1">
      <alignment vertical="center"/>
    </xf>
    <xf numFmtId="0" fontId="13" fillId="0" borderId="33" xfId="4" applyBorder="1" applyAlignment="1">
      <alignment horizontal="right" vertical="center"/>
    </xf>
    <xf numFmtId="9" fontId="39" fillId="4" borderId="34" xfId="12" applyFont="1" applyFill="1" applyBorder="1" applyAlignment="1">
      <alignment horizontal="center" vertical="center"/>
    </xf>
    <xf numFmtId="169" fontId="13" fillId="4" borderId="34" xfId="14" applyFill="1">
      <alignment horizontal="center" vertical="center"/>
    </xf>
    <xf numFmtId="0" fontId="42" fillId="12" borderId="34" xfId="4" applyFont="1" applyFill="1" applyBorder="1" applyAlignment="1">
      <alignment horizontal="left" vertical="center" indent="1"/>
    </xf>
    <xf numFmtId="0" fontId="42" fillId="12" borderId="34" xfId="4" applyFont="1" applyFill="1" applyBorder="1" applyAlignment="1">
      <alignment horizontal="center" vertical="center"/>
    </xf>
    <xf numFmtId="0" fontId="13" fillId="12" borderId="34" xfId="11" applyFill="1" applyAlignment="1">
      <alignment horizontal="center" vertical="center" wrapText="1"/>
    </xf>
    <xf numFmtId="9" fontId="39" fillId="12" borderId="34" xfId="12" applyFont="1" applyFill="1" applyBorder="1" applyAlignment="1">
      <alignment horizontal="center" vertical="center"/>
    </xf>
    <xf numFmtId="169" fontId="43" fillId="12" borderId="34" xfId="4" applyNumberFormat="1" applyFont="1" applyFill="1" applyBorder="1" applyAlignment="1">
      <alignment horizontal="left" vertical="center"/>
    </xf>
    <xf numFmtId="169" fontId="39" fillId="12" borderId="34" xfId="4" applyNumberFormat="1" applyFont="1" applyFill="1" applyBorder="1" applyAlignment="1">
      <alignment horizontal="center" vertical="center"/>
    </xf>
    <xf numFmtId="0" fontId="39" fillId="12" borderId="34" xfId="4" applyFont="1" applyFill="1" applyBorder="1" applyAlignment="1">
      <alignment horizontal="center" vertical="center"/>
    </xf>
    <xf numFmtId="0" fontId="13" fillId="12" borderId="33" xfId="4" applyFill="1" applyBorder="1" applyAlignment="1">
      <alignment vertical="center"/>
    </xf>
    <xf numFmtId="0" fontId="13" fillId="0" borderId="0" xfId="4" applyAlignment="1">
      <alignment horizontal="right" vertical="center"/>
    </xf>
    <xf numFmtId="0" fontId="44" fillId="0" borderId="0" xfId="4" applyFont="1"/>
    <xf numFmtId="0" fontId="31" fillId="0" borderId="0" xfId="4" applyFont="1" applyAlignment="1">
      <alignment horizontal="center"/>
    </xf>
    <xf numFmtId="0" fontId="45" fillId="0" borderId="0" xfId="7" applyFont="1" applyAlignment="1" applyProtection="1"/>
    <xf numFmtId="0" fontId="24" fillId="0" borderId="2" xfId="0" applyFont="1" applyBorder="1" applyAlignment="1" applyProtection="1">
      <alignment vertical="center"/>
      <protection locked="0"/>
    </xf>
    <xf numFmtId="0" fontId="30" fillId="0" borderId="0" xfId="0" applyFont="1" applyAlignment="1">
      <alignment horizontal="center" vertical="center" wrapText="1"/>
    </xf>
    <xf numFmtId="0" fontId="24" fillId="0" borderId="0" xfId="0" applyFont="1" applyAlignment="1">
      <alignment horizontal="center" vertical="center"/>
    </xf>
    <xf numFmtId="0" fontId="21" fillId="0" borderId="1" xfId="0" applyFont="1" applyBorder="1"/>
    <xf numFmtId="0" fontId="25" fillId="0" borderId="1" xfId="2" applyFont="1" applyBorder="1" applyAlignment="1" applyProtection="1">
      <alignment vertical="center"/>
      <protection locked="0"/>
    </xf>
    <xf numFmtId="0" fontId="25" fillId="0" borderId="0" xfId="2" applyFont="1" applyAlignment="1" applyProtection="1">
      <alignment vertical="center"/>
      <protection locked="0"/>
    </xf>
    <xf numFmtId="0" fontId="24" fillId="0" borderId="0" xfId="0" applyFont="1" applyAlignment="1" applyProtection="1">
      <alignment horizontal="center" vertical="center"/>
      <protection locked="0"/>
    </xf>
    <xf numFmtId="2" fontId="24" fillId="0" borderId="0" xfId="0" applyNumberFormat="1" applyFont="1" applyAlignment="1" applyProtection="1">
      <alignment horizontal="center" vertical="center"/>
      <protection locked="0"/>
    </xf>
    <xf numFmtId="0" fontId="25" fillId="0" borderId="1" xfId="2" applyFont="1" applyBorder="1" applyAlignment="1" applyProtection="1">
      <alignment horizontal="center" vertical="center"/>
      <protection locked="0"/>
    </xf>
    <xf numFmtId="0" fontId="25" fillId="0" borderId="0" xfId="2" applyFont="1" applyAlignment="1" applyProtection="1">
      <alignment horizontal="center" vertical="center"/>
      <protection locked="0"/>
    </xf>
    <xf numFmtId="0" fontId="25" fillId="0" borderId="35" xfId="0" applyFont="1" applyBorder="1" applyAlignment="1">
      <alignment vertical="center"/>
    </xf>
    <xf numFmtId="0" fontId="25" fillId="0" borderId="1" xfId="0" applyFont="1" applyBorder="1" applyAlignment="1">
      <alignment vertical="center"/>
    </xf>
    <xf numFmtId="0" fontId="32" fillId="0" borderId="0" xfId="5" applyFill="1" applyAlignment="1">
      <alignment horizontal="left"/>
    </xf>
    <xf numFmtId="0" fontId="33" fillId="0" borderId="0" xfId="4" applyFont="1" applyAlignment="1">
      <alignment horizontal="left"/>
    </xf>
    <xf numFmtId="0" fontId="54" fillId="6" borderId="28" xfId="4" applyFont="1" applyFill="1" applyBorder="1" applyAlignment="1">
      <alignment horizontal="center" vertical="center" wrapText="1"/>
    </xf>
    <xf numFmtId="168" fontId="39" fillId="5" borderId="31" xfId="4" applyNumberFormat="1" applyFont="1" applyFill="1" applyBorder="1" applyAlignment="1">
      <alignment horizontal="center" vertical="center"/>
    </xf>
    <xf numFmtId="168" fontId="39" fillId="5" borderId="0" xfId="4" applyNumberFormat="1" applyFont="1" applyFill="1" applyAlignment="1">
      <alignment horizontal="center" vertical="center"/>
    </xf>
    <xf numFmtId="168" fontId="39" fillId="5" borderId="25" xfId="4" applyNumberFormat="1" applyFont="1" applyFill="1" applyBorder="1" applyAlignment="1">
      <alignment horizontal="center" vertical="center"/>
    </xf>
    <xf numFmtId="0" fontId="31" fillId="7" borderId="32" xfId="4" applyFont="1" applyFill="1" applyBorder="1" applyAlignment="1">
      <alignment horizontal="center" vertical="center" shrinkToFit="1"/>
    </xf>
    <xf numFmtId="0" fontId="37" fillId="0" borderId="0" xfId="6" applyFont="1" applyFill="1" applyAlignment="1">
      <alignment horizontal="left" vertical="center"/>
    </xf>
    <xf numFmtId="0" fontId="11" fillId="0" borderId="0" xfId="15" applyFont="1"/>
    <xf numFmtId="0" fontId="59" fillId="0" borderId="0" xfId="15" applyFont="1" applyAlignment="1">
      <alignment horizontal="center" vertical="center" wrapText="1"/>
    </xf>
    <xf numFmtId="0" fontId="11" fillId="0" borderId="0" xfId="15" applyFont="1" applyAlignment="1">
      <alignment wrapText="1"/>
    </xf>
    <xf numFmtId="0" fontId="59" fillId="0" borderId="0" xfId="15" applyFont="1"/>
    <xf numFmtId="0" fontId="59" fillId="0" borderId="0" xfId="15" applyFont="1" applyAlignment="1">
      <alignment horizontal="center"/>
    </xf>
    <xf numFmtId="0" fontId="11" fillId="0" borderId="0" xfId="15" applyFont="1" applyAlignment="1">
      <alignment horizontal="center" vertical="center"/>
    </xf>
    <xf numFmtId="0" fontId="36" fillId="0" borderId="0" xfId="9" applyFont="1" applyFill="1" applyAlignment="1"/>
    <xf numFmtId="0" fontId="61" fillId="0" borderId="9" xfId="15" applyFont="1" applyBorder="1" applyAlignment="1">
      <alignment vertical="center"/>
    </xf>
    <xf numFmtId="0" fontId="54" fillId="13" borderId="6" xfId="15" applyFont="1" applyFill="1" applyBorder="1" applyAlignment="1">
      <alignment horizontal="center"/>
    </xf>
    <xf numFmtId="0" fontId="54" fillId="13" borderId="6" xfId="15" applyFont="1" applyFill="1" applyBorder="1" applyAlignment="1">
      <alignment horizontal="center" vertical="center"/>
    </xf>
    <xf numFmtId="0" fontId="54" fillId="13" borderId="8" xfId="15" applyFont="1" applyFill="1" applyBorder="1" applyAlignment="1">
      <alignment horizontal="center"/>
    </xf>
    <xf numFmtId="0" fontId="54" fillId="13" borderId="39" xfId="15" applyFont="1" applyFill="1" applyBorder="1" applyAlignment="1">
      <alignment horizontal="center" vertical="center" wrapText="1"/>
    </xf>
    <xf numFmtId="0" fontId="54" fillId="13" borderId="38" xfId="15" applyFont="1" applyFill="1" applyBorder="1" applyAlignment="1">
      <alignment horizontal="center" vertical="center" wrapText="1"/>
    </xf>
    <xf numFmtId="0" fontId="54" fillId="13" borderId="40" xfId="15" applyFont="1" applyFill="1" applyBorder="1" applyAlignment="1">
      <alignment horizontal="center" vertical="center" wrapText="1"/>
    </xf>
    <xf numFmtId="9" fontId="54" fillId="13" borderId="20" xfId="15" applyNumberFormat="1" applyFont="1" applyFill="1" applyBorder="1" applyAlignment="1">
      <alignment horizontal="center" vertical="center"/>
    </xf>
    <xf numFmtId="0" fontId="54" fillId="13" borderId="40" xfId="15" applyFont="1" applyFill="1" applyBorder="1" applyAlignment="1" applyProtection="1">
      <alignment horizontal="center" vertical="center" wrapText="1"/>
      <protection locked="0"/>
    </xf>
    <xf numFmtId="0" fontId="62" fillId="0" borderId="43" xfId="15" applyFont="1" applyBorder="1" applyAlignment="1" applyProtection="1">
      <alignment horizontal="center" vertical="center" wrapText="1"/>
      <protection locked="0"/>
    </xf>
    <xf numFmtId="0" fontId="54" fillId="13" borderId="39" xfId="15" applyFont="1" applyFill="1" applyBorder="1" applyAlignment="1" applyProtection="1">
      <alignment horizontal="center" vertical="center" wrapText="1"/>
      <protection locked="0"/>
    </xf>
    <xf numFmtId="0" fontId="54" fillId="13" borderId="20" xfId="15" applyFont="1" applyFill="1" applyBorder="1" applyAlignment="1">
      <alignment horizontal="center" vertical="center"/>
    </xf>
    <xf numFmtId="0" fontId="59" fillId="0" borderId="20" xfId="15" applyFont="1" applyBorder="1" applyAlignment="1" applyProtection="1">
      <alignment horizontal="center" vertical="center"/>
      <protection locked="0"/>
    </xf>
    <xf numFmtId="0" fontId="59" fillId="0" borderId="20" xfId="15" applyFont="1" applyBorder="1" applyAlignment="1" applyProtection="1">
      <alignment horizontal="center" vertical="center" wrapText="1"/>
      <protection locked="0"/>
    </xf>
    <xf numFmtId="0" fontId="54" fillId="13" borderId="41" xfId="15" applyFont="1" applyFill="1" applyBorder="1" applyAlignment="1">
      <alignment horizontal="center" vertical="center" wrapText="1"/>
    </xf>
    <xf numFmtId="0" fontId="63" fillId="0" borderId="6" xfId="15" applyFont="1" applyBorder="1" applyAlignment="1" applyProtection="1">
      <alignment horizontal="center" vertical="center" wrapText="1"/>
      <protection locked="0"/>
    </xf>
    <xf numFmtId="9" fontId="41" fillId="8" borderId="34" xfId="12" applyFont="1" applyFill="1" applyBorder="1" applyAlignment="1" applyProtection="1">
      <alignment horizontal="center" vertical="center"/>
    </xf>
    <xf numFmtId="9" fontId="57" fillId="9" borderId="34" xfId="12" applyFont="1" applyFill="1" applyBorder="1" applyAlignment="1" applyProtection="1">
      <alignment horizontal="center" vertical="center"/>
    </xf>
    <xf numFmtId="9" fontId="41" fillId="10" borderId="34" xfId="12" applyFont="1" applyFill="1" applyBorder="1" applyAlignment="1" applyProtection="1">
      <alignment horizontal="center" vertical="center"/>
    </xf>
    <xf numFmtId="9" fontId="57" fillId="11" borderId="34" xfId="12" applyFont="1" applyFill="1" applyBorder="1" applyAlignment="1" applyProtection="1">
      <alignment horizontal="center" vertical="center"/>
    </xf>
    <xf numFmtId="9" fontId="41" fillId="4" borderId="34" xfId="12" applyFont="1" applyFill="1" applyBorder="1" applyAlignment="1" applyProtection="1">
      <alignment horizontal="center" vertical="center"/>
    </xf>
    <xf numFmtId="0" fontId="36" fillId="0" borderId="26" xfId="4" applyFont="1" applyBorder="1" applyAlignment="1" applyProtection="1">
      <alignment horizontal="center" vertical="center"/>
      <protection locked="0"/>
    </xf>
    <xf numFmtId="14" fontId="46" fillId="8" borderId="34" xfId="4" applyNumberFormat="1" applyFont="1" applyFill="1" applyBorder="1" applyAlignment="1" applyProtection="1">
      <alignment horizontal="center" vertical="center"/>
      <protection locked="0"/>
    </xf>
    <xf numFmtId="14" fontId="46" fillId="9" borderId="34" xfId="4" applyNumberFormat="1" applyFont="1" applyFill="1" applyBorder="1" applyAlignment="1" applyProtection="1">
      <alignment horizontal="center" vertical="center"/>
      <protection locked="0"/>
    </xf>
    <xf numFmtId="14" fontId="46" fillId="10" borderId="34" xfId="4" applyNumberFormat="1" applyFont="1" applyFill="1" applyBorder="1" applyAlignment="1" applyProtection="1">
      <alignment horizontal="center" vertical="center"/>
      <protection locked="0"/>
    </xf>
    <xf numFmtId="14" fontId="46" fillId="11" borderId="34" xfId="14" applyNumberFormat="1" applyFont="1" applyFill="1" applyProtection="1">
      <alignment horizontal="center" vertical="center"/>
      <protection locked="0"/>
    </xf>
    <xf numFmtId="0" fontId="59" fillId="0" borderId="20" xfId="15" applyFont="1" applyBorder="1" applyProtection="1">
      <protection locked="0"/>
    </xf>
    <xf numFmtId="9" fontId="57" fillId="9" borderId="34" xfId="12" applyFont="1" applyFill="1" applyBorder="1" applyAlignment="1" applyProtection="1">
      <alignment horizontal="center" vertical="center"/>
      <protection locked="0"/>
    </xf>
    <xf numFmtId="9" fontId="57" fillId="11" borderId="34" xfId="12" applyFont="1" applyFill="1" applyBorder="1" applyAlignment="1" applyProtection="1">
      <alignment horizontal="center" vertical="center"/>
      <protection locked="0"/>
    </xf>
    <xf numFmtId="0" fontId="54" fillId="6" borderId="28" xfId="4" applyFont="1" applyFill="1" applyBorder="1" applyAlignment="1">
      <alignment horizontal="left" vertical="center" indent="1"/>
    </xf>
    <xf numFmtId="0" fontId="13" fillId="0" borderId="0" xfId="4" applyAlignment="1">
      <alignment wrapText="1"/>
    </xf>
    <xf numFmtId="0" fontId="40" fillId="8" borderId="34" xfId="4" applyFont="1" applyFill="1" applyBorder="1" applyAlignment="1">
      <alignment horizontal="left" vertical="center" indent="1"/>
    </xf>
    <xf numFmtId="0" fontId="40" fillId="8" borderId="34" xfId="11" applyFont="1" applyFill="1">
      <alignment horizontal="center" vertical="center"/>
    </xf>
    <xf numFmtId="0" fontId="55" fillId="8" borderId="34" xfId="11" applyFont="1" applyFill="1">
      <alignment horizontal="center" vertical="center"/>
    </xf>
    <xf numFmtId="0" fontId="46" fillId="9" borderId="34" xfId="13" applyFont="1" applyFill="1">
      <alignment horizontal="left" vertical="center" indent="2"/>
    </xf>
    <xf numFmtId="0" fontId="46" fillId="9" borderId="34" xfId="11" applyFont="1" applyFill="1" applyAlignment="1">
      <alignment horizontal="center" vertical="center" wrapText="1"/>
    </xf>
    <xf numFmtId="0" fontId="46" fillId="9" borderId="34" xfId="11" applyFont="1" applyFill="1">
      <alignment horizontal="center" vertical="center"/>
    </xf>
    <xf numFmtId="0" fontId="40" fillId="10" borderId="34" xfId="4" applyFont="1" applyFill="1" applyBorder="1" applyAlignment="1">
      <alignment horizontal="left" vertical="center" indent="1"/>
    </xf>
    <xf numFmtId="0" fontId="40" fillId="10" borderId="34" xfId="11" applyFont="1" applyFill="1">
      <alignment horizontal="center" vertical="center"/>
    </xf>
    <xf numFmtId="0" fontId="55" fillId="10" borderId="34" xfId="11" applyFont="1" applyFill="1">
      <alignment horizontal="center" vertical="center"/>
    </xf>
    <xf numFmtId="0" fontId="40" fillId="10" borderId="34" xfId="11" applyFont="1" applyFill="1" applyAlignment="1">
      <alignment horizontal="center" vertical="center" wrapText="1"/>
    </xf>
    <xf numFmtId="0" fontId="46" fillId="11" borderId="34" xfId="13" applyFont="1" applyFill="1">
      <alignment horizontal="left" vertical="center" indent="2"/>
    </xf>
    <xf numFmtId="0" fontId="46" fillId="11" borderId="34" xfId="11" applyFont="1" applyFill="1" applyAlignment="1">
      <alignment horizontal="center" vertical="center" wrapText="1"/>
    </xf>
    <xf numFmtId="0" fontId="46" fillId="11" borderId="34" xfId="11" applyFont="1" applyFill="1">
      <alignment horizontal="center" vertical="center"/>
    </xf>
    <xf numFmtId="0" fontId="13" fillId="4" borderId="34" xfId="13" applyFill="1">
      <alignment horizontal="left" vertical="center" indent="2"/>
    </xf>
    <xf numFmtId="0" fontId="13" fillId="4" borderId="34" xfId="11" applyFill="1" applyAlignment="1">
      <alignment horizontal="center" vertical="center" wrapText="1"/>
    </xf>
    <xf numFmtId="9" fontId="56" fillId="8" borderId="34" xfId="12" applyFont="1" applyFill="1" applyBorder="1" applyAlignment="1" applyProtection="1">
      <alignment horizontal="center" vertical="center"/>
      <protection locked="0"/>
    </xf>
    <xf numFmtId="9" fontId="39" fillId="10" borderId="34" xfId="12" applyFont="1" applyFill="1" applyBorder="1" applyAlignment="1" applyProtection="1">
      <alignment horizontal="center" vertical="center"/>
      <protection locked="0"/>
    </xf>
    <xf numFmtId="0" fontId="63" fillId="0" borderId="44" xfId="15" applyFont="1" applyBorder="1" applyAlignment="1">
      <alignment horizontal="center" vertical="center" wrapText="1"/>
    </xf>
    <xf numFmtId="0" fontId="63" fillId="0" borderId="22" xfId="15" applyFont="1" applyBorder="1" applyAlignment="1">
      <alignment horizontal="center" vertical="center" wrapText="1"/>
    </xf>
    <xf numFmtId="0" fontId="59" fillId="0" borderId="24" xfId="15" applyFont="1" applyBorder="1" applyAlignment="1" applyProtection="1">
      <alignment horizontal="center" vertical="center"/>
      <protection locked="0"/>
    </xf>
    <xf numFmtId="0" fontId="62" fillId="0" borderId="8" xfId="15" applyFont="1" applyBorder="1" applyAlignment="1" applyProtection="1">
      <alignment horizontal="center" vertical="center" wrapText="1"/>
      <protection locked="0"/>
    </xf>
    <xf numFmtId="0" fontId="59" fillId="0" borderId="8" xfId="15" applyFont="1" applyBorder="1" applyAlignment="1" applyProtection="1">
      <alignment horizontal="center" vertical="center"/>
      <protection locked="0"/>
    </xf>
    <xf numFmtId="0" fontId="59" fillId="0" borderId="8" xfId="15" applyFont="1" applyBorder="1" applyProtection="1">
      <protection locked="0"/>
    </xf>
    <xf numFmtId="0" fontId="59" fillId="0" borderId="8" xfId="15" applyFont="1" applyBorder="1" applyAlignment="1" applyProtection="1">
      <alignment horizontal="center" vertical="center" wrapText="1"/>
      <protection locked="0"/>
    </xf>
    <xf numFmtId="0" fontId="59" fillId="0" borderId="24" xfId="15" applyFont="1" applyBorder="1" applyAlignment="1" applyProtection="1">
      <alignment horizontal="center" vertical="center" wrapText="1"/>
      <protection locked="0"/>
    </xf>
    <xf numFmtId="0" fontId="63" fillId="0" borderId="6" xfId="15" applyFont="1" applyBorder="1" applyAlignment="1">
      <alignment horizontal="center" vertical="center" wrapText="1"/>
    </xf>
    <xf numFmtId="0" fontId="40" fillId="14" borderId="0" xfId="13" applyFont="1" applyFill="1" applyBorder="1">
      <alignment horizontal="left" vertical="center" indent="2"/>
    </xf>
    <xf numFmtId="0" fontId="40" fillId="14" borderId="0" xfId="11" applyFont="1" applyFill="1" applyBorder="1">
      <alignment horizontal="center" vertical="center"/>
    </xf>
    <xf numFmtId="0" fontId="55" fillId="14" borderId="0" xfId="11" applyFont="1" applyFill="1" applyBorder="1">
      <alignment horizontal="center" vertical="center"/>
    </xf>
    <xf numFmtId="0" fontId="40" fillId="14" borderId="0" xfId="11" applyFont="1" applyFill="1" applyBorder="1" applyAlignment="1">
      <alignment horizontal="center" vertical="center" wrapText="1"/>
    </xf>
    <xf numFmtId="9" fontId="41" fillId="14" borderId="34" xfId="12" applyFont="1" applyFill="1" applyBorder="1" applyAlignment="1">
      <alignment horizontal="center" vertical="center"/>
    </xf>
    <xf numFmtId="9" fontId="39" fillId="14" borderId="34" xfId="12" applyFont="1" applyFill="1" applyBorder="1" applyAlignment="1" applyProtection="1">
      <alignment horizontal="center" vertical="center"/>
      <protection locked="0"/>
    </xf>
    <xf numFmtId="14" fontId="46" fillId="14" borderId="0" xfId="14" applyNumberFormat="1" applyFont="1" applyFill="1" applyBorder="1" applyProtection="1">
      <alignment horizontal="center" vertical="center"/>
      <protection locked="0"/>
    </xf>
    <xf numFmtId="0" fontId="46" fillId="15" borderId="0" xfId="13" applyFont="1" applyFill="1" applyBorder="1">
      <alignment horizontal="left" vertical="center" indent="2"/>
    </xf>
    <xf numFmtId="0" fontId="46" fillId="15" borderId="0" xfId="11" applyFont="1" applyFill="1" applyBorder="1" applyAlignment="1">
      <alignment horizontal="center" vertical="center" wrapText="1"/>
    </xf>
    <xf numFmtId="9" fontId="57" fillId="15" borderId="34" xfId="12" applyFont="1" applyFill="1" applyBorder="1" applyAlignment="1" applyProtection="1">
      <alignment horizontal="center" vertical="center"/>
    </xf>
    <xf numFmtId="9" fontId="57" fillId="15" borderId="34" xfId="12" applyFont="1" applyFill="1" applyBorder="1" applyAlignment="1" applyProtection="1">
      <alignment horizontal="center" vertical="center"/>
      <protection locked="0"/>
    </xf>
    <xf numFmtId="14" fontId="46" fillId="15" borderId="0" xfId="14" applyNumberFormat="1" applyFont="1" applyFill="1" applyBorder="1" applyProtection="1">
      <alignment horizontal="center" vertical="center"/>
      <protection locked="0"/>
    </xf>
    <xf numFmtId="0" fontId="46" fillId="15" borderId="0" xfId="11" applyFont="1" applyFill="1" applyBorder="1">
      <alignment horizontal="center" vertical="center"/>
    </xf>
    <xf numFmtId="0" fontId="55" fillId="8" borderId="45" xfId="11" applyFont="1" applyFill="1" applyBorder="1">
      <alignment horizontal="center" vertical="center"/>
    </xf>
    <xf numFmtId="0" fontId="46" fillId="9" borderId="47" xfId="11" applyFont="1" applyFill="1" applyBorder="1" applyAlignment="1">
      <alignment horizontal="center" vertical="center" wrapText="1"/>
    </xf>
    <xf numFmtId="0" fontId="55" fillId="10" borderId="47" xfId="11" applyFont="1" applyFill="1" applyBorder="1">
      <alignment horizontal="center" vertical="center"/>
    </xf>
    <xf numFmtId="0" fontId="46" fillId="11" borderId="47" xfId="11" applyFont="1" applyFill="1" applyBorder="1" applyAlignment="1">
      <alignment horizontal="center" vertical="center" wrapText="1"/>
    </xf>
    <xf numFmtId="0" fontId="55" fillId="14" borderId="47" xfId="11" applyFont="1" applyFill="1" applyBorder="1">
      <alignment horizontal="center" vertical="center"/>
    </xf>
    <xf numFmtId="0" fontId="46" fillId="15" borderId="47" xfId="11" applyFont="1" applyFill="1" applyBorder="1" applyAlignment="1">
      <alignment horizontal="center" vertical="center" wrapText="1"/>
    </xf>
    <xf numFmtId="0" fontId="54" fillId="13" borderId="44" xfId="15" applyFont="1" applyFill="1" applyBorder="1" applyAlignment="1" applyProtection="1">
      <alignment horizontal="center" vertical="center" wrapText="1"/>
      <protection locked="0"/>
    </xf>
    <xf numFmtId="0" fontId="54" fillId="13" borderId="43" xfId="15" applyFont="1" applyFill="1" applyBorder="1" applyAlignment="1" applyProtection="1">
      <alignment horizontal="center" vertical="center" wrapText="1"/>
      <protection locked="0"/>
    </xf>
    <xf numFmtId="0" fontId="54" fillId="13" borderId="43" xfId="15" applyFont="1" applyFill="1" applyBorder="1" applyAlignment="1">
      <alignment horizontal="center" vertical="center" wrapText="1"/>
    </xf>
    <xf numFmtId="9" fontId="57" fillId="0" borderId="6" xfId="12" applyFont="1" applyFill="1" applyBorder="1" applyAlignment="1" applyProtection="1">
      <alignment horizontal="center" vertical="center"/>
      <protection locked="0"/>
    </xf>
    <xf numFmtId="0" fontId="62" fillId="0" borderId="6" xfId="15" applyFont="1" applyBorder="1" applyAlignment="1" applyProtection="1">
      <alignment horizontal="center" vertical="center" wrapText="1"/>
      <protection locked="0"/>
    </xf>
    <xf numFmtId="0" fontId="59" fillId="0" borderId="6" xfId="15" applyFont="1" applyBorder="1" applyAlignment="1" applyProtection="1">
      <alignment horizontal="center" vertical="center"/>
      <protection locked="0"/>
    </xf>
    <xf numFmtId="0" fontId="59" fillId="0" borderId="6" xfId="15" applyFont="1" applyBorder="1" applyProtection="1">
      <protection locked="0"/>
    </xf>
    <xf numFmtId="0" fontId="10" fillId="0" borderId="25" xfId="9" applyFont="1" applyBorder="1">
      <alignment horizontal="right" indent="1"/>
    </xf>
    <xf numFmtId="0" fontId="10" fillId="0" borderId="0" xfId="4" applyFont="1" applyProtection="1">
      <protection locked="0"/>
    </xf>
    <xf numFmtId="0" fontId="10" fillId="0" borderId="0" xfId="4" applyFont="1"/>
    <xf numFmtId="0" fontId="10" fillId="0" borderId="30" xfId="4" applyFont="1" applyBorder="1"/>
    <xf numFmtId="0" fontId="10" fillId="0" borderId="22" xfId="15" applyFont="1" applyBorder="1" applyAlignment="1">
      <alignment horizontal="center" vertical="center"/>
    </xf>
    <xf numFmtId="0" fontId="10" fillId="0" borderId="6" xfId="15" applyFont="1" applyBorder="1" applyAlignment="1" applyProtection="1">
      <alignment horizontal="center" vertical="center"/>
      <protection locked="0"/>
    </xf>
    <xf numFmtId="0" fontId="10" fillId="0" borderId="20" xfId="15" applyFont="1" applyBorder="1" applyAlignment="1">
      <alignment horizontal="center" vertical="center"/>
    </xf>
    <xf numFmtId="0" fontId="10" fillId="0" borderId="6" xfId="15" applyFont="1" applyBorder="1" applyAlignment="1">
      <alignment horizontal="center" vertical="center"/>
    </xf>
    <xf numFmtId="0" fontId="10" fillId="0" borderId="7" xfId="15" applyFont="1" applyBorder="1" applyAlignment="1">
      <alignment horizontal="center" vertical="center"/>
    </xf>
    <xf numFmtId="0" fontId="10" fillId="0" borderId="0" xfId="15" applyFont="1"/>
    <xf numFmtId="0" fontId="10" fillId="0" borderId="23" xfId="15" applyFont="1" applyBorder="1" applyAlignment="1">
      <alignment horizontal="center" vertical="center"/>
    </xf>
    <xf numFmtId="0" fontId="10" fillId="0" borderId="13" xfId="15" applyFont="1" applyBorder="1" applyAlignment="1">
      <alignment horizontal="center" vertical="center"/>
    </xf>
    <xf numFmtId="0" fontId="0" fillId="13" borderId="7" xfId="15" applyFont="1" applyFill="1" applyBorder="1" applyAlignment="1">
      <alignment horizontal="center"/>
    </xf>
    <xf numFmtId="0" fontId="9" fillId="0" borderId="22" xfId="15" applyFont="1" applyBorder="1" applyAlignment="1">
      <alignment horizontal="center" vertical="center"/>
    </xf>
    <xf numFmtId="0" fontId="62" fillId="0" borderId="44" xfId="15" applyFont="1" applyBorder="1" applyAlignment="1">
      <alignment horizontal="center" vertical="center" wrapText="1"/>
    </xf>
    <xf numFmtId="0" fontId="10" fillId="0" borderId="17" xfId="15" applyFont="1" applyBorder="1" applyAlignment="1">
      <alignment horizontal="center" vertical="center"/>
    </xf>
    <xf numFmtId="9" fontId="57" fillId="0" borderId="14" xfId="12" applyFont="1" applyFill="1" applyBorder="1" applyAlignment="1" applyProtection="1">
      <alignment horizontal="center" vertical="center"/>
      <protection locked="0"/>
    </xf>
    <xf numFmtId="9" fontId="60" fillId="0" borderId="6" xfId="12" applyFont="1" applyFill="1" applyBorder="1" applyAlignment="1" applyProtection="1">
      <alignment horizontal="center" vertical="center"/>
      <protection locked="0"/>
    </xf>
    <xf numFmtId="0" fontId="8" fillId="0" borderId="41" xfId="15" applyFont="1" applyBorder="1" applyAlignment="1" applyProtection="1">
      <alignment horizontal="center" vertical="center" wrapText="1"/>
      <protection locked="0"/>
    </xf>
    <xf numFmtId="0" fontId="59" fillId="0" borderId="41" xfId="15" applyFont="1" applyBorder="1" applyAlignment="1" applyProtection="1">
      <alignment horizontal="center" vertical="center" wrapText="1"/>
      <protection locked="0"/>
    </xf>
    <xf numFmtId="0" fontId="8" fillId="0" borderId="6" xfId="15" applyFont="1" applyBorder="1" applyAlignment="1" applyProtection="1">
      <alignment horizontal="center" vertical="center"/>
      <protection locked="0"/>
    </xf>
    <xf numFmtId="0" fontId="8" fillId="0" borderId="48" xfId="15" applyFont="1" applyBorder="1" applyAlignment="1" applyProtection="1">
      <alignment horizontal="center" vertical="center"/>
      <protection locked="0"/>
    </xf>
    <xf numFmtId="0" fontId="8" fillId="0" borderId="20" xfId="15" applyFont="1" applyBorder="1" applyAlignment="1" applyProtection="1">
      <alignment horizontal="center" vertical="center"/>
      <protection locked="0"/>
    </xf>
    <xf numFmtId="0" fontId="8" fillId="0" borderId="0" xfId="15" applyFont="1"/>
    <xf numFmtId="0" fontId="8" fillId="0" borderId="22" xfId="15" applyFont="1" applyBorder="1" applyAlignment="1">
      <alignment horizontal="center" vertical="center"/>
    </xf>
    <xf numFmtId="0" fontId="8" fillId="0" borderId="6" xfId="15" applyFont="1" applyBorder="1" applyAlignment="1">
      <alignment horizontal="center" vertical="center"/>
    </xf>
    <xf numFmtId="9" fontId="60" fillId="0" borderId="22" xfId="12" applyFont="1" applyFill="1" applyBorder="1" applyAlignment="1" applyProtection="1">
      <alignment horizontal="center" vertical="center"/>
      <protection locked="0"/>
    </xf>
    <xf numFmtId="0" fontId="40" fillId="16" borderId="0" xfId="13" applyFont="1" applyFill="1" applyBorder="1">
      <alignment horizontal="left" vertical="center" indent="2"/>
    </xf>
    <xf numFmtId="0" fontId="40" fillId="16" borderId="0" xfId="11" applyFont="1" applyFill="1" applyBorder="1">
      <alignment horizontal="center" vertical="center"/>
    </xf>
    <xf numFmtId="0" fontId="55" fillId="16" borderId="0" xfId="11" applyFont="1" applyFill="1" applyBorder="1">
      <alignment horizontal="center" vertical="center"/>
    </xf>
    <xf numFmtId="0" fontId="55" fillId="16" borderId="47" xfId="11" applyFont="1" applyFill="1" applyBorder="1">
      <alignment horizontal="center" vertical="center"/>
    </xf>
    <xf numFmtId="0" fontId="40" fillId="16" borderId="0" xfId="11" applyFont="1" applyFill="1" applyBorder="1" applyAlignment="1">
      <alignment horizontal="center" vertical="center" wrapText="1"/>
    </xf>
    <xf numFmtId="9" fontId="41" fillId="16" borderId="34" xfId="12" applyFont="1" applyFill="1" applyBorder="1" applyAlignment="1">
      <alignment horizontal="center" vertical="center"/>
    </xf>
    <xf numFmtId="9" fontId="39" fillId="16" borderId="34" xfId="12" applyFont="1" applyFill="1" applyBorder="1" applyAlignment="1" applyProtection="1">
      <alignment horizontal="center" vertical="center"/>
      <protection locked="0"/>
    </xf>
    <xf numFmtId="14" fontId="46" fillId="16" borderId="0" xfId="14" applyNumberFormat="1" applyFont="1" applyFill="1" applyBorder="1" applyProtection="1">
      <alignment horizontal="center" vertical="center"/>
      <protection locked="0"/>
    </xf>
    <xf numFmtId="0" fontId="46" fillId="17" borderId="0" xfId="13" applyFont="1" applyFill="1" applyBorder="1">
      <alignment horizontal="left" vertical="center" indent="2"/>
    </xf>
    <xf numFmtId="0" fontId="46" fillId="17" borderId="0" xfId="11" applyFont="1" applyFill="1" applyBorder="1">
      <alignment horizontal="center" vertical="center"/>
    </xf>
    <xf numFmtId="0" fontId="46" fillId="17" borderId="47" xfId="11" applyFont="1" applyFill="1" applyBorder="1" applyAlignment="1">
      <alignment horizontal="center" vertical="center" wrapText="1"/>
    </xf>
    <xf numFmtId="0" fontId="46" fillId="17" borderId="0" xfId="11" applyFont="1" applyFill="1" applyBorder="1" applyAlignment="1">
      <alignment horizontal="center" vertical="center" wrapText="1"/>
    </xf>
    <xf numFmtId="9" fontId="57" fillId="17" borderId="34" xfId="12" applyFont="1" applyFill="1" applyBorder="1" applyAlignment="1" applyProtection="1">
      <alignment horizontal="center" vertical="center"/>
    </xf>
    <xf numFmtId="9" fontId="57" fillId="17" borderId="34" xfId="12" applyFont="1" applyFill="1" applyBorder="1" applyAlignment="1" applyProtection="1">
      <alignment horizontal="center" vertical="center"/>
      <protection locked="0"/>
    </xf>
    <xf numFmtId="14" fontId="46" fillId="17" borderId="0" xfId="14" applyNumberFormat="1" applyFont="1" applyFill="1" applyBorder="1" applyProtection="1">
      <alignment horizontal="center" vertical="center"/>
      <protection locked="0"/>
    </xf>
    <xf numFmtId="0" fontId="8" fillId="0" borderId="6" xfId="15" applyFont="1" applyBorder="1" applyAlignment="1" applyProtection="1">
      <alignment horizontal="center" vertical="center" wrapText="1"/>
      <protection locked="0"/>
    </xf>
    <xf numFmtId="0" fontId="59" fillId="0" borderId="6" xfId="15" applyFont="1" applyBorder="1" applyAlignment="1" applyProtection="1">
      <alignment horizontal="center" vertical="center" wrapText="1"/>
      <protection locked="0"/>
    </xf>
    <xf numFmtId="9" fontId="57" fillId="0" borderId="46" xfId="12" applyFont="1" applyFill="1" applyBorder="1" applyAlignment="1" applyProtection="1">
      <alignment horizontal="center" vertical="center"/>
      <protection locked="0"/>
    </xf>
    <xf numFmtId="0" fontId="59" fillId="0" borderId="13" xfId="15" applyFont="1" applyBorder="1" applyAlignment="1" applyProtection="1">
      <alignment horizontal="center" vertical="center" wrapText="1"/>
      <protection locked="0"/>
    </xf>
    <xf numFmtId="0" fontId="63" fillId="0" borderId="23" xfId="15" applyFont="1" applyBorder="1" applyAlignment="1" applyProtection="1">
      <alignment horizontal="center" vertical="center" wrapText="1"/>
      <protection locked="0"/>
    </xf>
    <xf numFmtId="0" fontId="8" fillId="0" borderId="44" xfId="15" applyFont="1" applyBorder="1" applyAlignment="1">
      <alignment horizontal="center" vertical="center" wrapText="1"/>
    </xf>
    <xf numFmtId="0" fontId="8" fillId="0" borderId="6" xfId="15" applyFont="1" applyBorder="1" applyAlignment="1">
      <alignment horizontal="center" vertical="center" wrapText="1"/>
    </xf>
    <xf numFmtId="9" fontId="39" fillId="0" borderId="6" xfId="12" applyFont="1" applyFill="1" applyBorder="1" applyAlignment="1" applyProtection="1">
      <alignment horizontal="center" vertical="center"/>
      <protection locked="0"/>
    </xf>
    <xf numFmtId="0" fontId="8" fillId="0" borderId="22" xfId="15" applyFont="1" applyBorder="1" applyAlignment="1">
      <alignment horizontal="center" vertical="center" wrapText="1"/>
    </xf>
    <xf numFmtId="0" fontId="8" fillId="0" borderId="21" xfId="15" applyFont="1" applyBorder="1" applyAlignment="1">
      <alignment horizontal="center" vertical="center"/>
    </xf>
    <xf numFmtId="0" fontId="8" fillId="0" borderId="12" xfId="15" applyFont="1" applyBorder="1" applyAlignment="1">
      <alignment horizontal="center" vertical="center"/>
    </xf>
    <xf numFmtId="0" fontId="8" fillId="0" borderId="48" xfId="15" applyFont="1" applyBorder="1" applyAlignment="1">
      <alignment horizontal="center" vertical="center"/>
    </xf>
    <xf numFmtId="0" fontId="59" fillId="0" borderId="49" xfId="15" applyFont="1" applyBorder="1" applyAlignment="1" applyProtection="1">
      <alignment horizontal="center" vertical="center"/>
      <protection locked="0"/>
    </xf>
    <xf numFmtId="0" fontId="59" fillId="0" borderId="43" xfId="15" applyFont="1" applyBorder="1" applyAlignment="1" applyProtection="1">
      <alignment horizontal="center" vertical="center" wrapText="1"/>
      <protection locked="0"/>
    </xf>
    <xf numFmtId="0" fontId="7" fillId="0" borderId="6" xfId="15" applyFont="1" applyBorder="1" applyAlignment="1" applyProtection="1">
      <alignment horizontal="center" vertical="center"/>
      <protection locked="0"/>
    </xf>
    <xf numFmtId="0" fontId="7" fillId="0" borderId="22" xfId="15" applyFont="1" applyBorder="1" applyAlignment="1">
      <alignment horizontal="center" vertical="center"/>
    </xf>
    <xf numFmtId="0" fontId="54" fillId="13" borderId="23" xfId="15" applyFont="1" applyFill="1" applyBorder="1" applyAlignment="1">
      <alignment horizontal="center" vertical="center"/>
    </xf>
    <xf numFmtId="0" fontId="54" fillId="13" borderId="23" xfId="15" applyFont="1" applyFill="1" applyBorder="1" applyAlignment="1">
      <alignment horizontal="center"/>
    </xf>
    <xf numFmtId="0" fontId="54" fillId="13" borderId="13" xfId="15" applyFont="1" applyFill="1" applyBorder="1" applyAlignment="1">
      <alignment horizontal="center" vertical="center"/>
    </xf>
    <xf numFmtId="9" fontId="54" fillId="13" borderId="13" xfId="15" applyNumberFormat="1" applyFont="1" applyFill="1" applyBorder="1" applyAlignment="1">
      <alignment horizontal="center" vertical="center"/>
    </xf>
    <xf numFmtId="0" fontId="7" fillId="0" borderId="44" xfId="15" applyFont="1" applyBorder="1" applyAlignment="1">
      <alignment horizontal="center" vertical="center" wrapText="1"/>
    </xf>
    <xf numFmtId="0" fontId="7" fillId="0" borderId="22" xfId="15" applyFont="1" applyBorder="1" applyAlignment="1">
      <alignment horizontal="center" vertical="center" wrapText="1"/>
    </xf>
    <xf numFmtId="9" fontId="35" fillId="0" borderId="6" xfId="12" applyFont="1" applyFill="1" applyBorder="1" applyAlignment="1" applyProtection="1">
      <alignment horizontal="center" vertical="center"/>
      <protection locked="0"/>
    </xf>
    <xf numFmtId="0" fontId="40" fillId="18" borderId="0" xfId="13" applyFont="1" applyFill="1" applyBorder="1">
      <alignment horizontal="left" vertical="center" indent="2"/>
    </xf>
    <xf numFmtId="0" fontId="40" fillId="18" borderId="0" xfId="11" applyFont="1" applyFill="1" applyBorder="1">
      <alignment horizontal="center" vertical="center"/>
    </xf>
    <xf numFmtId="0" fontId="55" fillId="18" borderId="0" xfId="11" applyFont="1" applyFill="1" applyBorder="1">
      <alignment horizontal="center" vertical="center"/>
    </xf>
    <xf numFmtId="0" fontId="55" fillId="18" borderId="47" xfId="11" applyFont="1" applyFill="1" applyBorder="1">
      <alignment horizontal="center" vertical="center"/>
    </xf>
    <xf numFmtId="0" fontId="40" fillId="18" borderId="0" xfId="11" applyFont="1" applyFill="1" applyBorder="1" applyAlignment="1">
      <alignment horizontal="center" vertical="center" wrapText="1"/>
    </xf>
    <xf numFmtId="9" fontId="41" fillId="18" borderId="34" xfId="12" applyFont="1" applyFill="1" applyBorder="1" applyAlignment="1">
      <alignment horizontal="center" vertical="center"/>
    </xf>
    <xf numFmtId="9" fontId="39" fillId="18" borderId="34" xfId="12" applyFont="1" applyFill="1" applyBorder="1" applyAlignment="1" applyProtection="1">
      <alignment horizontal="center" vertical="center"/>
      <protection locked="0"/>
    </xf>
    <xf numFmtId="14" fontId="46" fillId="18" borderId="0" xfId="14" applyNumberFormat="1" applyFont="1" applyFill="1" applyBorder="1" applyProtection="1">
      <alignment horizontal="center" vertical="center"/>
      <protection locked="0"/>
    </xf>
    <xf numFmtId="0" fontId="46" fillId="19" borderId="0" xfId="13" applyFont="1" applyFill="1" applyBorder="1">
      <alignment horizontal="left" vertical="center" indent="2"/>
    </xf>
    <xf numFmtId="0" fontId="46" fillId="19" borderId="0" xfId="11" applyFont="1" applyFill="1" applyBorder="1">
      <alignment horizontal="center" vertical="center"/>
    </xf>
    <xf numFmtId="0" fontId="46" fillId="19" borderId="47" xfId="11" applyFont="1" applyFill="1" applyBorder="1" applyAlignment="1">
      <alignment horizontal="center" vertical="center" wrapText="1"/>
    </xf>
    <xf numFmtId="0" fontId="46" fillId="19" borderId="0" xfId="11" applyFont="1" applyFill="1" applyBorder="1" applyAlignment="1">
      <alignment horizontal="center" vertical="center" wrapText="1"/>
    </xf>
    <xf numFmtId="9" fontId="57" fillId="19" borderId="34" xfId="12" applyFont="1" applyFill="1" applyBorder="1" applyAlignment="1" applyProtection="1">
      <alignment horizontal="center" vertical="center"/>
    </xf>
    <xf numFmtId="9" fontId="57" fillId="19" borderId="34" xfId="12" applyFont="1" applyFill="1" applyBorder="1" applyAlignment="1" applyProtection="1">
      <alignment horizontal="center" vertical="center"/>
      <protection locked="0"/>
    </xf>
    <xf numFmtId="14" fontId="46" fillId="19" borderId="0" xfId="14" applyNumberFormat="1" applyFont="1" applyFill="1" applyBorder="1" applyProtection="1">
      <alignment horizontal="center" vertical="center"/>
      <protection locked="0"/>
    </xf>
    <xf numFmtId="0" fontId="7" fillId="0" borderId="23" xfId="15" applyFont="1" applyBorder="1" applyAlignment="1" applyProtection="1">
      <alignment horizontal="center" vertical="center" wrapText="1"/>
      <protection locked="0"/>
    </xf>
    <xf numFmtId="0" fontId="7" fillId="0" borderId="23" xfId="15" applyFont="1" applyBorder="1" applyAlignment="1">
      <alignment horizontal="center" vertical="center"/>
    </xf>
    <xf numFmtId="0" fontId="7" fillId="0" borderId="13" xfId="15" applyFont="1" applyBorder="1" applyAlignment="1">
      <alignment horizontal="center" vertical="center"/>
    </xf>
    <xf numFmtId="9" fontId="39" fillId="0" borderId="13" xfId="12" applyFont="1" applyFill="1" applyBorder="1" applyAlignment="1" applyProtection="1">
      <alignment horizontal="center" vertical="center"/>
      <protection locked="0"/>
    </xf>
    <xf numFmtId="0" fontId="7" fillId="0" borderId="7" xfId="15" applyFont="1" applyBorder="1" applyAlignment="1">
      <alignment horizontal="center" vertical="center"/>
    </xf>
    <xf numFmtId="0" fontId="37" fillId="0" borderId="0" xfId="15" applyFont="1"/>
    <xf numFmtId="0" fontId="66" fillId="13" borderId="7" xfId="15" applyFont="1" applyFill="1" applyBorder="1" applyAlignment="1">
      <alignment horizontal="center"/>
    </xf>
    <xf numFmtId="0" fontId="66" fillId="13" borderId="23" xfId="15" applyFont="1" applyFill="1" applyBorder="1" applyAlignment="1">
      <alignment horizontal="center"/>
    </xf>
    <xf numFmtId="0" fontId="67" fillId="13" borderId="6" xfId="15" applyFont="1" applyFill="1" applyBorder="1" applyAlignment="1">
      <alignment horizontal="center"/>
    </xf>
    <xf numFmtId="0" fontId="67" fillId="13" borderId="20" xfId="15" applyFont="1" applyFill="1" applyBorder="1" applyAlignment="1">
      <alignment horizontal="center" vertical="center"/>
    </xf>
    <xf numFmtId="0" fontId="66" fillId="13" borderId="6" xfId="15" applyFont="1" applyFill="1" applyBorder="1" applyAlignment="1">
      <alignment horizontal="center"/>
    </xf>
    <xf numFmtId="0" fontId="67" fillId="13" borderId="6" xfId="15" applyFont="1" applyFill="1" applyBorder="1" applyAlignment="1">
      <alignment horizontal="center" vertical="center"/>
    </xf>
    <xf numFmtId="0" fontId="28" fillId="13" borderId="6" xfId="15" applyFont="1" applyFill="1" applyBorder="1" applyAlignment="1">
      <alignment horizontal="center"/>
    </xf>
    <xf numFmtId="0" fontId="68" fillId="4" borderId="34" xfId="11" applyFont="1" applyFill="1" applyAlignment="1">
      <alignment horizontal="center" vertical="center" wrapText="1"/>
    </xf>
    <xf numFmtId="0" fontId="40" fillId="20" borderId="34" xfId="4" applyFont="1" applyFill="1" applyBorder="1" applyAlignment="1">
      <alignment horizontal="left" vertical="center" indent="1"/>
    </xf>
    <xf numFmtId="0" fontId="40" fillId="20" borderId="34" xfId="11" applyFont="1" applyFill="1">
      <alignment horizontal="center" vertical="center"/>
    </xf>
    <xf numFmtId="0" fontId="55" fillId="20" borderId="34" xfId="11" applyFont="1" applyFill="1">
      <alignment horizontal="center" vertical="center"/>
    </xf>
    <xf numFmtId="0" fontId="55" fillId="20" borderId="45" xfId="11" applyFont="1" applyFill="1" applyBorder="1">
      <alignment horizontal="center" vertical="center"/>
    </xf>
    <xf numFmtId="9" fontId="41" fillId="20" borderId="34" xfId="12" applyFont="1" applyFill="1" applyBorder="1" applyAlignment="1" applyProtection="1">
      <alignment horizontal="center" vertical="center"/>
    </xf>
    <xf numFmtId="9" fontId="56" fillId="20" borderId="34" xfId="12" applyFont="1" applyFill="1" applyBorder="1" applyAlignment="1" applyProtection="1">
      <alignment horizontal="center" vertical="center"/>
      <protection locked="0"/>
    </xf>
    <xf numFmtId="0" fontId="46" fillId="5" borderId="34" xfId="13" applyFont="1" applyFill="1">
      <alignment horizontal="left" vertical="center" indent="2"/>
    </xf>
    <xf numFmtId="0" fontId="46" fillId="5" borderId="34" xfId="11" applyFont="1" applyFill="1" applyAlignment="1">
      <alignment horizontal="center" vertical="center" wrapText="1"/>
    </xf>
    <xf numFmtId="0" fontId="46" fillId="5" borderId="47" xfId="11" applyFont="1" applyFill="1" applyBorder="1" applyAlignment="1">
      <alignment horizontal="center" vertical="center" wrapText="1"/>
    </xf>
    <xf numFmtId="9" fontId="57" fillId="5" borderId="34" xfId="12" applyFont="1" applyFill="1" applyBorder="1" applyAlignment="1" applyProtection="1">
      <alignment horizontal="center" vertical="center"/>
    </xf>
    <xf numFmtId="9" fontId="57" fillId="5" borderId="34" xfId="12" applyFont="1" applyFill="1" applyBorder="1" applyAlignment="1" applyProtection="1">
      <alignment horizontal="center" vertical="center"/>
      <protection locked="0"/>
    </xf>
    <xf numFmtId="0" fontId="46" fillId="5" borderId="34" xfId="11" applyFont="1" applyFill="1">
      <alignment horizontal="center" vertical="center"/>
    </xf>
    <xf numFmtId="0" fontId="6" fillId="0" borderId="22" xfId="15" applyFont="1" applyBorder="1" applyAlignment="1">
      <alignment horizontal="center" vertical="center"/>
    </xf>
    <xf numFmtId="0" fontId="6" fillId="0" borderId="6" xfId="15" applyFont="1" applyBorder="1" applyAlignment="1" applyProtection="1">
      <alignment horizontal="center" vertical="center"/>
      <protection locked="0"/>
    </xf>
    <xf numFmtId="0" fontId="6" fillId="0" borderId="6" xfId="15" applyFont="1" applyBorder="1" applyAlignment="1">
      <alignment horizontal="center" vertical="center"/>
    </xf>
    <xf numFmtId="0" fontId="31" fillId="0" borderId="6" xfId="15" applyFont="1" applyBorder="1" applyAlignment="1">
      <alignment horizontal="center" vertical="center" wrapText="1"/>
    </xf>
    <xf numFmtId="0" fontId="54" fillId="0" borderId="6" xfId="15" applyFont="1" applyBorder="1" applyAlignment="1" applyProtection="1">
      <alignment horizontal="center" vertical="center" wrapText="1"/>
      <protection locked="0"/>
    </xf>
    <xf numFmtId="0" fontId="63" fillId="21" borderId="6" xfId="15" applyFont="1" applyFill="1" applyBorder="1" applyAlignment="1">
      <alignment horizontal="center" vertical="center" wrapText="1"/>
    </xf>
    <xf numFmtId="0" fontId="6" fillId="21" borderId="22" xfId="15" applyFont="1" applyFill="1" applyBorder="1" applyAlignment="1">
      <alignment horizontal="center" vertical="center"/>
    </xf>
    <xf numFmtId="0" fontId="6" fillId="21" borderId="20" xfId="15" applyFont="1" applyFill="1" applyBorder="1" applyAlignment="1" applyProtection="1">
      <alignment horizontal="center" vertical="center"/>
      <protection locked="0"/>
    </xf>
    <xf numFmtId="0" fontId="6" fillId="21" borderId="6" xfId="15" applyFont="1" applyFill="1" applyBorder="1" applyAlignment="1" applyProtection="1">
      <alignment horizontal="center" vertical="center"/>
      <protection locked="0"/>
    </xf>
    <xf numFmtId="0" fontId="6" fillId="21" borderId="6" xfId="15" applyFont="1" applyFill="1" applyBorder="1" applyAlignment="1">
      <alignment horizontal="center" vertical="center"/>
    </xf>
    <xf numFmtId="9" fontId="57" fillId="21" borderId="6" xfId="12" applyFont="1" applyFill="1" applyBorder="1" applyAlignment="1" applyProtection="1">
      <alignment horizontal="center" vertical="center"/>
      <protection locked="0"/>
    </xf>
    <xf numFmtId="0" fontId="40" fillId="22" borderId="34" xfId="4" applyFont="1" applyFill="1" applyBorder="1" applyAlignment="1">
      <alignment horizontal="left" vertical="center" indent="1"/>
    </xf>
    <xf numFmtId="0" fontId="40" fillId="22" borderId="34" xfId="11" applyFont="1" applyFill="1">
      <alignment horizontal="center" vertical="center"/>
    </xf>
    <xf numFmtId="0" fontId="55" fillId="22" borderId="34" xfId="11" applyFont="1" applyFill="1">
      <alignment horizontal="center" vertical="center"/>
    </xf>
    <xf numFmtId="0" fontId="55" fillId="22" borderId="45" xfId="11" applyFont="1" applyFill="1" applyBorder="1">
      <alignment horizontal="center" vertical="center"/>
    </xf>
    <xf numFmtId="9" fontId="41" fillId="22" borderId="34" xfId="12" applyFont="1" applyFill="1" applyBorder="1" applyAlignment="1" applyProtection="1">
      <alignment horizontal="center" vertical="center"/>
    </xf>
    <xf numFmtId="9" fontId="56" fillId="22" borderId="34" xfId="12" applyFont="1" applyFill="1" applyBorder="1" applyAlignment="1" applyProtection="1">
      <alignment horizontal="center" vertical="center"/>
      <protection locked="0"/>
    </xf>
    <xf numFmtId="0" fontId="46" fillId="23" borderId="34" xfId="13" applyFont="1" applyFill="1">
      <alignment horizontal="left" vertical="center" indent="2"/>
    </xf>
    <xf numFmtId="0" fontId="46" fillId="23" borderId="34" xfId="11" applyFont="1" applyFill="1" applyAlignment="1">
      <alignment horizontal="center" vertical="center" wrapText="1"/>
    </xf>
    <xf numFmtId="0" fontId="46" fillId="23" borderId="47" xfId="11" applyFont="1" applyFill="1" applyBorder="1" applyAlignment="1">
      <alignment horizontal="center" vertical="center" wrapText="1"/>
    </xf>
    <xf numFmtId="9" fontId="57" fillId="23" borderId="34" xfId="12" applyFont="1" applyFill="1" applyBorder="1" applyAlignment="1" applyProtection="1">
      <alignment horizontal="center" vertical="center"/>
    </xf>
    <xf numFmtId="9" fontId="57" fillId="23" borderId="34" xfId="12" applyFont="1" applyFill="1" applyBorder="1" applyAlignment="1" applyProtection="1">
      <alignment horizontal="center" vertical="center"/>
      <protection locked="0"/>
    </xf>
    <xf numFmtId="0" fontId="46" fillId="23" borderId="34" xfId="11" applyFont="1" applyFill="1">
      <alignment horizontal="center" vertical="center"/>
    </xf>
    <xf numFmtId="14" fontId="46" fillId="23" borderId="34" xfId="4" applyNumberFormat="1" applyFont="1" applyFill="1" applyBorder="1" applyAlignment="1" applyProtection="1">
      <alignment horizontal="center" vertical="center"/>
      <protection locked="0"/>
    </xf>
    <xf numFmtId="14" fontId="46" fillId="22" borderId="34" xfId="4" applyNumberFormat="1" applyFont="1" applyFill="1" applyBorder="1" applyAlignment="1" applyProtection="1">
      <alignment horizontal="center" vertical="center"/>
      <protection locked="0"/>
    </xf>
    <xf numFmtId="14" fontId="46" fillId="20" borderId="34" xfId="4" applyNumberFormat="1" applyFont="1" applyFill="1" applyBorder="1" applyAlignment="1" applyProtection="1">
      <alignment horizontal="center" vertical="center"/>
      <protection locked="0"/>
    </xf>
    <xf numFmtId="14" fontId="46" fillId="5" borderId="34" xfId="4" applyNumberFormat="1" applyFont="1" applyFill="1" applyBorder="1" applyAlignment="1" applyProtection="1">
      <alignment horizontal="center" vertical="center"/>
      <protection locked="0"/>
    </xf>
    <xf numFmtId="0" fontId="5" fillId="0" borderId="22" xfId="15" applyFont="1" applyBorder="1" applyAlignment="1">
      <alignment horizontal="center" vertical="center"/>
    </xf>
    <xf numFmtId="0" fontId="5" fillId="0" borderId="6" xfId="15" applyFont="1" applyBorder="1" applyAlignment="1" applyProtection="1">
      <alignment horizontal="center" vertical="center"/>
      <protection locked="0"/>
    </xf>
    <xf numFmtId="0" fontId="5" fillId="0" borderId="6" xfId="15" applyFont="1" applyBorder="1" applyAlignment="1">
      <alignment horizontal="center" vertical="center"/>
    </xf>
    <xf numFmtId="0" fontId="31" fillId="0" borderId="20" xfId="15" applyFont="1" applyBorder="1" applyAlignment="1">
      <alignment horizontal="center" vertical="center" wrapText="1"/>
    </xf>
    <xf numFmtId="0" fontId="4" fillId="0" borderId="22" xfId="15" applyFont="1" applyBorder="1" applyAlignment="1">
      <alignment horizontal="center" vertical="center"/>
    </xf>
    <xf numFmtId="0" fontId="4" fillId="0" borderId="6" xfId="15" applyFont="1" applyBorder="1" applyAlignment="1" applyProtection="1">
      <alignment horizontal="center" vertical="center"/>
      <protection locked="0"/>
    </xf>
    <xf numFmtId="0" fontId="4" fillId="0" borderId="6" xfId="15" applyFont="1" applyBorder="1" applyAlignment="1">
      <alignment horizontal="center" vertical="center"/>
    </xf>
    <xf numFmtId="0" fontId="63" fillId="0" borderId="20" xfId="15" applyFont="1" applyBorder="1" applyAlignment="1">
      <alignment horizontal="center" vertical="center" wrapText="1"/>
    </xf>
    <xf numFmtId="0" fontId="4" fillId="0" borderId="41" xfId="15" applyFont="1" applyBorder="1" applyAlignment="1" applyProtection="1">
      <alignment horizontal="center" vertical="center" wrapText="1"/>
      <protection locked="0"/>
    </xf>
    <xf numFmtId="0" fontId="4" fillId="0" borderId="20" xfId="15" applyFont="1" applyBorder="1" applyAlignment="1" applyProtection="1">
      <alignment horizontal="center" vertical="center"/>
      <protection locked="0"/>
    </xf>
    <xf numFmtId="0" fontId="4" fillId="0" borderId="21" xfId="15" applyFont="1" applyBorder="1" applyAlignment="1">
      <alignment horizontal="center" vertical="center"/>
    </xf>
    <xf numFmtId="0" fontId="4" fillId="0" borderId="12" xfId="15" applyFont="1" applyBorder="1" applyAlignment="1">
      <alignment horizontal="center" vertical="center"/>
    </xf>
    <xf numFmtId="0" fontId="4" fillId="0" borderId="48" xfId="15" applyFont="1" applyBorder="1" applyAlignment="1" applyProtection="1">
      <alignment horizontal="center" vertical="center"/>
      <protection locked="0"/>
    </xf>
    <xf numFmtId="0" fontId="4" fillId="0" borderId="48" xfId="15" applyFont="1" applyBorder="1" applyAlignment="1">
      <alignment horizontal="center" vertical="center"/>
    </xf>
    <xf numFmtId="9" fontId="39" fillId="0" borderId="48" xfId="12" applyFont="1" applyFill="1" applyBorder="1" applyAlignment="1" applyProtection="1">
      <alignment horizontal="center" vertical="center"/>
      <protection locked="0"/>
    </xf>
    <xf numFmtId="0" fontId="70" fillId="0" borderId="6" xfId="15" applyFont="1" applyBorder="1" applyAlignment="1" applyProtection="1">
      <alignment horizontal="center" vertical="center"/>
      <protection locked="0"/>
    </xf>
    <xf numFmtId="0" fontId="4" fillId="0" borderId="6" xfId="15" applyFont="1" applyBorder="1" applyAlignment="1" applyProtection="1">
      <alignment horizontal="center" vertical="center" wrapText="1"/>
      <protection locked="0"/>
    </xf>
    <xf numFmtId="0" fontId="4" fillId="0" borderId="6" xfId="15" applyFont="1" applyBorder="1" applyAlignment="1">
      <alignment horizontal="center" vertical="center" wrapText="1"/>
    </xf>
    <xf numFmtId="0" fontId="4" fillId="0" borderId="20" xfId="15" applyFont="1" applyBorder="1" applyAlignment="1">
      <alignment horizontal="center" vertical="center"/>
    </xf>
    <xf numFmtId="0" fontId="4" fillId="0" borderId="42" xfId="15" applyFont="1" applyBorder="1" applyAlignment="1">
      <alignment horizontal="center" vertical="center" wrapText="1"/>
    </xf>
    <xf numFmtId="0" fontId="4" fillId="0" borderId="41" xfId="15" applyFont="1" applyBorder="1" applyAlignment="1">
      <alignment horizontal="center" vertical="center" wrapText="1"/>
    </xf>
    <xf numFmtId="0" fontId="4" fillId="0" borderId="43" xfId="15" applyFont="1" applyBorder="1" applyAlignment="1">
      <alignment horizontal="center" vertical="center" wrapText="1"/>
    </xf>
    <xf numFmtId="0" fontId="4" fillId="0" borderId="41" xfId="15" applyFont="1" applyBorder="1" applyAlignment="1">
      <alignment horizontal="center" vertical="center"/>
    </xf>
    <xf numFmtId="0" fontId="4" fillId="0" borderId="23" xfId="15" applyFont="1" applyBorder="1" applyAlignment="1">
      <alignment horizontal="center" vertical="center" wrapText="1"/>
    </xf>
    <xf numFmtId="0" fontId="69" fillId="13" borderId="7" xfId="15" applyFont="1" applyFill="1" applyBorder="1" applyAlignment="1">
      <alignment horizontal="center"/>
    </xf>
    <xf numFmtId="9" fontId="57" fillId="0" borderId="22" xfId="12" applyFont="1" applyFill="1" applyBorder="1" applyAlignment="1" applyProtection="1">
      <alignment horizontal="center" vertical="center"/>
      <protection locked="0"/>
    </xf>
    <xf numFmtId="14" fontId="57" fillId="22" borderId="34" xfId="4" applyNumberFormat="1" applyFont="1" applyFill="1" applyBorder="1" applyAlignment="1" applyProtection="1">
      <alignment horizontal="center" vertical="center"/>
      <protection locked="0"/>
    </xf>
    <xf numFmtId="14" fontId="57" fillId="23" borderId="34" xfId="4" applyNumberFormat="1" applyFont="1" applyFill="1" applyBorder="1" applyAlignment="1" applyProtection="1">
      <alignment horizontal="center" vertical="center"/>
      <protection locked="0"/>
    </xf>
    <xf numFmtId="14" fontId="57" fillId="20" borderId="34" xfId="4" applyNumberFormat="1" applyFont="1" applyFill="1" applyBorder="1" applyAlignment="1" applyProtection="1">
      <alignment horizontal="center" vertical="center"/>
      <protection locked="0"/>
    </xf>
    <xf numFmtId="14" fontId="57" fillId="5" borderId="34" xfId="4" applyNumberFormat="1" applyFont="1" applyFill="1" applyBorder="1" applyAlignment="1" applyProtection="1">
      <alignment horizontal="center" vertical="center"/>
      <protection locked="0"/>
    </xf>
    <xf numFmtId="14" fontId="57" fillId="8" borderId="34" xfId="4" applyNumberFormat="1" applyFont="1" applyFill="1" applyBorder="1" applyAlignment="1" applyProtection="1">
      <alignment horizontal="center" vertical="center"/>
      <protection locked="0"/>
    </xf>
    <xf numFmtId="14" fontId="57" fillId="9" borderId="34" xfId="4" applyNumberFormat="1" applyFont="1" applyFill="1" applyBorder="1" applyAlignment="1" applyProtection="1">
      <alignment horizontal="center" vertical="center"/>
      <protection locked="0"/>
    </xf>
    <xf numFmtId="14" fontId="57" fillId="10" borderId="34" xfId="4" applyNumberFormat="1" applyFont="1" applyFill="1" applyBorder="1" applyAlignment="1" applyProtection="1">
      <alignment horizontal="center" vertical="center"/>
      <protection locked="0"/>
    </xf>
    <xf numFmtId="0" fontId="7" fillId="0" borderId="23" xfId="15" applyFont="1" applyBorder="1" applyAlignment="1" applyProtection="1">
      <alignment horizontal="center" vertical="center"/>
      <protection locked="0"/>
    </xf>
    <xf numFmtId="0" fontId="8" fillId="0" borderId="41" xfId="15" applyFont="1" applyBorder="1" applyAlignment="1" applyProtection="1">
      <alignment horizontal="center" vertical="center"/>
      <protection locked="0"/>
    </xf>
    <xf numFmtId="0" fontId="59" fillId="0" borderId="41" xfId="15" applyFont="1" applyBorder="1" applyAlignment="1" applyProtection="1">
      <alignment horizontal="center" vertical="center"/>
      <protection locked="0"/>
    </xf>
    <xf numFmtId="0" fontId="10" fillId="0" borderId="41" xfId="15" applyFont="1" applyBorder="1" applyAlignment="1" applyProtection="1">
      <alignment horizontal="center" vertical="center"/>
      <protection locked="0"/>
    </xf>
    <xf numFmtId="0" fontId="10" fillId="0" borderId="23" xfId="15" applyFont="1" applyBorder="1" applyAlignment="1" applyProtection="1">
      <alignment horizontal="center" vertical="center"/>
      <protection locked="0"/>
    </xf>
    <xf numFmtId="0" fontId="3" fillId="0" borderId="6" xfId="15" applyFont="1" applyBorder="1" applyAlignment="1" applyProtection="1">
      <alignment horizontal="center" vertical="center"/>
      <protection locked="0"/>
    </xf>
    <xf numFmtId="0" fontId="3" fillId="0" borderId="21" xfId="15" applyFont="1" applyBorder="1" applyAlignment="1">
      <alignment horizontal="center" vertical="center"/>
    </xf>
    <xf numFmtId="0" fontId="3" fillId="0" borderId="6" xfId="15" applyFont="1" applyBorder="1" applyAlignment="1">
      <alignment horizontal="center" vertical="center"/>
    </xf>
    <xf numFmtId="0" fontId="54" fillId="13" borderId="44" xfId="15" applyFont="1" applyFill="1" applyBorder="1" applyAlignment="1">
      <alignment horizontal="center" vertical="center" wrapText="1"/>
    </xf>
    <xf numFmtId="0" fontId="71" fillId="0" borderId="6" xfId="15" applyFont="1" applyBorder="1" applyAlignment="1" applyProtection="1">
      <alignment horizontal="center" vertical="center"/>
      <protection locked="0"/>
    </xf>
    <xf numFmtId="0" fontId="71" fillId="0" borderId="6" xfId="15" applyFont="1" applyBorder="1" applyAlignment="1" applyProtection="1">
      <alignment horizontal="center" vertical="center" wrapText="1"/>
      <protection locked="0"/>
    </xf>
    <xf numFmtId="0" fontId="2" fillId="0" borderId="6" xfId="15" applyFont="1" applyBorder="1" applyAlignment="1">
      <alignment horizontal="center" vertical="center" wrapText="1"/>
    </xf>
    <xf numFmtId="0" fontId="2" fillId="0" borderId="6" xfId="15" applyFont="1" applyBorder="1" applyAlignment="1" applyProtection="1">
      <alignment horizontal="center" vertical="center" wrapText="1"/>
      <protection locked="0"/>
    </xf>
    <xf numFmtId="0" fontId="2" fillId="0" borderId="6" xfId="15" applyFont="1" applyBorder="1" applyAlignment="1">
      <alignment horizontal="center" vertical="center"/>
    </xf>
    <xf numFmtId="0" fontId="2" fillId="0" borderId="6" xfId="15" applyFont="1" applyBorder="1" applyAlignment="1" applyProtection="1">
      <alignment horizontal="center" vertical="center"/>
      <protection locked="0"/>
    </xf>
    <xf numFmtId="0" fontId="72" fillId="0" borderId="0" xfId="7" applyFont="1" applyAlignment="1" applyProtection="1">
      <alignment horizontal="center" vertical="center"/>
    </xf>
    <xf numFmtId="0" fontId="1" fillId="0" borderId="0" xfId="4" applyFont="1"/>
    <xf numFmtId="0" fontId="73" fillId="0" borderId="0" xfId="4" applyFont="1" applyAlignment="1">
      <alignment horizontal="center" vertical="center"/>
    </xf>
    <xf numFmtId="0" fontId="72" fillId="0" borderId="0" xfId="4" applyFont="1" applyAlignment="1">
      <alignment horizontal="center" vertical="center"/>
    </xf>
    <xf numFmtId="0" fontId="28" fillId="5" borderId="6" xfId="0" applyFont="1" applyFill="1" applyBorder="1" applyAlignment="1" applyProtection="1">
      <alignment horizontal="center" vertical="center"/>
      <protection locked="0"/>
    </xf>
    <xf numFmtId="0" fontId="28" fillId="0" borderId="6" xfId="0" applyFont="1" applyBorder="1" applyAlignment="1" applyProtection="1">
      <alignment horizontal="center" vertical="center"/>
      <protection locked="0"/>
    </xf>
    <xf numFmtId="0" fontId="28" fillId="0" borderId="16" xfId="0" applyFont="1" applyBorder="1" applyAlignment="1" applyProtection="1">
      <alignment horizontal="center" vertical="center"/>
      <protection locked="0"/>
    </xf>
    <xf numFmtId="0" fontId="28" fillId="0" borderId="12" xfId="0" applyFont="1" applyBorder="1" applyAlignment="1" applyProtection="1">
      <alignment horizontal="center" vertical="center"/>
      <protection locked="0"/>
    </xf>
    <xf numFmtId="0" fontId="28" fillId="0" borderId="17" xfId="0" applyFont="1" applyBorder="1" applyAlignment="1" applyProtection="1">
      <alignment horizontal="center" vertical="center"/>
      <protection locked="0"/>
    </xf>
    <xf numFmtId="0" fontId="28" fillId="0" borderId="13" xfId="0" applyFont="1" applyBorder="1" applyAlignment="1" applyProtection="1">
      <alignment horizontal="center" vertical="center"/>
      <protection locked="0"/>
    </xf>
    <xf numFmtId="0" fontId="28" fillId="0" borderId="14" xfId="0" applyFont="1" applyBorder="1" applyAlignment="1" applyProtection="1">
      <alignment horizontal="center" vertical="center"/>
      <protection locked="0"/>
    </xf>
    <xf numFmtId="0" fontId="28" fillId="0" borderId="15" xfId="0" applyFont="1" applyBorder="1" applyAlignment="1" applyProtection="1">
      <alignment horizontal="center" vertical="center"/>
      <protection locked="0"/>
    </xf>
    <xf numFmtId="0" fontId="58" fillId="5" borderId="6" xfId="0" applyFont="1" applyFill="1" applyBorder="1" applyAlignment="1" applyProtection="1">
      <alignment horizontal="center" vertical="center"/>
      <protection locked="0"/>
    </xf>
    <xf numFmtId="0" fontId="58" fillId="0" borderId="6" xfId="0" applyFont="1" applyBorder="1" applyAlignment="1" applyProtection="1">
      <alignment horizontal="center" vertical="center"/>
      <protection locked="0"/>
    </xf>
    <xf numFmtId="0" fontId="14" fillId="0" borderId="10" xfId="1" applyBorder="1" applyAlignment="1" applyProtection="1">
      <alignment horizontal="center" vertical="center" wrapText="1"/>
      <protection locked="0"/>
    </xf>
    <xf numFmtId="0" fontId="14" fillId="0" borderId="11" xfId="1" applyBorder="1" applyAlignment="1" applyProtection="1">
      <alignment horizontal="center" vertical="center" wrapText="1"/>
      <protection locked="0"/>
    </xf>
    <xf numFmtId="0" fontId="14" fillId="0" borderId="0" xfId="1" applyBorder="1" applyAlignment="1" applyProtection="1">
      <alignment horizontal="center" vertical="center" wrapText="1"/>
      <protection locked="0"/>
    </xf>
    <xf numFmtId="0" fontId="14" fillId="0" borderId="2" xfId="1" applyBorder="1" applyAlignment="1" applyProtection="1">
      <alignment horizontal="center" vertical="center" wrapText="1"/>
      <protection locked="0"/>
    </xf>
    <xf numFmtId="0" fontId="14" fillId="0" borderId="4" xfId="1" applyBorder="1" applyAlignment="1" applyProtection="1">
      <alignment horizontal="center" vertical="center" wrapText="1"/>
      <protection locked="0"/>
    </xf>
    <xf numFmtId="0" fontId="14" fillId="0" borderId="5" xfId="1" applyBorder="1" applyAlignment="1" applyProtection="1">
      <alignment horizontal="center" vertical="center" wrapText="1"/>
      <protection locked="0"/>
    </xf>
    <xf numFmtId="0" fontId="23" fillId="3" borderId="0" xfId="0" applyFont="1" applyFill="1" applyAlignment="1" applyProtection="1">
      <alignment horizontal="center" vertical="center"/>
      <protection locked="0"/>
    </xf>
    <xf numFmtId="0" fontId="23" fillId="3" borderId="2" xfId="0" applyFont="1" applyFill="1" applyBorder="1" applyAlignment="1" applyProtection="1">
      <alignment horizontal="center" vertical="center"/>
      <protection locked="0"/>
    </xf>
    <xf numFmtId="0" fontId="25" fillId="0" borderId="6" xfId="0" applyFont="1" applyBorder="1" applyAlignment="1" applyProtection="1">
      <alignment horizontal="center" vertical="center" wrapText="1"/>
      <protection locked="0"/>
    </xf>
    <xf numFmtId="0" fontId="24" fillId="0" borderId="6" xfId="0" applyFont="1" applyBorder="1" applyAlignment="1" applyProtection="1">
      <alignment horizontal="center" vertical="center" wrapText="1"/>
      <protection locked="0"/>
    </xf>
    <xf numFmtId="0" fontId="16" fillId="4" borderId="6" xfId="0" applyFont="1" applyFill="1" applyBorder="1" applyAlignment="1" applyProtection="1">
      <alignment horizontal="center" vertical="center" wrapText="1"/>
      <protection locked="0"/>
    </xf>
    <xf numFmtId="0" fontId="25" fillId="4" borderId="6" xfId="0" applyFont="1" applyFill="1" applyBorder="1" applyAlignment="1" applyProtection="1">
      <alignment horizontal="center" wrapText="1"/>
      <protection locked="0"/>
    </xf>
    <xf numFmtId="0" fontId="25" fillId="4" borderId="8" xfId="0" applyFont="1" applyFill="1" applyBorder="1" applyAlignment="1" applyProtection="1">
      <alignment horizontal="center" wrapText="1"/>
      <protection locked="0"/>
    </xf>
    <xf numFmtId="0" fontId="27" fillId="2" borderId="6" xfId="0" applyFont="1" applyFill="1" applyBorder="1" applyAlignment="1" applyProtection="1">
      <alignment horizontal="center" vertical="center" wrapText="1"/>
      <protection locked="0"/>
    </xf>
    <xf numFmtId="0" fontId="25" fillId="0" borderId="7" xfId="0" applyFont="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27" fillId="2" borderId="12" xfId="0" applyFont="1" applyFill="1" applyBorder="1" applyAlignment="1" applyProtection="1">
      <alignment horizontal="center" vertical="center" wrapText="1"/>
      <protection locked="0"/>
    </xf>
    <xf numFmtId="0" fontId="27" fillId="2" borderId="17" xfId="0" applyFont="1" applyFill="1" applyBorder="1" applyAlignment="1" applyProtection="1">
      <alignment horizontal="center" vertical="center" wrapText="1"/>
      <protection locked="0"/>
    </xf>
    <xf numFmtId="0" fontId="27" fillId="2" borderId="13" xfId="0" applyFont="1" applyFill="1" applyBorder="1" applyAlignment="1" applyProtection="1">
      <alignment horizontal="center" vertical="center" wrapText="1"/>
      <protection locked="0"/>
    </xf>
    <xf numFmtId="0" fontId="27" fillId="2" borderId="14" xfId="0" applyFont="1" applyFill="1" applyBorder="1" applyAlignment="1" applyProtection="1">
      <alignment horizontal="center" vertical="center" wrapText="1"/>
      <protection locked="0"/>
    </xf>
    <xf numFmtId="0" fontId="27" fillId="2" borderId="15" xfId="0" applyFont="1" applyFill="1" applyBorder="1" applyAlignment="1" applyProtection="1">
      <alignment horizontal="center" vertical="center" wrapText="1"/>
      <protection locked="0"/>
    </xf>
    <xf numFmtId="0" fontId="28" fillId="5" borderId="16" xfId="0" applyFont="1" applyFill="1" applyBorder="1" applyAlignment="1" applyProtection="1">
      <alignment horizontal="center" vertical="center"/>
      <protection locked="0"/>
    </xf>
    <xf numFmtId="0" fontId="28" fillId="5" borderId="12" xfId="0" applyFont="1" applyFill="1" applyBorder="1" applyAlignment="1" applyProtection="1">
      <alignment horizontal="center" vertical="center"/>
      <protection locked="0"/>
    </xf>
    <xf numFmtId="0" fontId="28" fillId="5" borderId="17" xfId="0" applyFont="1" applyFill="1" applyBorder="1" applyAlignment="1" applyProtection="1">
      <alignment horizontal="center" vertical="center"/>
      <protection locked="0"/>
    </xf>
    <xf numFmtId="0" fontId="28" fillId="5" borderId="13" xfId="0" applyFont="1" applyFill="1" applyBorder="1" applyAlignment="1" applyProtection="1">
      <alignment horizontal="center" vertical="center"/>
      <protection locked="0"/>
    </xf>
    <xf numFmtId="0" fontId="28" fillId="5" borderId="14" xfId="0" applyFont="1" applyFill="1" applyBorder="1" applyAlignment="1" applyProtection="1">
      <alignment horizontal="center" vertical="center"/>
      <protection locked="0"/>
    </xf>
    <xf numFmtId="0" fontId="28" fillId="5" borderId="15" xfId="0" applyFont="1" applyFill="1" applyBorder="1" applyAlignment="1" applyProtection="1">
      <alignment horizontal="center" vertical="center"/>
      <protection locked="0"/>
    </xf>
    <xf numFmtId="0" fontId="21" fillId="0" borderId="9" xfId="0" applyFont="1" applyBorder="1" applyAlignment="1">
      <alignment horizontal="left"/>
    </xf>
    <xf numFmtId="0" fontId="21" fillId="0" borderId="10" xfId="0" applyFont="1" applyBorder="1" applyAlignment="1">
      <alignment horizontal="left"/>
    </xf>
    <xf numFmtId="0" fontId="21" fillId="0" borderId="1" xfId="0" applyFont="1" applyBorder="1" applyAlignment="1">
      <alignment horizontal="left"/>
    </xf>
    <xf numFmtId="0" fontId="21" fillId="0" borderId="0" xfId="0" applyFont="1" applyAlignment="1">
      <alignment horizontal="left"/>
    </xf>
    <xf numFmtId="0" fontId="22" fillId="3" borderId="1" xfId="0" applyFont="1" applyFill="1" applyBorder="1" applyAlignment="1" applyProtection="1">
      <alignment horizontal="center" vertical="center"/>
      <protection locked="0"/>
    </xf>
    <xf numFmtId="0" fontId="22" fillId="3" borderId="0" xfId="0" applyFont="1" applyFill="1" applyAlignment="1" applyProtection="1">
      <alignment horizontal="center" vertical="center"/>
      <protection locked="0"/>
    </xf>
    <xf numFmtId="165" fontId="24" fillId="0" borderId="6" xfId="0" applyNumberFormat="1" applyFont="1" applyBorder="1" applyAlignment="1" applyProtection="1">
      <alignment horizontal="center" vertical="center" wrapText="1"/>
      <protection locked="0"/>
    </xf>
    <xf numFmtId="0" fontId="58" fillId="0" borderId="16" xfId="0" applyFont="1" applyBorder="1" applyAlignment="1" applyProtection="1">
      <alignment horizontal="center" vertical="center"/>
      <protection locked="0"/>
    </xf>
    <xf numFmtId="0" fontId="58" fillId="0" borderId="12" xfId="0" applyFont="1" applyBorder="1" applyAlignment="1" applyProtection="1">
      <alignment horizontal="center" vertical="center"/>
      <protection locked="0"/>
    </xf>
    <xf numFmtId="0" fontId="58" fillId="0" borderId="17" xfId="0" applyFont="1" applyBorder="1" applyAlignment="1" applyProtection="1">
      <alignment horizontal="center" vertical="center"/>
      <protection locked="0"/>
    </xf>
    <xf numFmtId="0" fontId="58" fillId="0" borderId="13" xfId="0" applyFont="1" applyBorder="1" applyAlignment="1" applyProtection="1">
      <alignment horizontal="center" vertical="center"/>
      <protection locked="0"/>
    </xf>
    <xf numFmtId="0" fontId="58" fillId="0" borderId="14" xfId="0" applyFont="1" applyBorder="1" applyAlignment="1" applyProtection="1">
      <alignment horizontal="center" vertical="center"/>
      <protection locked="0"/>
    </xf>
    <xf numFmtId="0" fontId="58" fillId="0" borderId="15" xfId="0" applyFont="1" applyBorder="1" applyAlignment="1" applyProtection="1">
      <alignment horizontal="center" vertical="center"/>
      <protection locked="0"/>
    </xf>
    <xf numFmtId="0" fontId="58" fillId="0" borderId="16" xfId="0" quotePrefix="1" applyFont="1" applyBorder="1" applyAlignment="1" applyProtection="1">
      <alignment horizontal="center" vertical="center"/>
      <protection locked="0"/>
    </xf>
    <xf numFmtId="0" fontId="58" fillId="0" borderId="12" xfId="0" quotePrefix="1" applyFont="1" applyBorder="1" applyAlignment="1" applyProtection="1">
      <alignment horizontal="center" vertical="center"/>
      <protection locked="0"/>
    </xf>
    <xf numFmtId="0" fontId="58" fillId="0" borderId="17" xfId="0" quotePrefix="1" applyFont="1" applyBorder="1" applyAlignment="1" applyProtection="1">
      <alignment horizontal="center" vertical="center"/>
      <protection locked="0"/>
    </xf>
    <xf numFmtId="0" fontId="58" fillId="0" borderId="13" xfId="0" quotePrefix="1" applyFont="1" applyBorder="1" applyAlignment="1" applyProtection="1">
      <alignment horizontal="center" vertical="center"/>
      <protection locked="0"/>
    </xf>
    <xf numFmtId="0" fontId="58" fillId="0" borderId="14" xfId="0" quotePrefix="1" applyFont="1" applyBorder="1" applyAlignment="1" applyProtection="1">
      <alignment horizontal="center" vertical="center"/>
      <protection locked="0"/>
    </xf>
    <xf numFmtId="0" fontId="58" fillId="0" borderId="15" xfId="0" quotePrefix="1" applyFont="1" applyBorder="1" applyAlignment="1" applyProtection="1">
      <alignment horizontal="center" vertical="center"/>
      <protection locked="0"/>
    </xf>
    <xf numFmtId="0" fontId="58" fillId="5" borderId="6" xfId="0" quotePrefix="1" applyFont="1" applyFill="1" applyBorder="1" applyAlignment="1" applyProtection="1">
      <alignment horizontal="center" vertical="center"/>
      <protection locked="0"/>
    </xf>
    <xf numFmtId="0" fontId="58" fillId="5" borderId="16" xfId="0" applyFont="1" applyFill="1" applyBorder="1" applyAlignment="1" applyProtection="1">
      <alignment horizontal="center" vertical="center"/>
      <protection locked="0"/>
    </xf>
    <xf numFmtId="0" fontId="58" fillId="5" borderId="12" xfId="0" applyFont="1" applyFill="1" applyBorder="1" applyAlignment="1" applyProtection="1">
      <alignment horizontal="center" vertical="center"/>
      <protection locked="0"/>
    </xf>
    <xf numFmtId="0" fontId="58" fillId="5" borderId="17" xfId="0" applyFont="1" applyFill="1" applyBorder="1" applyAlignment="1" applyProtection="1">
      <alignment horizontal="center" vertical="center"/>
      <protection locked="0"/>
    </xf>
    <xf numFmtId="0" fontId="58" fillId="5" borderId="13" xfId="0" applyFont="1" applyFill="1" applyBorder="1" applyAlignment="1" applyProtection="1">
      <alignment horizontal="center" vertical="center"/>
      <protection locked="0"/>
    </xf>
    <xf numFmtId="0" fontId="58" fillId="5" borderId="14" xfId="0" applyFont="1" applyFill="1" applyBorder="1" applyAlignment="1" applyProtection="1">
      <alignment horizontal="center" vertical="center"/>
      <protection locked="0"/>
    </xf>
    <xf numFmtId="0" fontId="58" fillId="5" borderId="15" xfId="0" applyFont="1" applyFill="1" applyBorder="1" applyAlignment="1" applyProtection="1">
      <alignment horizontal="center" vertical="center"/>
      <protection locked="0"/>
    </xf>
    <xf numFmtId="0" fontId="21" fillId="0" borderId="6" xfId="0" applyFont="1" applyBorder="1" applyAlignment="1" applyProtection="1">
      <alignment horizontal="center" vertical="center"/>
      <protection locked="0"/>
    </xf>
    <xf numFmtId="0" fontId="21" fillId="5" borderId="6" xfId="0" applyFont="1" applyFill="1" applyBorder="1" applyAlignment="1" applyProtection="1">
      <alignment horizontal="center" vertical="center"/>
      <protection locked="0"/>
    </xf>
    <xf numFmtId="0" fontId="28" fillId="0" borderId="6" xfId="0" quotePrefix="1" applyFont="1" applyBorder="1" applyAlignment="1" applyProtection="1">
      <alignment horizontal="center" vertical="center"/>
      <protection locked="0"/>
    </xf>
    <xf numFmtId="0" fontId="28" fillId="5" borderId="6" xfId="0" quotePrefix="1" applyFont="1" applyFill="1" applyBorder="1" applyAlignment="1" applyProtection="1">
      <alignment horizontal="center" vertical="center"/>
      <protection locked="0"/>
    </xf>
    <xf numFmtId="0" fontId="21" fillId="0" borderId="16" xfId="0" applyFont="1" applyBorder="1" applyAlignment="1" applyProtection="1">
      <alignment horizontal="center" vertical="center"/>
      <protection locked="0"/>
    </xf>
    <xf numFmtId="0" fontId="21" fillId="0" borderId="12" xfId="0" applyFont="1" applyBorder="1" applyAlignment="1" applyProtection="1">
      <alignment horizontal="center" vertical="center"/>
      <protection locked="0"/>
    </xf>
    <xf numFmtId="0" fontId="21" fillId="0" borderId="17" xfId="0" applyFont="1" applyBorder="1" applyAlignment="1" applyProtection="1">
      <alignment horizontal="center" vertical="center"/>
      <protection locked="0"/>
    </xf>
    <xf numFmtId="0" fontId="21" fillId="0" borderId="13" xfId="0" applyFont="1" applyBorder="1" applyAlignment="1" applyProtection="1">
      <alignment horizontal="center" vertical="center"/>
      <protection locked="0"/>
    </xf>
    <xf numFmtId="0" fontId="21" fillId="0" borderId="14" xfId="0" applyFont="1" applyBorder="1" applyAlignment="1" applyProtection="1">
      <alignment horizontal="center" vertical="center"/>
      <protection locked="0"/>
    </xf>
    <xf numFmtId="0" fontId="21" fillId="0" borderId="15" xfId="0" applyFont="1" applyBorder="1" applyAlignment="1" applyProtection="1">
      <alignment horizontal="center" vertical="center"/>
      <protection locked="0"/>
    </xf>
    <xf numFmtId="0" fontId="21" fillId="5" borderId="16" xfId="0" applyFont="1" applyFill="1" applyBorder="1" applyAlignment="1" applyProtection="1">
      <alignment horizontal="center" vertical="center"/>
      <protection locked="0"/>
    </xf>
    <xf numFmtId="0" fontId="21" fillId="5" borderId="12" xfId="0" applyFont="1" applyFill="1" applyBorder="1" applyAlignment="1" applyProtection="1">
      <alignment horizontal="center" vertical="center"/>
      <protection locked="0"/>
    </xf>
    <xf numFmtId="0" fontId="21" fillId="5" borderId="17" xfId="0" applyFont="1" applyFill="1" applyBorder="1" applyAlignment="1" applyProtection="1">
      <alignment horizontal="center" vertical="center"/>
      <protection locked="0"/>
    </xf>
    <xf numFmtId="0" fontId="21" fillId="5" borderId="13" xfId="0" applyFont="1" applyFill="1" applyBorder="1" applyAlignment="1" applyProtection="1">
      <alignment horizontal="center" vertical="center"/>
      <protection locked="0"/>
    </xf>
    <xf numFmtId="0" fontId="21" fillId="5" borderId="14" xfId="0" applyFont="1" applyFill="1" applyBorder="1" applyAlignment="1" applyProtection="1">
      <alignment horizontal="center" vertical="center"/>
      <protection locked="0"/>
    </xf>
    <xf numFmtId="0" fontId="21" fillId="5" borderId="15" xfId="0" applyFont="1" applyFill="1" applyBorder="1" applyAlignment="1" applyProtection="1">
      <alignment horizontal="center" vertical="center"/>
      <protection locked="0"/>
    </xf>
    <xf numFmtId="0" fontId="13" fillId="0" borderId="0" xfId="4" applyAlignment="1">
      <alignment horizontal="center"/>
    </xf>
    <xf numFmtId="0" fontId="37" fillId="0" borderId="0" xfId="4" applyFont="1" applyAlignment="1">
      <alignment horizontal="center"/>
    </xf>
    <xf numFmtId="0" fontId="36" fillId="0" borderId="0" xfId="9" applyFont="1" applyFill="1" applyAlignment="1">
      <alignment horizontal="right"/>
    </xf>
    <xf numFmtId="0" fontId="36" fillId="0" borderId="25" xfId="9" applyFont="1" applyFill="1" applyBorder="1" applyAlignment="1">
      <alignment horizontal="right"/>
    </xf>
    <xf numFmtId="166" fontId="36" fillId="0" borderId="26" xfId="10" applyFont="1" applyProtection="1">
      <alignment horizontal="center" vertical="center"/>
      <protection locked="0"/>
    </xf>
    <xf numFmtId="14" fontId="37" fillId="0" borderId="0" xfId="4" applyNumberFormat="1" applyFont="1" applyAlignment="1" applyProtection="1">
      <alignment horizontal="left" vertical="center"/>
      <protection locked="0"/>
    </xf>
    <xf numFmtId="0" fontId="36" fillId="0" borderId="0" xfId="4" applyFont="1" applyAlignment="1" applyProtection="1">
      <alignment horizontal="left" vertical="center"/>
      <protection locked="0"/>
    </xf>
    <xf numFmtId="167" fontId="10" fillId="5" borderId="27" xfId="4" applyNumberFormat="1" applyFont="1" applyFill="1" applyBorder="1" applyAlignment="1">
      <alignment horizontal="left" vertical="center" wrapText="1" indent="1"/>
    </xf>
    <xf numFmtId="167" fontId="10" fillId="5" borderId="28" xfId="4" applyNumberFormat="1" applyFont="1" applyFill="1" applyBorder="1" applyAlignment="1">
      <alignment horizontal="left" vertical="center" wrapText="1" indent="1"/>
    </xf>
    <xf numFmtId="167" fontId="10" fillId="5" borderId="29" xfId="4" applyNumberFormat="1" applyFont="1" applyFill="1" applyBorder="1" applyAlignment="1">
      <alignment horizontal="left" vertical="center" wrapText="1" indent="1"/>
    </xf>
    <xf numFmtId="0" fontId="40" fillId="4" borderId="34" xfId="11" applyFont="1" applyFill="1" applyAlignment="1">
      <alignment horizontal="center" vertical="center" wrapText="1"/>
    </xf>
    <xf numFmtId="0" fontId="40" fillId="4" borderId="46" xfId="11" applyFont="1" applyFill="1" applyBorder="1" applyAlignment="1">
      <alignment horizontal="center" vertical="center" wrapText="1"/>
    </xf>
    <xf numFmtId="0" fontId="64" fillId="0" borderId="10" xfId="15" applyFont="1" applyBorder="1" applyAlignment="1" applyProtection="1">
      <alignment horizontal="center" vertical="center"/>
      <protection locked="0"/>
    </xf>
    <xf numFmtId="0" fontId="64" fillId="0" borderId="11" xfId="15" applyFont="1" applyBorder="1" applyAlignment="1" applyProtection="1">
      <alignment horizontal="center" vertical="center"/>
      <protection locked="0"/>
    </xf>
    <xf numFmtId="0" fontId="24" fillId="0" borderId="23"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0" fontId="25" fillId="2" borderId="18" xfId="0" applyFont="1" applyFill="1" applyBorder="1" applyAlignment="1" applyProtection="1">
      <alignment horizontal="center" vertical="center"/>
      <protection locked="0"/>
    </xf>
    <xf numFmtId="0" fontId="25" fillId="2" borderId="12" xfId="0" applyFont="1" applyFill="1" applyBorder="1" applyAlignment="1" applyProtection="1">
      <alignment horizontal="center" vertical="center"/>
      <protection locked="0"/>
    </xf>
    <xf numFmtId="0" fontId="25" fillId="2" borderId="19" xfId="0" applyFont="1" applyFill="1" applyBorder="1" applyAlignment="1" applyProtection="1">
      <alignment horizontal="center" vertical="center"/>
      <protection locked="0"/>
    </xf>
    <xf numFmtId="0" fontId="25" fillId="0" borderId="7" xfId="0" applyFont="1" applyBorder="1" applyAlignment="1" applyProtection="1">
      <alignment horizontal="center" vertical="center"/>
      <protection locked="0"/>
    </xf>
    <xf numFmtId="0" fontId="25" fillId="0" borderId="6" xfId="0" applyFont="1" applyBorder="1" applyAlignment="1" applyProtection="1">
      <alignment horizontal="center" vertical="center"/>
      <protection locked="0"/>
    </xf>
    <xf numFmtId="0" fontId="25" fillId="0" borderId="23" xfId="0" applyFont="1" applyBorder="1" applyAlignment="1" applyProtection="1">
      <alignment horizontal="center" vertical="center"/>
      <protection locked="0"/>
    </xf>
    <xf numFmtId="0" fontId="24" fillId="0" borderId="20" xfId="0" applyFont="1" applyBorder="1" applyAlignment="1" applyProtection="1">
      <alignment horizontal="center" vertical="center"/>
      <protection locked="0"/>
    </xf>
    <xf numFmtId="0" fontId="24" fillId="0" borderId="21"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6" xfId="0" applyFont="1" applyBorder="1" applyAlignment="1" applyProtection="1">
      <alignment horizontal="center" vertical="center"/>
      <protection locked="0"/>
    </xf>
    <xf numFmtId="0" fontId="24" fillId="0" borderId="8" xfId="0" applyFont="1" applyBorder="1" applyAlignment="1" applyProtection="1">
      <alignment horizontal="center" vertical="center"/>
      <protection locked="0"/>
    </xf>
    <xf numFmtId="0" fontId="28" fillId="5" borderId="6" xfId="0" applyFont="1" applyFill="1" applyBorder="1" applyAlignment="1" applyProtection="1">
      <alignment horizontal="center" vertical="center" wrapText="1"/>
      <protection locked="0"/>
    </xf>
    <xf numFmtId="0" fontId="28" fillId="0" borderId="6" xfId="0" applyFont="1" applyBorder="1" applyAlignment="1" applyProtection="1">
      <alignment horizontal="center" vertical="center" wrapText="1"/>
      <protection locked="0"/>
    </xf>
    <xf numFmtId="0" fontId="28" fillId="5" borderId="16" xfId="0" applyFont="1" applyFill="1" applyBorder="1" applyAlignment="1" applyProtection="1">
      <alignment horizontal="center" vertical="center" wrapText="1"/>
      <protection locked="0"/>
    </xf>
    <xf numFmtId="0" fontId="28" fillId="5" borderId="12" xfId="0" applyFont="1" applyFill="1" applyBorder="1" applyAlignment="1" applyProtection="1">
      <alignment horizontal="center" vertical="center" wrapText="1"/>
      <protection locked="0"/>
    </xf>
    <xf numFmtId="0" fontId="28" fillId="5" borderId="17" xfId="0" applyFont="1" applyFill="1" applyBorder="1" applyAlignment="1" applyProtection="1">
      <alignment horizontal="center" vertical="center" wrapText="1"/>
      <protection locked="0"/>
    </xf>
    <xf numFmtId="0" fontId="28" fillId="5" borderId="13" xfId="0" applyFont="1" applyFill="1" applyBorder="1" applyAlignment="1" applyProtection="1">
      <alignment horizontal="center" vertical="center" wrapText="1"/>
      <protection locked="0"/>
    </xf>
    <xf numFmtId="0" fontId="28" fillId="5" borderId="14" xfId="0" applyFont="1" applyFill="1" applyBorder="1" applyAlignment="1" applyProtection="1">
      <alignment horizontal="center" vertical="center" wrapText="1"/>
      <protection locked="0"/>
    </xf>
    <xf numFmtId="0" fontId="28" fillId="5" borderId="15" xfId="0" applyFont="1" applyFill="1" applyBorder="1" applyAlignment="1" applyProtection="1">
      <alignment horizontal="center" vertical="center" wrapText="1"/>
      <protection locked="0"/>
    </xf>
    <xf numFmtId="0" fontId="28" fillId="0" borderId="16" xfId="0" applyFont="1" applyBorder="1" applyAlignment="1" applyProtection="1">
      <alignment horizontal="center" vertical="center" wrapText="1"/>
      <protection locked="0"/>
    </xf>
    <xf numFmtId="0" fontId="28" fillId="0" borderId="12" xfId="0" applyFont="1" applyBorder="1" applyAlignment="1" applyProtection="1">
      <alignment horizontal="center" vertical="center" wrapText="1"/>
      <protection locked="0"/>
    </xf>
    <xf numFmtId="0" fontId="28" fillId="0" borderId="17" xfId="0" applyFont="1" applyBorder="1" applyAlignment="1" applyProtection="1">
      <alignment horizontal="center" vertical="center" wrapText="1"/>
      <protection locked="0"/>
    </xf>
    <xf numFmtId="0" fontId="28" fillId="0" borderId="13" xfId="0" applyFont="1" applyBorder="1" applyAlignment="1" applyProtection="1">
      <alignment horizontal="center" vertical="center" wrapText="1"/>
      <protection locked="0"/>
    </xf>
    <xf numFmtId="0" fontId="28" fillId="0" borderId="14" xfId="0" applyFont="1" applyBorder="1" applyAlignment="1" applyProtection="1">
      <alignment horizontal="center" vertical="center" wrapText="1"/>
      <protection locked="0"/>
    </xf>
    <xf numFmtId="0" fontId="28" fillId="0" borderId="15" xfId="0" applyFont="1" applyBorder="1" applyAlignment="1" applyProtection="1">
      <alignment horizontal="center" vertical="center" wrapText="1"/>
      <protection locked="0"/>
    </xf>
    <xf numFmtId="0" fontId="25" fillId="2" borderId="6" xfId="0" applyFont="1" applyFill="1" applyBorder="1" applyAlignment="1">
      <alignment horizontal="center" vertical="center"/>
    </xf>
    <xf numFmtId="0" fontId="16" fillId="0" borderId="20"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25" fillId="0" borderId="6" xfId="0" applyFont="1" applyBorder="1" applyAlignment="1">
      <alignment horizontal="center" vertical="center"/>
    </xf>
    <xf numFmtId="164" fontId="24" fillId="0" borderId="6" xfId="0" applyNumberFormat="1" applyFont="1" applyBorder="1" applyAlignment="1">
      <alignment horizontal="center"/>
    </xf>
    <xf numFmtId="0" fontId="24" fillId="2" borderId="6" xfId="0" applyFont="1" applyFill="1" applyBorder="1" applyAlignment="1" applyProtection="1">
      <alignment horizontal="center" vertical="center"/>
      <protection locked="0"/>
    </xf>
    <xf numFmtId="0" fontId="50" fillId="2" borderId="6" xfId="0" applyFont="1" applyFill="1" applyBorder="1" applyAlignment="1" applyProtection="1">
      <alignment horizontal="center" vertical="center"/>
      <protection locked="0"/>
    </xf>
    <xf numFmtId="0" fontId="27" fillId="2" borderId="6" xfId="0" applyFont="1" applyFill="1" applyBorder="1" applyAlignment="1" applyProtection="1">
      <alignment horizontal="center" vertical="center"/>
      <protection locked="0"/>
    </xf>
    <xf numFmtId="0" fontId="49" fillId="2" borderId="6" xfId="0" applyFont="1" applyFill="1" applyBorder="1" applyAlignment="1" applyProtection="1">
      <alignment horizontal="center" vertical="center"/>
      <protection locked="0"/>
    </xf>
    <xf numFmtId="0" fontId="51" fillId="2" borderId="6" xfId="0" applyFont="1" applyFill="1" applyBorder="1" applyAlignment="1" applyProtection="1">
      <alignment horizontal="center" vertical="center"/>
      <protection locked="0"/>
    </xf>
    <xf numFmtId="0" fontId="52" fillId="2" borderId="6" xfId="0" applyFont="1" applyFill="1" applyBorder="1" applyAlignment="1" applyProtection="1">
      <alignment horizontal="center" vertical="center"/>
      <protection locked="0"/>
    </xf>
    <xf numFmtId="0" fontId="25" fillId="2" borderId="6" xfId="0" applyFont="1" applyFill="1" applyBorder="1" applyAlignment="1" applyProtection="1">
      <alignment horizontal="center" vertical="center"/>
      <protection locked="0"/>
    </xf>
    <xf numFmtId="0" fontId="25" fillId="2" borderId="6" xfId="0" applyFont="1" applyFill="1" applyBorder="1" applyAlignment="1" applyProtection="1">
      <alignment horizontal="center"/>
      <protection locked="0"/>
    </xf>
    <xf numFmtId="0" fontId="48" fillId="0" borderId="0" xfId="0" applyFont="1" applyAlignment="1" applyProtection="1">
      <alignment horizontal="center" vertical="center"/>
      <protection locked="0"/>
    </xf>
    <xf numFmtId="0" fontId="25" fillId="2" borderId="36" xfId="2" applyFont="1" applyFill="1" applyBorder="1" applyAlignment="1" applyProtection="1">
      <alignment horizontal="center" vertical="center"/>
      <protection locked="0"/>
    </xf>
    <xf numFmtId="0" fontId="25" fillId="2" borderId="21" xfId="2" applyFont="1" applyFill="1" applyBorder="1" applyAlignment="1" applyProtection="1">
      <alignment horizontal="center" vertical="center"/>
      <protection locked="0"/>
    </xf>
    <xf numFmtId="0" fontId="25" fillId="2" borderId="37" xfId="2" applyFont="1" applyFill="1" applyBorder="1" applyAlignment="1" applyProtection="1">
      <alignment horizontal="center" vertical="center"/>
      <protection locked="0"/>
    </xf>
    <xf numFmtId="0" fontId="24" fillId="0" borderId="6" xfId="0" applyFont="1" applyBorder="1" applyAlignment="1" applyProtection="1">
      <alignment horizontal="left" vertical="center"/>
      <protection locked="0"/>
    </xf>
    <xf numFmtId="0" fontId="24" fillId="0" borderId="6" xfId="0" applyFont="1" applyBorder="1" applyAlignment="1">
      <alignment horizontal="center" vertical="center"/>
    </xf>
    <xf numFmtId="0" fontId="24" fillId="0" borderId="6" xfId="0" applyFont="1" applyBorder="1" applyAlignment="1">
      <alignment horizontal="center"/>
    </xf>
    <xf numFmtId="0" fontId="24" fillId="0" borderId="8" xfId="0" applyFont="1" applyBorder="1" applyAlignment="1">
      <alignment horizontal="center"/>
    </xf>
    <xf numFmtId="0" fontId="24" fillId="0" borderId="7" xfId="0" applyFont="1" applyBorder="1" applyAlignment="1" applyProtection="1">
      <alignment horizontal="left" vertical="center"/>
      <protection locked="0"/>
    </xf>
    <xf numFmtId="0" fontId="47" fillId="4" borderId="6" xfId="0" applyFont="1" applyFill="1" applyBorder="1" applyAlignment="1" applyProtection="1">
      <alignment horizontal="center" vertical="center" wrapText="1"/>
      <protection locked="0"/>
    </xf>
    <xf numFmtId="0" fontId="25" fillId="2" borderId="22" xfId="2" applyFont="1" applyFill="1" applyBorder="1" applyAlignment="1" applyProtection="1">
      <alignment horizontal="center" vertical="center"/>
      <protection locked="0"/>
    </xf>
    <xf numFmtId="0" fontId="24" fillId="0" borderId="13" xfId="0" applyFont="1" applyBorder="1" applyAlignment="1" applyProtection="1">
      <alignment horizontal="center" vertical="center"/>
      <protection locked="0"/>
    </xf>
    <xf numFmtId="0" fontId="24" fillId="0" borderId="14" xfId="0" applyFont="1" applyBorder="1" applyAlignment="1" applyProtection="1">
      <alignment horizontal="center" vertical="center"/>
      <protection locked="0"/>
    </xf>
    <xf numFmtId="0" fontId="24" fillId="0" borderId="15" xfId="0" applyFont="1" applyBorder="1" applyAlignment="1" applyProtection="1">
      <alignment horizontal="center" vertical="center"/>
      <protection locked="0"/>
    </xf>
  </cellXfs>
  <cellStyles count="27">
    <cellStyle name="Comma 2" xfId="18" xr:uid="{1A998394-9D26-48EC-A897-269C306AFB59}"/>
    <cellStyle name="Date" xfId="14" xr:uid="{9E0EC594-46E5-4653-BB80-94826338BECE}"/>
    <cellStyle name="Date 2" xfId="21" xr:uid="{1B165516-5E62-45A4-AD76-F90FE3645F61}"/>
    <cellStyle name="Heading 1 2" xfId="6" xr:uid="{D2A796CD-5FB4-49FF-A7C1-8401B4E927CF}"/>
    <cellStyle name="Heading 2 2" xfId="8" xr:uid="{4F6EDDD1-EC2D-443E-87DB-20F9B3CED2F6}"/>
    <cellStyle name="Heading 3 2" xfId="9" xr:uid="{9832B9E8-5DBD-4772-89CB-F7B1B0B45D9B}"/>
    <cellStyle name="Heading 3 3" xfId="19" xr:uid="{45C135C0-383E-49CD-8A51-D46D8A06FCCB}"/>
    <cellStyle name="Hyperlink" xfId="1" builtinId="8"/>
    <cellStyle name="Hyperlink 2" xfId="7" xr:uid="{55669A39-B2B9-4D68-833E-EB85A41175AA}"/>
    <cellStyle name="Name" xfId="11" xr:uid="{425D53A4-160D-4C77-B784-8FE61E6BDA7B}"/>
    <cellStyle name="Name 2" xfId="22" xr:uid="{9E0B553B-4290-45A4-8F04-1F6131FF7899}"/>
    <cellStyle name="Normal" xfId="0" builtinId="0"/>
    <cellStyle name="Normal 2" xfId="2" xr:uid="{00000000-0005-0000-0000-000002000000}"/>
    <cellStyle name="Normal 2 2" xfId="15" xr:uid="{2007841A-52FA-46F0-B8C8-9974320F6E21}"/>
    <cellStyle name="Normal 3" xfId="4" xr:uid="{B54E349B-F911-45DA-A9BE-31E5E3C65081}"/>
    <cellStyle name="Normal 4" xfId="16" xr:uid="{00DA7CC4-3032-43EC-BD0B-7CA3BB7B1182}"/>
    <cellStyle name="Normal 5" xfId="24" xr:uid="{82FC527B-F551-4499-A5DE-33CBE9FF06C1}"/>
    <cellStyle name="Normal 6" xfId="25" xr:uid="{8B648F8E-5FE7-422F-AB9D-A373DD4A3BDE}"/>
    <cellStyle name="Percent 2" xfId="12" xr:uid="{FBA67648-D855-408B-8530-E71403A3C5E8}"/>
    <cellStyle name="Percent 2 2" xfId="26" xr:uid="{C87434F2-9341-43FB-9934-8B32159CB7B3}"/>
    <cellStyle name="Percent 3" xfId="17" xr:uid="{2CC4FA57-C141-4067-BE7B-1AFBBFF41FF9}"/>
    <cellStyle name="Project Start" xfId="10" xr:uid="{C93C6114-B1BC-4AB8-9A88-FC83E6035C1D}"/>
    <cellStyle name="Project Start 2" xfId="20" xr:uid="{9EEF7684-0C4E-4DC6-81AA-686C86BCA08E}"/>
    <cellStyle name="Task" xfId="13" xr:uid="{26CF0C33-D27D-4F6C-9BE2-C6533F32A121}"/>
    <cellStyle name="Task 2" xfId="23" xr:uid="{D0931092-DFCD-43A8-92F5-3A3F57A55568}"/>
    <cellStyle name="Title 2" xfId="5" xr:uid="{2C93FF64-D3B6-4CF3-BBD4-35DED2E452E3}"/>
    <cellStyle name="zHiddenText" xfId="3" xr:uid="{5BB870E3-1A03-453F-8211-1F4ED1214F71}"/>
  </cellStyles>
  <dxfs count="104">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ont>
        <b/>
        <strike val="0"/>
        <outline val="0"/>
        <shadow val="0"/>
        <u val="none"/>
        <vertAlign val="baseline"/>
        <sz val="11"/>
        <name val="Calibri"/>
        <family val="2"/>
        <scheme val="minor"/>
      </font>
      <fill>
        <patternFill patternType="none">
          <fgColor indexed="64"/>
          <bgColor auto="1"/>
        </patternFill>
      </fill>
      <protection locked="0" hidden="0"/>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auto="1"/>
        </top>
        <bottom style="thin">
          <color auto="1"/>
        </bottom>
      </border>
      <protection locked="1" hidden="0"/>
    </dxf>
    <dxf>
      <font>
        <b val="0"/>
        <strike val="0"/>
        <outline val="0"/>
        <shadow val="0"/>
        <u val="none"/>
        <vertAlign val="baseline"/>
        <sz val="11"/>
        <name val="Calibri"/>
        <family val="2"/>
        <scheme val="minor"/>
      </font>
      <border diagonalUp="0" diagonalDown="0" outline="0">
        <left/>
        <right/>
        <top style="thin">
          <color auto="1"/>
        </top>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auto="1"/>
        </top>
        <bottom style="thin">
          <color auto="1"/>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auto="1"/>
        </top>
        <bottom style="thin">
          <color auto="1"/>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top style="thin">
          <color auto="1"/>
        </top>
        <bottom style="thin">
          <color auto="1"/>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outline="0">
        <left style="medium">
          <color rgb="FF000000"/>
        </left>
        <right style="medium">
          <color rgb="FF000000"/>
        </right>
        <top style="medium">
          <color rgb="FF000000"/>
        </top>
        <bottom style="thin">
          <color rgb="FF000000"/>
        </bottom>
      </border>
    </dxf>
    <dxf>
      <font>
        <strike val="0"/>
        <outline val="0"/>
        <shadow val="0"/>
        <u val="none"/>
        <vertAlign val="baseline"/>
        <sz val="11"/>
        <name val="Calibri"/>
        <family val="2"/>
        <scheme val="none"/>
      </font>
    </dxf>
    <dxf>
      <border outline="0">
        <bottom style="medium">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C5485"/>
        </patternFill>
      </fill>
      <alignment horizontal="center" vertical="center" textRotation="0" wrapText="1" indent="0" justifyLastLine="0" shrinkToFit="0" readingOrder="0"/>
    </dxf>
    <dxf>
      <font>
        <b/>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strike val="0"/>
        <outline val="0"/>
        <shadow val="0"/>
        <u val="none"/>
        <vertAlign val="baseline"/>
        <sz val="1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3" tint="0.3999755851924192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medium">
          <color rgb="FF000000"/>
        </left>
        <right style="medium">
          <color rgb="FF000000"/>
        </right>
        <top style="medium">
          <color rgb="FF000000"/>
        </top>
        <bottom style="thin">
          <color rgb="FF000000"/>
        </bottom>
      </border>
    </dxf>
    <dxf>
      <font>
        <strike val="0"/>
        <outline val="0"/>
        <shadow val="0"/>
        <u val="none"/>
        <vertAlign val="baseline"/>
        <sz val="11"/>
        <name val="Calibri"/>
        <family val="2"/>
        <scheme val="minor"/>
      </font>
    </dxf>
    <dxf>
      <border outline="0">
        <bottom style="medium">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C5485"/>
        </patternFill>
      </fill>
      <alignment horizontal="center" vertical="center" textRotation="0" wrapText="1" indent="0" justifyLastLine="0" shrinkToFit="0" readingOrder="0"/>
    </dxf>
    <dxf>
      <font>
        <b/>
      </font>
      <fill>
        <patternFill patternType="none">
          <fgColor indexed="64"/>
          <bgColor auto="1"/>
        </patternFill>
      </fill>
      <protection locked="0" hidden="0"/>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strike val="0"/>
        <outline val="0"/>
        <shadow val="0"/>
        <u val="none"/>
        <vertAlign val="baseline"/>
        <sz val="11"/>
        <name val="Calibri"/>
        <family val="2"/>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indexed="64"/>
        </top>
        <bottom style="thin">
          <color indexed="64"/>
        </bottom>
      </border>
    </dxf>
    <dxf>
      <border outline="0">
        <left style="medium">
          <color rgb="FF000000"/>
        </left>
        <right style="medium">
          <color rgb="FF000000"/>
        </right>
        <top style="medium">
          <color rgb="FF000000"/>
        </top>
        <bottom style="thin">
          <color rgb="FF000000"/>
        </bottom>
      </border>
    </dxf>
    <dxf>
      <border outline="0">
        <bottom style="medium">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C5485"/>
        </patternFill>
      </fill>
      <alignment horizontal="center" vertical="center" textRotation="0" wrapText="1" indent="0" justifyLastLine="0" shrinkToFit="0" readingOrder="0"/>
    </dxf>
    <dxf>
      <font>
        <b/>
      </font>
      <fill>
        <patternFill patternType="none">
          <fgColor indexed="64"/>
          <bgColor auto="1"/>
        </patternFill>
      </fill>
      <protection locked="0" hidden="0"/>
    </dxf>
    <dxf>
      <font>
        <b/>
        <i val="0"/>
        <strike val="0"/>
        <condense val="0"/>
        <extend val="0"/>
        <outline val="0"/>
        <shadow val="0"/>
        <u val="none"/>
        <vertAlign val="baseline"/>
        <sz val="12"/>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right style="thin">
          <color auto="1"/>
        </right>
        <top style="medium">
          <color theme="0" tint="-0.14996795556505021"/>
        </top>
        <bottom style="medium">
          <color theme="0" tint="-0.14996795556505021"/>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border>
        <right style="thin">
          <color auto="1"/>
        </right>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auto="1"/>
        </right>
        <top style="thin">
          <color indexed="64"/>
        </top>
        <bottom style="thin">
          <color indexed="64"/>
        </bottom>
      </border>
    </dxf>
    <dxf>
      <border outline="0">
        <left style="medium">
          <color rgb="FF000000"/>
        </left>
        <right style="medium">
          <color rgb="FF000000"/>
        </right>
        <top style="medium">
          <color rgb="FF000000"/>
        </top>
        <bottom style="thin">
          <color rgb="FF000000"/>
        </bottom>
      </border>
    </dxf>
    <dxf>
      <border outline="0">
        <bottom style="medium">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C5485"/>
        </patternFill>
      </fill>
      <alignment horizontal="center" vertical="center" textRotation="0" wrapText="1" indent="0" justifyLastLine="0" shrinkToFit="0" readingOrder="0"/>
    </dxf>
    <dxf>
      <font>
        <b/>
      </font>
      <fill>
        <patternFill patternType="none">
          <fgColor indexed="64"/>
          <bgColor auto="1"/>
        </patternFill>
      </fill>
      <protection locked="0" hidden="0"/>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indexed="64"/>
        </top>
        <bottom style="thin">
          <color indexed="64"/>
        </bottom>
      </border>
      <protection locked="1" hidden="0"/>
    </dxf>
    <dxf>
      <font>
        <b val="0"/>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auto="1"/>
        </right>
        <top style="thin">
          <color indexed="64"/>
        </top>
        <bottom style="thin">
          <color indexed="64"/>
        </bottom>
      </border>
    </dxf>
    <dxf>
      <border outline="0">
        <left style="medium">
          <color rgb="FF000000"/>
        </left>
        <right style="medium">
          <color rgb="FF000000"/>
        </right>
        <top style="medium">
          <color rgb="FF000000"/>
        </top>
        <bottom style="thin">
          <color rgb="FF000000"/>
        </bottom>
      </border>
    </dxf>
    <dxf>
      <border outline="0">
        <bottom style="medium">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C5485"/>
        </patternFill>
      </fill>
      <alignment horizontal="center" vertical="center" textRotation="0" wrapText="1" indent="0" justifyLastLine="0" shrinkToFit="0" readingOrder="0"/>
    </dxf>
    <dxf>
      <font>
        <b/>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2"/>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outline="0">
        <left style="medium">
          <color rgb="FF000000"/>
        </left>
        <right style="medium">
          <color rgb="FF000000"/>
        </right>
        <top style="medium">
          <color rgb="FF000000"/>
        </top>
        <bottom style="thin">
          <color rgb="FF000000"/>
        </bottom>
      </border>
    </dxf>
    <dxf>
      <border outline="0">
        <bottom style="medium">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C5485"/>
        </patternFill>
      </fill>
      <alignment horizontal="center" vertical="center" textRotation="0" wrapText="1" indent="0" justifyLastLine="0" shrinkToFit="0" readingOrder="0"/>
    </dxf>
    <dxf>
      <font>
        <b/>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2"/>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outline="0">
        <left style="medium">
          <color rgb="FF000000"/>
        </left>
        <right style="medium">
          <color rgb="FF000000"/>
        </right>
        <top style="medium">
          <color rgb="FF000000"/>
        </top>
        <bottom style="thin">
          <color rgb="FF000000"/>
        </bottom>
      </border>
    </dxf>
    <dxf>
      <border outline="0">
        <bottom style="medium">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C5485"/>
        </patternFill>
      </fill>
      <alignment horizontal="center" vertical="center" textRotation="0" wrapText="1" indent="0" justifyLastLine="0" shrinkToFit="0" readingOrder="0"/>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D9CF079B-9E94-4E4C-A698-FFD18060A8C5}">
      <tableStyleElement type="wholeTable" dxfId="103"/>
      <tableStyleElement type="headerRow" dxfId="102"/>
      <tableStyleElement type="totalRow" dxfId="101"/>
      <tableStyleElement type="firstColumn" dxfId="100"/>
      <tableStyleElement type="lastColumn" dxfId="99"/>
      <tableStyleElement type="firstRowStripe" dxfId="98"/>
      <tableStyleElement type="secondRowStripe" dxfId="97"/>
      <tableStyleElement type="firstColumnStripe" dxfId="96"/>
      <tableStyleElement type="secondColumnStripe" dxfId="95"/>
    </tableStyle>
  </tableStyles>
  <colors>
    <mruColors>
      <color rgb="FF0C5485"/>
      <color rgb="FF64A4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pg"/></Relationships>
</file>

<file path=xl/drawings/_rels/drawing5.xml.rels><?xml version="1.0" encoding="UTF-8" standalone="yes"?>
<Relationships xmlns="http://schemas.openxmlformats.org/package/2006/relationships"><Relationship Id="rId1" Type="http://schemas.openxmlformats.org/officeDocument/2006/relationships/image" Target="../media/image5.jpg"/></Relationships>
</file>

<file path=xl/drawings/_rels/drawing6.xml.rels><?xml version="1.0" encoding="UTF-8" standalone="yes"?>
<Relationships xmlns="http://schemas.openxmlformats.org/package/2006/relationships"><Relationship Id="rId1" Type="http://schemas.openxmlformats.org/officeDocument/2006/relationships/image" Target="../media/image5.jpg"/></Relationships>
</file>

<file path=xl/drawings/_rels/drawing7.xml.rels><?xml version="1.0" encoding="UTF-8" standalone="yes"?>
<Relationships xmlns="http://schemas.openxmlformats.org/package/2006/relationships"><Relationship Id="rId1" Type="http://schemas.openxmlformats.org/officeDocument/2006/relationships/image" Target="../media/image5.jpg"/></Relationships>
</file>

<file path=xl/drawings/_rels/drawing8.xml.rels><?xml version="1.0" encoding="UTF-8" standalone="yes"?>
<Relationships xmlns="http://schemas.openxmlformats.org/package/2006/relationships"><Relationship Id="rId1" Type="http://schemas.openxmlformats.org/officeDocument/2006/relationships/image" Target="../media/image5.jpg"/></Relationships>
</file>

<file path=xl/drawings/_rels/drawing9.xml.rels><?xml version="1.0" encoding="UTF-8" standalone="yes"?>
<Relationships xmlns="http://schemas.openxmlformats.org/package/2006/relationships"><Relationship Id="rId1" Type="http://schemas.openxmlformats.org/officeDocument/2006/relationships/image" Target="../media/image5.jp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102</xdr:col>
      <xdr:colOff>76200</xdr:colOff>
      <xdr:row>1</xdr:row>
      <xdr:rowOff>66675</xdr:rowOff>
    </xdr:from>
    <xdr:to>
      <xdr:col>105</xdr:col>
      <xdr:colOff>142875</xdr:colOff>
      <xdr:row>3</xdr:row>
      <xdr:rowOff>152400</xdr:rowOff>
    </xdr:to>
    <xdr:pic>
      <xdr:nvPicPr>
        <xdr:cNvPr id="2" name="Picture 200">
          <a:extLst>
            <a:ext uri="{FF2B5EF4-FFF2-40B4-BE49-F238E27FC236}">
              <a16:creationId xmlns:a16="http://schemas.microsoft.com/office/drawing/2014/main" id="{96A14D4E-02C4-408A-8ABA-CF1D94A035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9440" y="257175"/>
          <a:ext cx="56959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102</xdr:col>
      <xdr:colOff>76200</xdr:colOff>
      <xdr:row>1</xdr:row>
      <xdr:rowOff>66675</xdr:rowOff>
    </xdr:from>
    <xdr:to>
      <xdr:col>105</xdr:col>
      <xdr:colOff>142875</xdr:colOff>
      <xdr:row>3</xdr:row>
      <xdr:rowOff>152400</xdr:rowOff>
    </xdr:to>
    <xdr:pic>
      <xdr:nvPicPr>
        <xdr:cNvPr id="3" name="Picture 268">
          <a:extLst>
            <a:ext uri="{FF2B5EF4-FFF2-40B4-BE49-F238E27FC236}">
              <a16:creationId xmlns:a16="http://schemas.microsoft.com/office/drawing/2014/main" id="{B47FF29C-6678-4CAF-ACAB-FB985C339B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9440" y="257175"/>
          <a:ext cx="56959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125691</xdr:colOff>
      <xdr:row>0</xdr:row>
      <xdr:rowOff>39278</xdr:rowOff>
    </xdr:from>
    <xdr:to>
      <xdr:col>11</xdr:col>
      <xdr:colOff>47134</xdr:colOff>
      <xdr:row>5</xdr:row>
      <xdr:rowOff>168510</xdr:rowOff>
    </xdr:to>
    <xdr:pic>
      <xdr:nvPicPr>
        <xdr:cNvPr id="6" name="Picture 5">
          <a:extLst>
            <a:ext uri="{FF2B5EF4-FFF2-40B4-BE49-F238E27FC236}">
              <a16:creationId xmlns:a16="http://schemas.microsoft.com/office/drawing/2014/main" id="{350530B8-EB30-E555-88BA-9AD3BF9D9598}"/>
            </a:ext>
          </a:extLst>
        </xdr:cNvPr>
        <xdr:cNvPicPr>
          <a:picLocks noChangeAspect="1"/>
        </xdr:cNvPicPr>
      </xdr:nvPicPr>
      <xdr:blipFill>
        <a:blip xmlns:r="http://schemas.openxmlformats.org/officeDocument/2006/relationships" r:embed="rId2"/>
        <a:stretch>
          <a:fillRect/>
        </a:stretch>
      </xdr:blipFill>
      <xdr:spPr>
        <a:xfrm>
          <a:off x="125691" y="39278"/>
          <a:ext cx="1736103" cy="1071912"/>
        </a:xfrm>
        <a:prstGeom prst="rect">
          <a:avLst/>
        </a:prstGeom>
      </xdr:spPr>
    </xdr:pic>
    <xdr:clientData/>
  </xdr:twoCellAnchor>
  <xdr:oneCellAnchor>
    <xdr:from>
      <xdr:col>102</xdr:col>
      <xdr:colOff>76200</xdr:colOff>
      <xdr:row>56</xdr:row>
      <xdr:rowOff>66675</xdr:rowOff>
    </xdr:from>
    <xdr:ext cx="538015" cy="458869"/>
    <xdr:pic>
      <xdr:nvPicPr>
        <xdr:cNvPr id="4" name="Picture 200">
          <a:extLst>
            <a:ext uri="{FF2B5EF4-FFF2-40B4-BE49-F238E27FC236}">
              <a16:creationId xmlns:a16="http://schemas.microsoft.com/office/drawing/2014/main" id="{DE4261B0-749D-4B37-A1DF-A244792C6A4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53247"/>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56</xdr:row>
      <xdr:rowOff>66675</xdr:rowOff>
    </xdr:from>
    <xdr:ext cx="538015" cy="458869"/>
    <xdr:pic>
      <xdr:nvPicPr>
        <xdr:cNvPr id="5" name="Picture 268">
          <a:extLst>
            <a:ext uri="{FF2B5EF4-FFF2-40B4-BE49-F238E27FC236}">
              <a16:creationId xmlns:a16="http://schemas.microsoft.com/office/drawing/2014/main" id="{BA74ECCC-0AC9-4A01-B0D0-AAEBA646351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53247"/>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55</xdr:row>
      <xdr:rowOff>39278</xdr:rowOff>
    </xdr:from>
    <xdr:ext cx="1649690" cy="1062093"/>
    <xdr:pic>
      <xdr:nvPicPr>
        <xdr:cNvPr id="7" name="Picture 6">
          <a:extLst>
            <a:ext uri="{FF2B5EF4-FFF2-40B4-BE49-F238E27FC236}">
              <a16:creationId xmlns:a16="http://schemas.microsoft.com/office/drawing/2014/main" id="{92306FEE-395B-483F-89A5-76590A3106E4}"/>
            </a:ext>
          </a:extLst>
        </xdr:cNvPr>
        <xdr:cNvPicPr>
          <a:picLocks noChangeAspect="1"/>
        </xdr:cNvPicPr>
      </xdr:nvPicPr>
      <xdr:blipFill>
        <a:blip xmlns:r="http://schemas.openxmlformats.org/officeDocument/2006/relationships" r:embed="rId2"/>
        <a:stretch>
          <a:fillRect/>
        </a:stretch>
      </xdr:blipFill>
      <xdr:spPr>
        <a:xfrm>
          <a:off x="125691" y="39278"/>
          <a:ext cx="1649690" cy="106209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102</xdr:col>
      <xdr:colOff>76200</xdr:colOff>
      <xdr:row>1</xdr:row>
      <xdr:rowOff>66675</xdr:rowOff>
    </xdr:from>
    <xdr:to>
      <xdr:col>105</xdr:col>
      <xdr:colOff>142875</xdr:colOff>
      <xdr:row>3</xdr:row>
      <xdr:rowOff>152400</xdr:rowOff>
    </xdr:to>
    <xdr:pic>
      <xdr:nvPicPr>
        <xdr:cNvPr id="2" name="Picture 200">
          <a:extLst>
            <a:ext uri="{FF2B5EF4-FFF2-40B4-BE49-F238E27FC236}">
              <a16:creationId xmlns:a16="http://schemas.microsoft.com/office/drawing/2014/main" id="{7D5BD9AD-28FA-4072-A1C1-3D1E91945A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102</xdr:col>
      <xdr:colOff>76200</xdr:colOff>
      <xdr:row>1</xdr:row>
      <xdr:rowOff>66675</xdr:rowOff>
    </xdr:from>
    <xdr:to>
      <xdr:col>105</xdr:col>
      <xdr:colOff>142875</xdr:colOff>
      <xdr:row>3</xdr:row>
      <xdr:rowOff>152400</xdr:rowOff>
    </xdr:to>
    <xdr:pic>
      <xdr:nvPicPr>
        <xdr:cNvPr id="3" name="Picture 268">
          <a:extLst>
            <a:ext uri="{FF2B5EF4-FFF2-40B4-BE49-F238E27FC236}">
              <a16:creationId xmlns:a16="http://schemas.microsoft.com/office/drawing/2014/main" id="{2A3A3571-3B6E-4AA8-A2C5-484D129D45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125691</xdr:colOff>
      <xdr:row>0</xdr:row>
      <xdr:rowOff>39278</xdr:rowOff>
    </xdr:from>
    <xdr:to>
      <xdr:col>11</xdr:col>
      <xdr:colOff>47134</xdr:colOff>
      <xdr:row>5</xdr:row>
      <xdr:rowOff>168510</xdr:rowOff>
    </xdr:to>
    <xdr:pic>
      <xdr:nvPicPr>
        <xdr:cNvPr id="4" name="Picture 3">
          <a:extLst>
            <a:ext uri="{FF2B5EF4-FFF2-40B4-BE49-F238E27FC236}">
              <a16:creationId xmlns:a16="http://schemas.microsoft.com/office/drawing/2014/main" id="{87E2AFAD-1717-4CAA-ADF1-F902ADD7C4D3}"/>
            </a:ext>
          </a:extLst>
        </xdr:cNvPr>
        <xdr:cNvPicPr>
          <a:picLocks noChangeAspect="1"/>
        </xdr:cNvPicPr>
      </xdr:nvPicPr>
      <xdr:blipFill>
        <a:blip xmlns:r="http://schemas.openxmlformats.org/officeDocument/2006/relationships" r:embed="rId2"/>
        <a:stretch>
          <a:fillRect/>
        </a:stretch>
      </xdr:blipFill>
      <xdr:spPr>
        <a:xfrm>
          <a:off x="125691" y="39278"/>
          <a:ext cx="1702618" cy="1081732"/>
        </a:xfrm>
        <a:prstGeom prst="rect">
          <a:avLst/>
        </a:prstGeom>
      </xdr:spPr>
    </xdr:pic>
    <xdr:clientData/>
  </xdr:twoCellAnchor>
  <xdr:oneCellAnchor>
    <xdr:from>
      <xdr:col>102</xdr:col>
      <xdr:colOff>76200</xdr:colOff>
      <xdr:row>56</xdr:row>
      <xdr:rowOff>66675</xdr:rowOff>
    </xdr:from>
    <xdr:ext cx="538015" cy="458869"/>
    <xdr:pic>
      <xdr:nvPicPr>
        <xdr:cNvPr id="8" name="Picture 200">
          <a:extLst>
            <a:ext uri="{FF2B5EF4-FFF2-40B4-BE49-F238E27FC236}">
              <a16:creationId xmlns:a16="http://schemas.microsoft.com/office/drawing/2014/main" id="{B4A6825F-82A9-4570-B9C0-EC77CC7229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53247"/>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56</xdr:row>
      <xdr:rowOff>66675</xdr:rowOff>
    </xdr:from>
    <xdr:ext cx="538015" cy="458869"/>
    <xdr:pic>
      <xdr:nvPicPr>
        <xdr:cNvPr id="9" name="Picture 268">
          <a:extLst>
            <a:ext uri="{FF2B5EF4-FFF2-40B4-BE49-F238E27FC236}">
              <a16:creationId xmlns:a16="http://schemas.microsoft.com/office/drawing/2014/main" id="{E1D4496C-0824-4895-9A25-94FCE6A043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53247"/>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55</xdr:row>
      <xdr:rowOff>39278</xdr:rowOff>
    </xdr:from>
    <xdr:ext cx="1649690" cy="1062093"/>
    <xdr:pic>
      <xdr:nvPicPr>
        <xdr:cNvPr id="10" name="Picture 9">
          <a:extLst>
            <a:ext uri="{FF2B5EF4-FFF2-40B4-BE49-F238E27FC236}">
              <a16:creationId xmlns:a16="http://schemas.microsoft.com/office/drawing/2014/main" id="{BC5787F2-965A-4086-90AA-15377D09C4DE}"/>
            </a:ext>
          </a:extLst>
        </xdr:cNvPr>
        <xdr:cNvPicPr>
          <a:picLocks noChangeAspect="1"/>
        </xdr:cNvPicPr>
      </xdr:nvPicPr>
      <xdr:blipFill>
        <a:blip xmlns:r="http://schemas.openxmlformats.org/officeDocument/2006/relationships" r:embed="rId2"/>
        <a:stretch>
          <a:fillRect/>
        </a:stretch>
      </xdr:blipFill>
      <xdr:spPr>
        <a:xfrm>
          <a:off x="125691" y="39278"/>
          <a:ext cx="1649690" cy="106209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51</xdr:col>
      <xdr:colOff>163285</xdr:colOff>
      <xdr:row>0</xdr:row>
      <xdr:rowOff>142602</xdr:rowOff>
    </xdr:from>
    <xdr:to>
      <xdr:col>62</xdr:col>
      <xdr:colOff>44876</xdr:colOff>
      <xdr:row>3</xdr:row>
      <xdr:rowOff>270093</xdr:rowOff>
    </xdr:to>
    <xdr:pic>
      <xdr:nvPicPr>
        <xdr:cNvPr id="2" name="Picture 1">
          <a:extLst>
            <a:ext uri="{FF2B5EF4-FFF2-40B4-BE49-F238E27FC236}">
              <a16:creationId xmlns:a16="http://schemas.microsoft.com/office/drawing/2014/main" id="{31822833-1A36-4F93-8483-454AAC0619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6800628" y="142602"/>
          <a:ext cx="2861156" cy="12323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160075</xdr:colOff>
      <xdr:row>0</xdr:row>
      <xdr:rowOff>211849</xdr:rowOff>
    </xdr:from>
    <xdr:to>
      <xdr:col>2</xdr:col>
      <xdr:colOff>1658943</xdr:colOff>
      <xdr:row>0</xdr:row>
      <xdr:rowOff>1145934</xdr:rowOff>
    </xdr:to>
    <xdr:pic>
      <xdr:nvPicPr>
        <xdr:cNvPr id="2" name="Picture 1">
          <a:extLst>
            <a:ext uri="{FF2B5EF4-FFF2-40B4-BE49-F238E27FC236}">
              <a16:creationId xmlns:a16="http://schemas.microsoft.com/office/drawing/2014/main" id="{AE0E41EB-5225-4EBB-84A8-6120C1BAF2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8675" y="211849"/>
          <a:ext cx="2117993" cy="9340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160075</xdr:colOff>
      <xdr:row>0</xdr:row>
      <xdr:rowOff>211849</xdr:rowOff>
    </xdr:from>
    <xdr:to>
      <xdr:col>2</xdr:col>
      <xdr:colOff>1658943</xdr:colOff>
      <xdr:row>0</xdr:row>
      <xdr:rowOff>1145934</xdr:rowOff>
    </xdr:to>
    <xdr:pic>
      <xdr:nvPicPr>
        <xdr:cNvPr id="2" name="Picture 1">
          <a:extLst>
            <a:ext uri="{FF2B5EF4-FFF2-40B4-BE49-F238E27FC236}">
              <a16:creationId xmlns:a16="http://schemas.microsoft.com/office/drawing/2014/main" id="{6ECD75BE-C543-447A-8D73-EBC181E1EC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8675" y="211849"/>
          <a:ext cx="2117993" cy="9340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160075</xdr:colOff>
      <xdr:row>0</xdr:row>
      <xdr:rowOff>211849</xdr:rowOff>
    </xdr:from>
    <xdr:to>
      <xdr:col>2</xdr:col>
      <xdr:colOff>1658943</xdr:colOff>
      <xdr:row>0</xdr:row>
      <xdr:rowOff>1145934</xdr:rowOff>
    </xdr:to>
    <xdr:pic>
      <xdr:nvPicPr>
        <xdr:cNvPr id="2" name="Picture 1">
          <a:extLst>
            <a:ext uri="{FF2B5EF4-FFF2-40B4-BE49-F238E27FC236}">
              <a16:creationId xmlns:a16="http://schemas.microsoft.com/office/drawing/2014/main" id="{79C8DE52-C629-4F62-889F-86450922B0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8675" y="211849"/>
          <a:ext cx="2117993" cy="9340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160075</xdr:colOff>
      <xdr:row>0</xdr:row>
      <xdr:rowOff>211849</xdr:rowOff>
    </xdr:from>
    <xdr:to>
      <xdr:col>2</xdr:col>
      <xdr:colOff>1658943</xdr:colOff>
      <xdr:row>0</xdr:row>
      <xdr:rowOff>1145934</xdr:rowOff>
    </xdr:to>
    <xdr:pic>
      <xdr:nvPicPr>
        <xdr:cNvPr id="2" name="Picture 1">
          <a:extLst>
            <a:ext uri="{FF2B5EF4-FFF2-40B4-BE49-F238E27FC236}">
              <a16:creationId xmlns:a16="http://schemas.microsoft.com/office/drawing/2014/main" id="{7BD7710F-44D0-4597-B39F-6F386116F9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8675" y="211849"/>
          <a:ext cx="2117993" cy="9340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160075</xdr:colOff>
      <xdr:row>0</xdr:row>
      <xdr:rowOff>211849</xdr:rowOff>
    </xdr:from>
    <xdr:to>
      <xdr:col>2</xdr:col>
      <xdr:colOff>1658943</xdr:colOff>
      <xdr:row>0</xdr:row>
      <xdr:rowOff>1145934</xdr:rowOff>
    </xdr:to>
    <xdr:pic>
      <xdr:nvPicPr>
        <xdr:cNvPr id="2" name="Picture 1">
          <a:extLst>
            <a:ext uri="{FF2B5EF4-FFF2-40B4-BE49-F238E27FC236}">
              <a16:creationId xmlns:a16="http://schemas.microsoft.com/office/drawing/2014/main" id="{4781FD88-F4B9-4D45-BC45-14937BDB61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8675" y="211849"/>
          <a:ext cx="2117993" cy="9340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160075</xdr:colOff>
      <xdr:row>0</xdr:row>
      <xdr:rowOff>211849</xdr:rowOff>
    </xdr:from>
    <xdr:to>
      <xdr:col>2</xdr:col>
      <xdr:colOff>1658943</xdr:colOff>
      <xdr:row>0</xdr:row>
      <xdr:rowOff>1145934</xdr:rowOff>
    </xdr:to>
    <xdr:pic>
      <xdr:nvPicPr>
        <xdr:cNvPr id="2" name="Picture 1">
          <a:extLst>
            <a:ext uri="{FF2B5EF4-FFF2-40B4-BE49-F238E27FC236}">
              <a16:creationId xmlns:a16="http://schemas.microsoft.com/office/drawing/2014/main" id="{CAC72E73-42E7-4BDB-9F65-94495900AA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8675" y="211849"/>
          <a:ext cx="2117993" cy="9340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160075</xdr:colOff>
      <xdr:row>0</xdr:row>
      <xdr:rowOff>211849</xdr:rowOff>
    </xdr:from>
    <xdr:to>
      <xdr:col>2</xdr:col>
      <xdr:colOff>1658943</xdr:colOff>
      <xdr:row>0</xdr:row>
      <xdr:rowOff>1145934</xdr:rowOff>
    </xdr:to>
    <xdr:pic>
      <xdr:nvPicPr>
        <xdr:cNvPr id="2" name="Picture 1">
          <a:extLst>
            <a:ext uri="{FF2B5EF4-FFF2-40B4-BE49-F238E27FC236}">
              <a16:creationId xmlns:a16="http://schemas.microsoft.com/office/drawing/2014/main" id="{38817612-99A3-4E5C-818B-1AA244CD82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99561" y="211849"/>
          <a:ext cx="2157453" cy="93408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102</xdr:col>
      <xdr:colOff>76200</xdr:colOff>
      <xdr:row>1</xdr:row>
      <xdr:rowOff>66675</xdr:rowOff>
    </xdr:from>
    <xdr:to>
      <xdr:col>105</xdr:col>
      <xdr:colOff>142875</xdr:colOff>
      <xdr:row>3</xdr:row>
      <xdr:rowOff>152400</xdr:rowOff>
    </xdr:to>
    <xdr:pic>
      <xdr:nvPicPr>
        <xdr:cNvPr id="2" name="Picture 200">
          <a:extLst>
            <a:ext uri="{FF2B5EF4-FFF2-40B4-BE49-F238E27FC236}">
              <a16:creationId xmlns:a16="http://schemas.microsoft.com/office/drawing/2014/main" id="{143DD094-162A-4BE9-8909-1D5280B68F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102</xdr:col>
      <xdr:colOff>76200</xdr:colOff>
      <xdr:row>1</xdr:row>
      <xdr:rowOff>66675</xdr:rowOff>
    </xdr:from>
    <xdr:to>
      <xdr:col>105</xdr:col>
      <xdr:colOff>142875</xdr:colOff>
      <xdr:row>3</xdr:row>
      <xdr:rowOff>152400</xdr:rowOff>
    </xdr:to>
    <xdr:pic>
      <xdr:nvPicPr>
        <xdr:cNvPr id="3" name="Picture 268">
          <a:extLst>
            <a:ext uri="{FF2B5EF4-FFF2-40B4-BE49-F238E27FC236}">
              <a16:creationId xmlns:a16="http://schemas.microsoft.com/office/drawing/2014/main" id="{50E32D48-3EAA-41BA-B442-19641E5F67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125691</xdr:colOff>
      <xdr:row>0</xdr:row>
      <xdr:rowOff>39278</xdr:rowOff>
    </xdr:from>
    <xdr:to>
      <xdr:col>11</xdr:col>
      <xdr:colOff>47134</xdr:colOff>
      <xdr:row>5</xdr:row>
      <xdr:rowOff>168510</xdr:rowOff>
    </xdr:to>
    <xdr:pic>
      <xdr:nvPicPr>
        <xdr:cNvPr id="4" name="Picture 3">
          <a:extLst>
            <a:ext uri="{FF2B5EF4-FFF2-40B4-BE49-F238E27FC236}">
              <a16:creationId xmlns:a16="http://schemas.microsoft.com/office/drawing/2014/main" id="{31E06F13-A5F1-406D-83A1-32EE8C28B8F2}"/>
            </a:ext>
          </a:extLst>
        </xdr:cNvPr>
        <xdr:cNvPicPr>
          <a:picLocks noChangeAspect="1"/>
        </xdr:cNvPicPr>
      </xdr:nvPicPr>
      <xdr:blipFill>
        <a:blip xmlns:r="http://schemas.openxmlformats.org/officeDocument/2006/relationships" r:embed="rId2"/>
        <a:stretch>
          <a:fillRect/>
        </a:stretch>
      </xdr:blipFill>
      <xdr:spPr>
        <a:xfrm>
          <a:off x="125691" y="39278"/>
          <a:ext cx="1702618" cy="1081732"/>
        </a:xfrm>
        <a:prstGeom prst="rect">
          <a:avLst/>
        </a:prstGeom>
      </xdr:spPr>
    </xdr:pic>
    <xdr:clientData/>
  </xdr:twoCellAnchor>
  <xdr:oneCellAnchor>
    <xdr:from>
      <xdr:col>102</xdr:col>
      <xdr:colOff>76200</xdr:colOff>
      <xdr:row>56</xdr:row>
      <xdr:rowOff>66675</xdr:rowOff>
    </xdr:from>
    <xdr:ext cx="538015" cy="458869"/>
    <xdr:pic>
      <xdr:nvPicPr>
        <xdr:cNvPr id="8" name="Picture 200">
          <a:extLst>
            <a:ext uri="{FF2B5EF4-FFF2-40B4-BE49-F238E27FC236}">
              <a16:creationId xmlns:a16="http://schemas.microsoft.com/office/drawing/2014/main" id="{A0E4D792-D49C-4B85-9A8A-29C869B293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53247"/>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56</xdr:row>
      <xdr:rowOff>66675</xdr:rowOff>
    </xdr:from>
    <xdr:ext cx="538015" cy="458869"/>
    <xdr:pic>
      <xdr:nvPicPr>
        <xdr:cNvPr id="9" name="Picture 268">
          <a:extLst>
            <a:ext uri="{FF2B5EF4-FFF2-40B4-BE49-F238E27FC236}">
              <a16:creationId xmlns:a16="http://schemas.microsoft.com/office/drawing/2014/main" id="{DA4FBAC8-AE5B-4920-A786-28FD68B016F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53247"/>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55</xdr:row>
      <xdr:rowOff>39278</xdr:rowOff>
    </xdr:from>
    <xdr:ext cx="1649690" cy="1062093"/>
    <xdr:pic>
      <xdr:nvPicPr>
        <xdr:cNvPr id="10" name="Picture 9">
          <a:extLst>
            <a:ext uri="{FF2B5EF4-FFF2-40B4-BE49-F238E27FC236}">
              <a16:creationId xmlns:a16="http://schemas.microsoft.com/office/drawing/2014/main" id="{1D75FEC6-31C8-4078-B31F-E940A8D231A1}"/>
            </a:ext>
          </a:extLst>
        </xdr:cNvPr>
        <xdr:cNvPicPr>
          <a:picLocks noChangeAspect="1"/>
        </xdr:cNvPicPr>
      </xdr:nvPicPr>
      <xdr:blipFill>
        <a:blip xmlns:r="http://schemas.openxmlformats.org/officeDocument/2006/relationships" r:embed="rId2"/>
        <a:stretch>
          <a:fillRect/>
        </a:stretch>
      </xdr:blipFill>
      <xdr:spPr>
        <a:xfrm>
          <a:off x="125691" y="39278"/>
          <a:ext cx="1649690" cy="1062093"/>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102</xdr:col>
      <xdr:colOff>76200</xdr:colOff>
      <xdr:row>1</xdr:row>
      <xdr:rowOff>66675</xdr:rowOff>
    </xdr:from>
    <xdr:to>
      <xdr:col>105</xdr:col>
      <xdr:colOff>142875</xdr:colOff>
      <xdr:row>3</xdr:row>
      <xdr:rowOff>152400</xdr:rowOff>
    </xdr:to>
    <xdr:pic>
      <xdr:nvPicPr>
        <xdr:cNvPr id="2" name="Picture 200">
          <a:extLst>
            <a:ext uri="{FF2B5EF4-FFF2-40B4-BE49-F238E27FC236}">
              <a16:creationId xmlns:a16="http://schemas.microsoft.com/office/drawing/2014/main" id="{9EEAA05C-435C-410F-9279-2956F5C279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102</xdr:col>
      <xdr:colOff>76200</xdr:colOff>
      <xdr:row>1</xdr:row>
      <xdr:rowOff>66675</xdr:rowOff>
    </xdr:from>
    <xdr:to>
      <xdr:col>105</xdr:col>
      <xdr:colOff>142875</xdr:colOff>
      <xdr:row>3</xdr:row>
      <xdr:rowOff>152400</xdr:rowOff>
    </xdr:to>
    <xdr:pic>
      <xdr:nvPicPr>
        <xdr:cNvPr id="3" name="Picture 268">
          <a:extLst>
            <a:ext uri="{FF2B5EF4-FFF2-40B4-BE49-F238E27FC236}">
              <a16:creationId xmlns:a16="http://schemas.microsoft.com/office/drawing/2014/main" id="{DACE3F61-7B21-4DC7-802A-2B2DB1E4AF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125691</xdr:colOff>
      <xdr:row>0</xdr:row>
      <xdr:rowOff>39278</xdr:rowOff>
    </xdr:from>
    <xdr:to>
      <xdr:col>11</xdr:col>
      <xdr:colOff>47134</xdr:colOff>
      <xdr:row>5</xdr:row>
      <xdr:rowOff>168510</xdr:rowOff>
    </xdr:to>
    <xdr:pic>
      <xdr:nvPicPr>
        <xdr:cNvPr id="4" name="Picture 3">
          <a:extLst>
            <a:ext uri="{FF2B5EF4-FFF2-40B4-BE49-F238E27FC236}">
              <a16:creationId xmlns:a16="http://schemas.microsoft.com/office/drawing/2014/main" id="{C00E3292-0888-4B7E-A7A7-E7882F6270A5}"/>
            </a:ext>
          </a:extLst>
        </xdr:cNvPr>
        <xdr:cNvPicPr>
          <a:picLocks noChangeAspect="1"/>
        </xdr:cNvPicPr>
      </xdr:nvPicPr>
      <xdr:blipFill>
        <a:blip xmlns:r="http://schemas.openxmlformats.org/officeDocument/2006/relationships" r:embed="rId2"/>
        <a:stretch>
          <a:fillRect/>
        </a:stretch>
      </xdr:blipFill>
      <xdr:spPr>
        <a:xfrm>
          <a:off x="125691" y="39278"/>
          <a:ext cx="1702618" cy="1081732"/>
        </a:xfrm>
        <a:prstGeom prst="rect">
          <a:avLst/>
        </a:prstGeom>
      </xdr:spPr>
    </xdr:pic>
    <xdr:clientData/>
  </xdr:twoCellAnchor>
  <xdr:oneCellAnchor>
    <xdr:from>
      <xdr:col>102</xdr:col>
      <xdr:colOff>76200</xdr:colOff>
      <xdr:row>58</xdr:row>
      <xdr:rowOff>66675</xdr:rowOff>
    </xdr:from>
    <xdr:ext cx="538015" cy="458869"/>
    <xdr:pic>
      <xdr:nvPicPr>
        <xdr:cNvPr id="5" name="Picture 200">
          <a:extLst>
            <a:ext uri="{FF2B5EF4-FFF2-40B4-BE49-F238E27FC236}">
              <a16:creationId xmlns:a16="http://schemas.microsoft.com/office/drawing/2014/main" id="{22616B35-F91C-4748-9370-62D1DD77CE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54050" y="11058525"/>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58</xdr:row>
      <xdr:rowOff>66675</xdr:rowOff>
    </xdr:from>
    <xdr:ext cx="538015" cy="458869"/>
    <xdr:pic>
      <xdr:nvPicPr>
        <xdr:cNvPr id="6" name="Picture 268">
          <a:extLst>
            <a:ext uri="{FF2B5EF4-FFF2-40B4-BE49-F238E27FC236}">
              <a16:creationId xmlns:a16="http://schemas.microsoft.com/office/drawing/2014/main" id="{97260C87-4D88-4ED8-9B98-E5CCA4066C3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54050" y="11058525"/>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57</xdr:row>
      <xdr:rowOff>39278</xdr:rowOff>
    </xdr:from>
    <xdr:ext cx="1649690" cy="1062093"/>
    <xdr:pic>
      <xdr:nvPicPr>
        <xdr:cNvPr id="7" name="Picture 6">
          <a:extLst>
            <a:ext uri="{FF2B5EF4-FFF2-40B4-BE49-F238E27FC236}">
              <a16:creationId xmlns:a16="http://schemas.microsoft.com/office/drawing/2014/main" id="{D146620A-A7C3-4BE8-9A93-89E0B5763191}"/>
            </a:ext>
          </a:extLst>
        </xdr:cNvPr>
        <xdr:cNvPicPr>
          <a:picLocks noChangeAspect="1"/>
        </xdr:cNvPicPr>
      </xdr:nvPicPr>
      <xdr:blipFill>
        <a:blip xmlns:r="http://schemas.openxmlformats.org/officeDocument/2006/relationships" r:embed="rId2"/>
        <a:stretch>
          <a:fillRect/>
        </a:stretch>
      </xdr:blipFill>
      <xdr:spPr>
        <a:xfrm>
          <a:off x="125691" y="10840628"/>
          <a:ext cx="1649690" cy="1062093"/>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102</xdr:col>
      <xdr:colOff>76200</xdr:colOff>
      <xdr:row>1</xdr:row>
      <xdr:rowOff>66675</xdr:rowOff>
    </xdr:from>
    <xdr:to>
      <xdr:col>105</xdr:col>
      <xdr:colOff>142875</xdr:colOff>
      <xdr:row>3</xdr:row>
      <xdr:rowOff>152400</xdr:rowOff>
    </xdr:to>
    <xdr:pic>
      <xdr:nvPicPr>
        <xdr:cNvPr id="2" name="Picture 200">
          <a:extLst>
            <a:ext uri="{FF2B5EF4-FFF2-40B4-BE49-F238E27FC236}">
              <a16:creationId xmlns:a16="http://schemas.microsoft.com/office/drawing/2014/main" id="{A8E73B63-30CE-4AB6-B8E3-43AE5D4487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102</xdr:col>
      <xdr:colOff>76200</xdr:colOff>
      <xdr:row>1</xdr:row>
      <xdr:rowOff>66675</xdr:rowOff>
    </xdr:from>
    <xdr:to>
      <xdr:col>105</xdr:col>
      <xdr:colOff>142875</xdr:colOff>
      <xdr:row>3</xdr:row>
      <xdr:rowOff>152400</xdr:rowOff>
    </xdr:to>
    <xdr:pic>
      <xdr:nvPicPr>
        <xdr:cNvPr id="3" name="Picture 268">
          <a:extLst>
            <a:ext uri="{FF2B5EF4-FFF2-40B4-BE49-F238E27FC236}">
              <a16:creationId xmlns:a16="http://schemas.microsoft.com/office/drawing/2014/main" id="{600F3768-2A10-4931-9C8C-7FDB13F3CC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125691</xdr:colOff>
      <xdr:row>0</xdr:row>
      <xdr:rowOff>39278</xdr:rowOff>
    </xdr:from>
    <xdr:to>
      <xdr:col>11</xdr:col>
      <xdr:colOff>47134</xdr:colOff>
      <xdr:row>5</xdr:row>
      <xdr:rowOff>168510</xdr:rowOff>
    </xdr:to>
    <xdr:pic>
      <xdr:nvPicPr>
        <xdr:cNvPr id="4" name="Picture 3">
          <a:extLst>
            <a:ext uri="{FF2B5EF4-FFF2-40B4-BE49-F238E27FC236}">
              <a16:creationId xmlns:a16="http://schemas.microsoft.com/office/drawing/2014/main" id="{88E14A55-1821-4EED-B331-3C3CA974ED93}"/>
            </a:ext>
          </a:extLst>
        </xdr:cNvPr>
        <xdr:cNvPicPr>
          <a:picLocks noChangeAspect="1"/>
        </xdr:cNvPicPr>
      </xdr:nvPicPr>
      <xdr:blipFill>
        <a:blip xmlns:r="http://schemas.openxmlformats.org/officeDocument/2006/relationships" r:embed="rId2"/>
        <a:stretch>
          <a:fillRect/>
        </a:stretch>
      </xdr:blipFill>
      <xdr:spPr>
        <a:xfrm>
          <a:off x="125691" y="39278"/>
          <a:ext cx="1702618" cy="1081732"/>
        </a:xfrm>
        <a:prstGeom prst="rect">
          <a:avLst/>
        </a:prstGeom>
      </xdr:spPr>
    </xdr:pic>
    <xdr:clientData/>
  </xdr:twoCellAnchor>
  <xdr:oneCellAnchor>
    <xdr:from>
      <xdr:col>102</xdr:col>
      <xdr:colOff>76200</xdr:colOff>
      <xdr:row>56</xdr:row>
      <xdr:rowOff>66675</xdr:rowOff>
    </xdr:from>
    <xdr:ext cx="538015" cy="458869"/>
    <xdr:pic>
      <xdr:nvPicPr>
        <xdr:cNvPr id="5" name="Picture 200">
          <a:extLst>
            <a:ext uri="{FF2B5EF4-FFF2-40B4-BE49-F238E27FC236}">
              <a16:creationId xmlns:a16="http://schemas.microsoft.com/office/drawing/2014/main" id="{85945502-027E-4D40-963F-6B61C1CCE26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54050" y="11058525"/>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56</xdr:row>
      <xdr:rowOff>66675</xdr:rowOff>
    </xdr:from>
    <xdr:ext cx="538015" cy="458869"/>
    <xdr:pic>
      <xdr:nvPicPr>
        <xdr:cNvPr id="6" name="Picture 268">
          <a:extLst>
            <a:ext uri="{FF2B5EF4-FFF2-40B4-BE49-F238E27FC236}">
              <a16:creationId xmlns:a16="http://schemas.microsoft.com/office/drawing/2014/main" id="{4D59D95D-1C55-47E3-BF1E-229CCED491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54050" y="11058525"/>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55</xdr:row>
      <xdr:rowOff>39278</xdr:rowOff>
    </xdr:from>
    <xdr:ext cx="1649690" cy="1062093"/>
    <xdr:pic>
      <xdr:nvPicPr>
        <xdr:cNvPr id="7" name="Picture 6">
          <a:extLst>
            <a:ext uri="{FF2B5EF4-FFF2-40B4-BE49-F238E27FC236}">
              <a16:creationId xmlns:a16="http://schemas.microsoft.com/office/drawing/2014/main" id="{C85283AA-2655-4801-AABC-20ACC4C30D5D}"/>
            </a:ext>
          </a:extLst>
        </xdr:cNvPr>
        <xdr:cNvPicPr>
          <a:picLocks noChangeAspect="1"/>
        </xdr:cNvPicPr>
      </xdr:nvPicPr>
      <xdr:blipFill>
        <a:blip xmlns:r="http://schemas.openxmlformats.org/officeDocument/2006/relationships" r:embed="rId2"/>
        <a:stretch>
          <a:fillRect/>
        </a:stretch>
      </xdr:blipFill>
      <xdr:spPr>
        <a:xfrm>
          <a:off x="125691" y="10840628"/>
          <a:ext cx="1649690" cy="1062093"/>
        </a:xfrm>
        <a:prstGeom prst="rect">
          <a:avLst/>
        </a:prstGeom>
      </xdr:spPr>
    </xdr:pic>
    <xdr:clientData/>
  </xdr:oneCellAnchor>
  <xdr:oneCellAnchor>
    <xdr:from>
      <xdr:col>102</xdr:col>
      <xdr:colOff>76200</xdr:colOff>
      <xdr:row>111</xdr:row>
      <xdr:rowOff>66675</xdr:rowOff>
    </xdr:from>
    <xdr:ext cx="538015" cy="458869"/>
    <xdr:pic>
      <xdr:nvPicPr>
        <xdr:cNvPr id="8" name="Picture 200">
          <a:extLst>
            <a:ext uri="{FF2B5EF4-FFF2-40B4-BE49-F238E27FC236}">
              <a16:creationId xmlns:a16="http://schemas.microsoft.com/office/drawing/2014/main" id="{79BF02BE-9EA4-4273-8FFA-C8430FC1B53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10455799"/>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111</xdr:row>
      <xdr:rowOff>66675</xdr:rowOff>
    </xdr:from>
    <xdr:ext cx="538015" cy="458869"/>
    <xdr:pic>
      <xdr:nvPicPr>
        <xdr:cNvPr id="9" name="Picture 268">
          <a:extLst>
            <a:ext uri="{FF2B5EF4-FFF2-40B4-BE49-F238E27FC236}">
              <a16:creationId xmlns:a16="http://schemas.microsoft.com/office/drawing/2014/main" id="{D023D03B-DAC2-4202-8687-B585E83A1D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10455799"/>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110</xdr:row>
      <xdr:rowOff>39278</xdr:rowOff>
    </xdr:from>
    <xdr:ext cx="1649690" cy="1062093"/>
    <xdr:pic>
      <xdr:nvPicPr>
        <xdr:cNvPr id="10" name="Picture 9">
          <a:extLst>
            <a:ext uri="{FF2B5EF4-FFF2-40B4-BE49-F238E27FC236}">
              <a16:creationId xmlns:a16="http://schemas.microsoft.com/office/drawing/2014/main" id="{BD96745F-5D05-4784-B765-55434EDCCEA9}"/>
            </a:ext>
          </a:extLst>
        </xdr:cNvPr>
        <xdr:cNvPicPr>
          <a:picLocks noChangeAspect="1"/>
        </xdr:cNvPicPr>
      </xdr:nvPicPr>
      <xdr:blipFill>
        <a:blip xmlns:r="http://schemas.openxmlformats.org/officeDocument/2006/relationships" r:embed="rId2"/>
        <a:stretch>
          <a:fillRect/>
        </a:stretch>
      </xdr:blipFill>
      <xdr:spPr>
        <a:xfrm>
          <a:off x="125691" y="10241830"/>
          <a:ext cx="1649690" cy="1062093"/>
        </a:xfrm>
        <a:prstGeom prst="rect">
          <a:avLst/>
        </a:prstGeom>
      </xdr:spPr>
    </xdr:pic>
    <xdr:clientData/>
  </xdr:oneCellAnchor>
  <xdr:oneCellAnchor>
    <xdr:from>
      <xdr:col>102</xdr:col>
      <xdr:colOff>76200</xdr:colOff>
      <xdr:row>166</xdr:row>
      <xdr:rowOff>66675</xdr:rowOff>
    </xdr:from>
    <xdr:ext cx="538015" cy="458869"/>
    <xdr:pic>
      <xdr:nvPicPr>
        <xdr:cNvPr id="11" name="Picture 200">
          <a:extLst>
            <a:ext uri="{FF2B5EF4-FFF2-40B4-BE49-F238E27FC236}">
              <a16:creationId xmlns:a16="http://schemas.microsoft.com/office/drawing/2014/main" id="{9ABBD3EA-F2BC-42E5-A8F6-BBFD58FF76F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0717268"/>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166</xdr:row>
      <xdr:rowOff>66675</xdr:rowOff>
    </xdr:from>
    <xdr:ext cx="538015" cy="458869"/>
    <xdr:pic>
      <xdr:nvPicPr>
        <xdr:cNvPr id="12" name="Picture 268">
          <a:extLst>
            <a:ext uri="{FF2B5EF4-FFF2-40B4-BE49-F238E27FC236}">
              <a16:creationId xmlns:a16="http://schemas.microsoft.com/office/drawing/2014/main" id="{390188D0-87B7-42AB-B8CB-65A920749F6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9499" y="20717268"/>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165</xdr:row>
      <xdr:rowOff>39278</xdr:rowOff>
    </xdr:from>
    <xdr:ext cx="1649690" cy="1062093"/>
    <xdr:pic>
      <xdr:nvPicPr>
        <xdr:cNvPr id="13" name="Picture 12">
          <a:extLst>
            <a:ext uri="{FF2B5EF4-FFF2-40B4-BE49-F238E27FC236}">
              <a16:creationId xmlns:a16="http://schemas.microsoft.com/office/drawing/2014/main" id="{2A7CA817-9438-40EB-B763-806FD48964DD}"/>
            </a:ext>
          </a:extLst>
        </xdr:cNvPr>
        <xdr:cNvPicPr>
          <a:picLocks noChangeAspect="1"/>
        </xdr:cNvPicPr>
      </xdr:nvPicPr>
      <xdr:blipFill>
        <a:blip xmlns:r="http://schemas.openxmlformats.org/officeDocument/2006/relationships" r:embed="rId2"/>
        <a:stretch>
          <a:fillRect/>
        </a:stretch>
      </xdr:blipFill>
      <xdr:spPr>
        <a:xfrm>
          <a:off x="125691" y="20503299"/>
          <a:ext cx="1649690" cy="1062093"/>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102</xdr:col>
      <xdr:colOff>76200</xdr:colOff>
      <xdr:row>1</xdr:row>
      <xdr:rowOff>66675</xdr:rowOff>
    </xdr:from>
    <xdr:to>
      <xdr:col>105</xdr:col>
      <xdr:colOff>142875</xdr:colOff>
      <xdr:row>3</xdr:row>
      <xdr:rowOff>152400</xdr:rowOff>
    </xdr:to>
    <xdr:pic>
      <xdr:nvPicPr>
        <xdr:cNvPr id="2" name="Picture 200">
          <a:extLst>
            <a:ext uri="{FF2B5EF4-FFF2-40B4-BE49-F238E27FC236}">
              <a16:creationId xmlns:a16="http://schemas.microsoft.com/office/drawing/2014/main" id="{80D0BD4F-21DA-45EF-A799-81D4DDB924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102</xdr:col>
      <xdr:colOff>76200</xdr:colOff>
      <xdr:row>1</xdr:row>
      <xdr:rowOff>66675</xdr:rowOff>
    </xdr:from>
    <xdr:to>
      <xdr:col>105</xdr:col>
      <xdr:colOff>142875</xdr:colOff>
      <xdr:row>3</xdr:row>
      <xdr:rowOff>152400</xdr:rowOff>
    </xdr:to>
    <xdr:pic>
      <xdr:nvPicPr>
        <xdr:cNvPr id="3" name="Picture 268">
          <a:extLst>
            <a:ext uri="{FF2B5EF4-FFF2-40B4-BE49-F238E27FC236}">
              <a16:creationId xmlns:a16="http://schemas.microsoft.com/office/drawing/2014/main" id="{B388ED9A-1C55-4F3C-B0A9-1F000C5910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125691</xdr:colOff>
      <xdr:row>0</xdr:row>
      <xdr:rowOff>39278</xdr:rowOff>
    </xdr:from>
    <xdr:to>
      <xdr:col>11</xdr:col>
      <xdr:colOff>47134</xdr:colOff>
      <xdr:row>5</xdr:row>
      <xdr:rowOff>168510</xdr:rowOff>
    </xdr:to>
    <xdr:pic>
      <xdr:nvPicPr>
        <xdr:cNvPr id="4" name="Picture 3">
          <a:extLst>
            <a:ext uri="{FF2B5EF4-FFF2-40B4-BE49-F238E27FC236}">
              <a16:creationId xmlns:a16="http://schemas.microsoft.com/office/drawing/2014/main" id="{22DDF53B-EB90-4CCF-A149-B66F44ADED22}"/>
            </a:ext>
          </a:extLst>
        </xdr:cNvPr>
        <xdr:cNvPicPr>
          <a:picLocks noChangeAspect="1"/>
        </xdr:cNvPicPr>
      </xdr:nvPicPr>
      <xdr:blipFill>
        <a:blip xmlns:r="http://schemas.openxmlformats.org/officeDocument/2006/relationships" r:embed="rId2"/>
        <a:stretch>
          <a:fillRect/>
        </a:stretch>
      </xdr:blipFill>
      <xdr:spPr>
        <a:xfrm>
          <a:off x="125691" y="39278"/>
          <a:ext cx="1702618" cy="1081732"/>
        </a:xfrm>
        <a:prstGeom prst="rect">
          <a:avLst/>
        </a:prstGeom>
      </xdr:spPr>
    </xdr:pic>
    <xdr:clientData/>
  </xdr:twoCellAnchor>
  <xdr:oneCellAnchor>
    <xdr:from>
      <xdr:col>102</xdr:col>
      <xdr:colOff>76200</xdr:colOff>
      <xdr:row>56</xdr:row>
      <xdr:rowOff>66675</xdr:rowOff>
    </xdr:from>
    <xdr:ext cx="538015" cy="458869"/>
    <xdr:pic>
      <xdr:nvPicPr>
        <xdr:cNvPr id="5" name="Picture 200">
          <a:extLst>
            <a:ext uri="{FF2B5EF4-FFF2-40B4-BE49-F238E27FC236}">
              <a16:creationId xmlns:a16="http://schemas.microsoft.com/office/drawing/2014/main" id="{D2DD1092-0DEC-46F4-8621-69E0FD80C9B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54050" y="11058525"/>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56</xdr:row>
      <xdr:rowOff>66675</xdr:rowOff>
    </xdr:from>
    <xdr:ext cx="538015" cy="458869"/>
    <xdr:pic>
      <xdr:nvPicPr>
        <xdr:cNvPr id="6" name="Picture 268">
          <a:extLst>
            <a:ext uri="{FF2B5EF4-FFF2-40B4-BE49-F238E27FC236}">
              <a16:creationId xmlns:a16="http://schemas.microsoft.com/office/drawing/2014/main" id="{D25BB72D-56E1-4B0E-9448-FAA7488BB8A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54050" y="11058525"/>
          <a:ext cx="538015" cy="45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125691</xdr:colOff>
      <xdr:row>55</xdr:row>
      <xdr:rowOff>39278</xdr:rowOff>
    </xdr:from>
    <xdr:ext cx="1649690" cy="1062093"/>
    <xdr:pic>
      <xdr:nvPicPr>
        <xdr:cNvPr id="7" name="Picture 6">
          <a:extLst>
            <a:ext uri="{FF2B5EF4-FFF2-40B4-BE49-F238E27FC236}">
              <a16:creationId xmlns:a16="http://schemas.microsoft.com/office/drawing/2014/main" id="{619ED7F7-4FE4-495B-B1E8-B106E2163817}"/>
            </a:ext>
          </a:extLst>
        </xdr:cNvPr>
        <xdr:cNvPicPr>
          <a:picLocks noChangeAspect="1"/>
        </xdr:cNvPicPr>
      </xdr:nvPicPr>
      <xdr:blipFill>
        <a:blip xmlns:r="http://schemas.openxmlformats.org/officeDocument/2006/relationships" r:embed="rId2"/>
        <a:stretch>
          <a:fillRect/>
        </a:stretch>
      </xdr:blipFill>
      <xdr:spPr>
        <a:xfrm>
          <a:off x="125691" y="10840628"/>
          <a:ext cx="1649690" cy="1062093"/>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102</xdr:col>
      <xdr:colOff>76200</xdr:colOff>
      <xdr:row>1</xdr:row>
      <xdr:rowOff>66675</xdr:rowOff>
    </xdr:from>
    <xdr:to>
      <xdr:col>105</xdr:col>
      <xdr:colOff>142875</xdr:colOff>
      <xdr:row>3</xdr:row>
      <xdr:rowOff>152400</xdr:rowOff>
    </xdr:to>
    <xdr:pic>
      <xdr:nvPicPr>
        <xdr:cNvPr id="2" name="Picture 200">
          <a:extLst>
            <a:ext uri="{FF2B5EF4-FFF2-40B4-BE49-F238E27FC236}">
              <a16:creationId xmlns:a16="http://schemas.microsoft.com/office/drawing/2014/main" id="{A6F300B0-96D8-4AA4-98AF-28D2ADD719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102</xdr:col>
      <xdr:colOff>76200</xdr:colOff>
      <xdr:row>1</xdr:row>
      <xdr:rowOff>66675</xdr:rowOff>
    </xdr:from>
    <xdr:to>
      <xdr:col>105</xdr:col>
      <xdr:colOff>142875</xdr:colOff>
      <xdr:row>3</xdr:row>
      <xdr:rowOff>152400</xdr:rowOff>
    </xdr:to>
    <xdr:pic>
      <xdr:nvPicPr>
        <xdr:cNvPr id="3" name="Picture 268">
          <a:extLst>
            <a:ext uri="{FF2B5EF4-FFF2-40B4-BE49-F238E27FC236}">
              <a16:creationId xmlns:a16="http://schemas.microsoft.com/office/drawing/2014/main" id="{E5437DD7-A0DA-4117-8CB0-11C23FC8DE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50" y="257175"/>
          <a:ext cx="552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102</xdr:col>
      <xdr:colOff>76200</xdr:colOff>
      <xdr:row>57</xdr:row>
      <xdr:rowOff>66675</xdr:rowOff>
    </xdr:from>
    <xdr:ext cx="561582" cy="462797"/>
    <xdr:pic>
      <xdr:nvPicPr>
        <xdr:cNvPr id="4" name="Picture 200">
          <a:extLst>
            <a:ext uri="{FF2B5EF4-FFF2-40B4-BE49-F238E27FC236}">
              <a16:creationId xmlns:a16="http://schemas.microsoft.com/office/drawing/2014/main" id="{47C958D2-5EEF-4330-A7B2-63DBCE454C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54050" y="10963275"/>
          <a:ext cx="561582" cy="4627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102</xdr:col>
      <xdr:colOff>76200</xdr:colOff>
      <xdr:row>57</xdr:row>
      <xdr:rowOff>66675</xdr:rowOff>
    </xdr:from>
    <xdr:ext cx="561582" cy="462797"/>
    <xdr:pic>
      <xdr:nvPicPr>
        <xdr:cNvPr id="5" name="Picture 268">
          <a:extLst>
            <a:ext uri="{FF2B5EF4-FFF2-40B4-BE49-F238E27FC236}">
              <a16:creationId xmlns:a16="http://schemas.microsoft.com/office/drawing/2014/main" id="{3FA236D2-244B-46AF-9D45-A40E9E1C9B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54050" y="10963275"/>
          <a:ext cx="561582" cy="4627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DD554FF-FCAA-427D-A267-888CAF2CFE17}" name="Table13478911" displayName="Table13478911" ref="B2:K25" totalsRowShown="0" headerRowDxfId="94" headerRowBorderDxfId="93" tableBorderDxfId="92" headerRowCellStyle="Normal 2 2">
  <autoFilter ref="B2:K25" xr:uid="{F1A90091-BF8A-4241-89E0-19D1DB412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CE2B2AC-D1A8-426D-80D0-7BB83DFD00A7}" name="Qty Bid" dataDxfId="91" dataCellStyle="Normal 2 2"/>
    <tableColumn id="2" xr3:uid="{8A9B8B27-F81F-43AC-B09D-92059234BC7B}" name="EQ Description" dataDxfId="90" dataCellStyle="Normal 2 2"/>
    <tableColumn id="10" xr3:uid="{9FE0E8FE-4162-44A8-987E-AF93A0ADCFDE}" name="Drawing" dataDxfId="89" dataCellStyle="Normal 2 2"/>
    <tableColumn id="3" xr3:uid="{1007CFA2-E9FD-46D3-8127-E31B098493DA}" name="QTY   Complete" dataDxfId="88" dataCellStyle="Normal 2 2"/>
    <tableColumn id="4" xr3:uid="{9889C37F-63CC-460D-9145-B2D5DE4D4FCC}" name="Hrs/unit" dataDxfId="87" dataCellStyle="Normal 2 2"/>
    <tableColumn id="5" xr3:uid="{6BD2AEFC-88B6-4C17-9E86-619651E6A019}" name="Total Hrs" dataDxfId="86" dataCellStyle="Normal 2 2">
      <calculatedColumnFormula>B3*F3</calculatedColumnFormula>
    </tableColumn>
    <tableColumn id="6" xr3:uid="{E8845858-A86D-4149-8443-7E1C2415AF6A}" name="QTY Remain." dataDxfId="85">
      <calculatedColumnFormula>B3-E3</calculatedColumnFormula>
    </tableColumn>
    <tableColumn id="7" xr3:uid="{6939E654-4C21-4CC6-89AD-39960CC6BF28}" name="Hours Remain" dataDxfId="84" dataCellStyle="Normal 2 2">
      <calculatedColumnFormula>H3*F3</calculatedColumnFormula>
    </tableColumn>
    <tableColumn id="8" xr3:uid="{E009ADBC-84B6-401A-8988-2F91ADE217E3}" name="Progress" dataDxfId="83" dataCellStyle="Percent 2">
      <calculatedColumnFormula>(1-Table13478911[[#This Row],[Hours Remain]]/Table13478911[[#This Row],[Total Hrs]])</calculatedColumnFormula>
    </tableColumn>
    <tableColumn id="9" xr3:uid="{01195A3A-B94B-4194-A4AC-6190A75D0F8C}" name="Notes" dataDxfId="82"/>
  </tableColumns>
  <tableStyleInfo name="ToDoList"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61544C-A1F0-4A36-8F1B-FBB8E8026232}" name="Table134789118" displayName="Table134789118" ref="B2:J13" totalsRowShown="0" headerRowDxfId="81" headerRowBorderDxfId="80" tableBorderDxfId="79" headerRowCellStyle="Normal 2 2">
  <autoFilter ref="B2:J13" xr:uid="{F1A90091-BF8A-4241-89E0-19D1DB412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ADDB25D-D9E2-40F8-89E1-09C81AF20831}" name="Qty Bid" dataDxfId="78" dataCellStyle="Normal 2 2"/>
    <tableColumn id="2" xr3:uid="{B51008E4-8A83-4AA7-BD74-C40D86C404CC}" name="EQ Description" dataDxfId="77" dataCellStyle="Normal 2 2"/>
    <tableColumn id="3" xr3:uid="{B288E427-35A7-49E7-8671-680A0916F43E}" name="QTY   Complete" dataDxfId="76" dataCellStyle="Normal 2 2"/>
    <tableColumn id="4" xr3:uid="{5AF3A968-CB53-400E-A709-1C345810CEA7}" name="Hrs/unit" dataDxfId="75" dataCellStyle="Normal 2 2"/>
    <tableColumn id="5" xr3:uid="{5B8821BA-B203-45B0-B19C-7FDB40A55070}" name="Total Hrs" dataDxfId="74" dataCellStyle="Normal 2 2">
      <calculatedColumnFormula>B3*E3</calculatedColumnFormula>
    </tableColumn>
    <tableColumn id="6" xr3:uid="{78692A44-8FBB-4220-A9C3-C1D6DFA1FC34}" name="QTY Remain." dataDxfId="73">
      <calculatedColumnFormula>B3-D3</calculatedColumnFormula>
    </tableColumn>
    <tableColumn id="7" xr3:uid="{7A16BAF8-5D25-4723-81E8-04C7961D9392}" name="Hours Remain" dataDxfId="72" dataCellStyle="Normal 2 2">
      <calculatedColumnFormula>G3*E3</calculatedColumnFormula>
    </tableColumn>
    <tableColumn id="8" xr3:uid="{7E8432DA-374A-45F6-A6E4-3C9B97467BC3}" name="Progress" dataDxfId="71" dataCellStyle="Percent 2">
      <calculatedColumnFormula>(1-Table134789118[[#This Row],[Hours Remain]]/Table134789118[[#This Row],[Total Hrs]])</calculatedColumnFormula>
    </tableColumn>
    <tableColumn id="9" xr3:uid="{BB07E8BF-B992-4821-BAB8-21BFEBF7B4DC}" name="Notes" dataDxfId="70"/>
  </tableColumns>
  <tableStyleInfo name="ToDoList"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E37C4F-93C8-4BA1-9E4A-82888BB8C457}" name="Table134789111213246" displayName="Table134789111213246" ref="B2:K40" totalsRowShown="0" headerRowDxfId="69" headerRowBorderDxfId="68" tableBorderDxfId="67" headerRowCellStyle="Normal 2 2">
  <autoFilter ref="B2:K40" xr:uid="{F1A90091-BF8A-4241-89E0-19D1DB412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BEB7A3C-B214-46F5-8F41-B7D2D40022E9}" name="Qty Bid" dataDxfId="66" dataCellStyle="Normal 2 2"/>
    <tableColumn id="2" xr3:uid="{D3B76D23-3AAB-48D0-AACB-8069C36E229A}" name="EQ Description" dataDxfId="65" dataCellStyle="Normal 2 2"/>
    <tableColumn id="10" xr3:uid="{E5D1EB9C-0CD3-4E07-8DA4-FBDC75A7244F}" name="Drawing" dataDxfId="64" dataCellStyle="Normal 2 2"/>
    <tableColumn id="3" xr3:uid="{26E6A347-D6E3-431C-BB34-98207947B456}" name="QTY   Complete" dataDxfId="63" dataCellStyle="Normal 2 2"/>
    <tableColumn id="4" xr3:uid="{7BD8F1F6-95B8-46A1-B89A-F9610478242E}" name="Hrs/unit" dataDxfId="62" dataCellStyle="Normal 2 2"/>
    <tableColumn id="5" xr3:uid="{7DAC72E3-7D8E-488E-BB82-7563EBFACCE6}" name="Total Hrs" dataDxfId="61" dataCellStyle="Normal 2 2">
      <calculatedColumnFormula>B3*F3</calculatedColumnFormula>
    </tableColumn>
    <tableColumn id="6" xr3:uid="{ABC9AB57-5A4A-4C69-B08C-1BD5C50D8772}" name="QTY Remain." dataDxfId="60">
      <calculatedColumnFormula>B3-E3</calculatedColumnFormula>
    </tableColumn>
    <tableColumn id="7" xr3:uid="{C4247B48-5821-4016-BC15-9348892CF2A0}" name="Hours Remain" dataDxfId="59" dataCellStyle="Normal 2 2">
      <calculatedColumnFormula>H3*F3</calculatedColumnFormula>
    </tableColumn>
    <tableColumn id="8" xr3:uid="{60B45F8F-800B-4EB2-9799-114F7BC33842}" name="Progress" dataDxfId="58" dataCellStyle="Percent 2">
      <calculatedColumnFormula>(1-Table134789111213246[[#This Row],[Hours Remain]]/Table134789111213246[[#This Row],[Total Hrs]])</calculatedColumnFormula>
    </tableColumn>
    <tableColumn id="9" xr3:uid="{710235AE-7642-4268-BCA6-DD2C22839B45}" name="Notes" dataDxfId="57"/>
  </tableColumns>
  <tableStyleInfo name="ToDoList"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71864A-B0EA-43FF-AA82-5371814702B5}" name="Table13478911121324" displayName="Table13478911121324" ref="B2:K24" totalsRowShown="0" headerRowDxfId="56" headerRowBorderDxfId="55" tableBorderDxfId="54" headerRowCellStyle="Normal 2 2">
  <autoFilter ref="B2:K24" xr:uid="{F1A90091-BF8A-4241-89E0-19D1DB412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0D7FF83-8BC0-486F-878E-125637722433}" name="Qty Bid" dataDxfId="53" dataCellStyle="Normal 2 2"/>
    <tableColumn id="2" xr3:uid="{00FD06E7-E29E-4B60-BAE7-5DEAC12D22D1}" name="EQ Description" dataDxfId="52" dataCellStyle="Normal 2 2"/>
    <tableColumn id="10" xr3:uid="{7CC2FF67-2CC5-4A61-912E-6BDEC9FC2F62}" name="Drawing" dataDxfId="51" dataCellStyle="Normal 2 2"/>
    <tableColumn id="3" xr3:uid="{9B74F90E-5B86-41A1-9F4C-3EAEFA08CA0C}" name="QTY   Complete" dataDxfId="50" dataCellStyle="Normal 2 2"/>
    <tableColumn id="4" xr3:uid="{4051AB06-927E-472E-B389-B14134510B69}" name="Hrs/unit" dataDxfId="49" dataCellStyle="Normal 2 2"/>
    <tableColumn id="5" xr3:uid="{AB01353E-ADC1-4370-BC74-72408179FF59}" name="Total Hrs" dataDxfId="48" dataCellStyle="Normal 2 2">
      <calculatedColumnFormula>B3*F3</calculatedColumnFormula>
    </tableColumn>
    <tableColumn id="6" xr3:uid="{47ED7F90-7E54-4473-9538-99C51F58955E}" name="QTY Remain." dataDxfId="47">
      <calculatedColumnFormula>B3-E3</calculatedColumnFormula>
    </tableColumn>
    <tableColumn id="7" xr3:uid="{336F1AFB-04A2-4329-A8CE-85425D2E6A15}" name="Hours Remain" dataDxfId="46" dataCellStyle="Normal 2 2">
      <calculatedColumnFormula>H3*F3</calculatedColumnFormula>
    </tableColumn>
    <tableColumn id="8" xr3:uid="{3EA92C66-3E31-48FD-9853-23918557D318}" name="Progress" dataDxfId="45" dataCellStyle="Percent 2">
      <calculatedColumnFormula>(1-Table13478911121324[[#This Row],[Hours Remain]]/Table13478911121324[[#This Row],[Total Hrs]])</calculatedColumnFormula>
    </tableColumn>
    <tableColumn id="9" xr3:uid="{D7CF53A1-6A8F-4595-946A-C4BD3C597DE3}" name="Notes" dataDxfId="44"/>
  </tableColumns>
  <tableStyleInfo name="ToDoList"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C8E69E-B332-4D8F-8395-BC85ACF10AE4}" name="Table1347891112132" displayName="Table1347891112132" ref="B2:K81" totalsRowShown="0" headerRowDxfId="43" headerRowBorderDxfId="42" tableBorderDxfId="41" headerRowCellStyle="Normal 2 2">
  <autoFilter ref="B2:K81" xr:uid="{F1A90091-BF8A-4241-89E0-19D1DB412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C8C6EC6-3720-4945-844A-BF5F47B7C742}" name="Qty Bid" dataDxfId="40" dataCellStyle="Normal 2 2"/>
    <tableColumn id="2" xr3:uid="{5704F844-5259-4479-B1D3-2523243D3962}" name="EQ Description" dataDxfId="39" dataCellStyle="Normal 2 2"/>
    <tableColumn id="10" xr3:uid="{220CFFB6-2046-4534-881D-B4BC69F6DBCC}" name="Drawing" dataDxfId="38" dataCellStyle="Normal 2 2"/>
    <tableColumn id="3" xr3:uid="{5F990068-A3A0-4955-AC79-4AF5ED9E1D7C}" name="QTY   Complete" dataDxfId="37" dataCellStyle="Normal 2 2"/>
    <tableColumn id="4" xr3:uid="{0D509CD1-9824-465B-8B5A-B47DA730E919}" name="Hrs/unit" dataDxfId="36" dataCellStyle="Normal 2 2"/>
    <tableColumn id="5" xr3:uid="{323E5FCD-AC40-41D1-8CD7-996773D86FB5}" name="Total Hrs" dataDxfId="35" dataCellStyle="Normal 2 2">
      <calculatedColumnFormula>B3*F3</calculatedColumnFormula>
    </tableColumn>
    <tableColumn id="6" xr3:uid="{16816EB7-2BC4-49F2-AF6A-0A88C7D1A623}" name="QTY Remain." dataDxfId="34">
      <calculatedColumnFormula>B3-E3</calculatedColumnFormula>
    </tableColumn>
    <tableColumn id="7" xr3:uid="{12ED983D-0233-4558-9896-AE73028CE96C}" name="Hours Remain" dataDxfId="33" dataCellStyle="Normal 2 2">
      <calculatedColumnFormula>H3*F3</calculatedColumnFormula>
    </tableColumn>
    <tableColumn id="8" xr3:uid="{A8116C52-1E9B-4E24-AA7D-E00696495320}" name="Progress" dataDxfId="32" dataCellStyle="Percent 2">
      <calculatedColumnFormula>(1-Table1347891112132[[#This Row],[Hours Remain]]/Table1347891112132[[#This Row],[Total Hrs]])</calculatedColumnFormula>
    </tableColumn>
    <tableColumn id="9" xr3:uid="{A1C2A12D-5857-4463-B602-C12B5E9BACCB}" name="Notes" dataDxfId="31"/>
  </tableColumns>
  <tableStyleInfo name="ToDoList"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1A2DC4-CA9A-44C4-943C-948F69697121}" name="Table1347891112132457" displayName="Table1347891112132457" ref="B2:K44" totalsRowShown="0" headerRowDxfId="30" dataDxfId="28" headerRowBorderDxfId="29" tableBorderDxfId="27" headerRowCellStyle="Normal 2 2">
  <autoFilter ref="B2:K44" xr:uid="{F1A90091-BF8A-4241-89E0-19D1DB412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786EBCB-CFAC-4B48-8D77-74F57068C716}" name="Qty Bid" dataDxfId="26" dataCellStyle="Normal 2 2"/>
    <tableColumn id="2" xr3:uid="{010465E4-5834-40E3-B767-220CF31E5DAD}" name="EQ Description" dataDxfId="25" dataCellStyle="Normal 2 2"/>
    <tableColumn id="10" xr3:uid="{9B04B677-D721-4219-BB94-C46B372B2570}" name="Drawing" dataDxfId="24" dataCellStyle="Normal 2 2"/>
    <tableColumn id="3" xr3:uid="{D429C308-26AA-466C-A32D-E7EC6A5B3A3C}" name="QTY   Complete" dataDxfId="23" dataCellStyle="Normal 2 2"/>
    <tableColumn id="4" xr3:uid="{BD944A81-9B18-4AD2-B383-69906FA6CD02}" name="Hrs/unit" dataDxfId="22" dataCellStyle="Normal 2 2"/>
    <tableColumn id="5" xr3:uid="{CFC652DC-4C74-47EA-BBE7-2F33B3D38FEA}" name="Total Hrs" dataDxfId="21" dataCellStyle="Normal 2 2">
      <calculatedColumnFormula>B3*F3</calculatedColumnFormula>
    </tableColumn>
    <tableColumn id="6" xr3:uid="{75707665-E100-4DC1-AB01-A18571DC1710}" name="QTY Remain." dataDxfId="20">
      <calculatedColumnFormula>B3-E3</calculatedColumnFormula>
    </tableColumn>
    <tableColumn id="7" xr3:uid="{E7D4699F-E4D8-4563-8543-88DD0B03511D}" name="Hours Remain" dataDxfId="19" dataCellStyle="Normal 2 2">
      <calculatedColumnFormula>H3*F3</calculatedColumnFormula>
    </tableColumn>
    <tableColumn id="8" xr3:uid="{C1AADEFE-0790-4232-8D56-FEB9B55C1309}" name="Progress" dataDxfId="18" dataCellStyle="Percent 2">
      <calculatedColumnFormula>(1-Table1347891112132457[[#This Row],[Hours Remain]]/Table1347891112132457[[#This Row],[Total Hrs]])</calculatedColumnFormula>
    </tableColumn>
    <tableColumn id="9" xr3:uid="{878E377E-BD63-44EE-93DD-AEA4EE4AAF70}" name="Notes" dataDxfId="17"/>
  </tableColumns>
  <tableStyleInfo name="ToDoList"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D8D974-BAA4-4DA0-BDAF-E8ADFF1F8190}" name="Table13478911121324573" displayName="Table13478911121324573" ref="B2:K37" totalsRowShown="0" headerRowDxfId="16" dataDxfId="14" headerRowBorderDxfId="15" tableBorderDxfId="13" headerRowCellStyle="Normal 2 2">
  <autoFilter ref="B2:K37" xr:uid="{F1A90091-BF8A-4241-89E0-19D1DB412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024B2E1-E86A-4A5D-A13E-7C1C27369BC9}" name="Qty Bid" dataDxfId="12" dataCellStyle="Normal 2 2"/>
    <tableColumn id="2" xr3:uid="{63B3D68D-01AC-4B2D-9115-DAD2D053C0FB}" name="EQ Description" dataDxfId="11" dataCellStyle="Normal 2 2"/>
    <tableColumn id="10" xr3:uid="{81E750D9-EC24-44BF-BD48-D1F689E25773}" name="Drawing" dataDxfId="10" dataCellStyle="Normal 2 2"/>
    <tableColumn id="3" xr3:uid="{C1763813-D1A1-485D-A81A-0A2DD7C767CA}" name="QTY   Complete" dataDxfId="9" dataCellStyle="Normal 2 2"/>
    <tableColumn id="4" xr3:uid="{79CC4E5B-F81F-423C-8E7B-6651A39665E4}" name="Hrs/unit" dataDxfId="8" dataCellStyle="Normal 2 2"/>
    <tableColumn id="5" xr3:uid="{9A523918-CEA0-4D24-BA0F-CB391C123D44}" name="Total Hrs" dataDxfId="7" dataCellStyle="Normal 2 2">
      <calculatedColumnFormula>B3*F3</calculatedColumnFormula>
    </tableColumn>
    <tableColumn id="6" xr3:uid="{8DC1B401-1F00-4764-8445-F719C45F7184}" name="QTY Remain." dataDxfId="6">
      <calculatedColumnFormula>B3-E3</calculatedColumnFormula>
    </tableColumn>
    <tableColumn id="7" xr3:uid="{B8D1F9CB-4185-4408-B0FE-A3E35E910F38}" name="Hours Remain" dataDxfId="5" dataCellStyle="Normal 2 2">
      <calculatedColumnFormula>H3*F3</calculatedColumnFormula>
    </tableColumn>
    <tableColumn id="8" xr3:uid="{8F92952E-744A-467E-81D0-5D19AB4A1A55}" name="Progress" dataDxfId="4" dataCellStyle="Percent 2">
      <calculatedColumnFormula>(1-Table13478911121324573[[#This Row],[Hours Remain]]/Table13478911121324573[[#This Row],[Total Hrs]])</calculatedColumnFormula>
    </tableColumn>
    <tableColumn id="9" xr3:uid="{17643C37-DF8D-4021-9205-6E3D773C689F}" name="Notes" dataDxfId="3"/>
  </tableColumns>
  <tableStyleInfo name="ToDoList"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aes-ab.com/" TargetMode="External"/><Relationship Id="rId7" Type="http://schemas.openxmlformats.org/officeDocument/2006/relationships/vmlDrawing" Target="../drawings/vmlDrawing1.vml"/><Relationship Id="rId2" Type="http://schemas.openxmlformats.org/officeDocument/2006/relationships/hyperlink" Target="http://www.resapower.com/" TargetMode="External"/><Relationship Id="rId1" Type="http://schemas.openxmlformats.org/officeDocument/2006/relationships/hyperlink" Target="http://www.aes-ab.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resapower.com/" TargetMode="Externa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www.aes-ab.com/" TargetMode="External"/><Relationship Id="rId7" Type="http://schemas.openxmlformats.org/officeDocument/2006/relationships/vmlDrawing" Target="../drawings/vmlDrawing2.vml"/><Relationship Id="rId2" Type="http://schemas.openxmlformats.org/officeDocument/2006/relationships/hyperlink" Target="http://www.resapower.com/" TargetMode="External"/><Relationship Id="rId1" Type="http://schemas.openxmlformats.org/officeDocument/2006/relationships/hyperlink" Target="http://www.aes-ab.com/"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resapower.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www.aes-ab.com/" TargetMode="External"/><Relationship Id="rId7" Type="http://schemas.openxmlformats.org/officeDocument/2006/relationships/vmlDrawing" Target="../drawings/vmlDrawing3.vml"/><Relationship Id="rId2" Type="http://schemas.openxmlformats.org/officeDocument/2006/relationships/hyperlink" Target="http://www.resapower.com/" TargetMode="External"/><Relationship Id="rId1" Type="http://schemas.openxmlformats.org/officeDocument/2006/relationships/hyperlink" Target="http://www.aes-ab.com/" TargetMode="Externa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http://www.resapower.com/" TargetMode="External"/></Relationships>
</file>

<file path=xl/worksheets/_rels/sheet12.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http://www.aes-ab.com/" TargetMode="External"/><Relationship Id="rId7" Type="http://schemas.openxmlformats.org/officeDocument/2006/relationships/vmlDrawing" Target="../drawings/vmlDrawing4.vml"/><Relationship Id="rId2" Type="http://schemas.openxmlformats.org/officeDocument/2006/relationships/hyperlink" Target="http://www.resapower.com/" TargetMode="External"/><Relationship Id="rId1" Type="http://schemas.openxmlformats.org/officeDocument/2006/relationships/hyperlink" Target="http://www.aes-ab.com/" TargetMode="Externa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hyperlink" Target="http://www.resapower.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resapower.com/" TargetMode="External"/><Relationship Id="rId3" Type="http://schemas.openxmlformats.org/officeDocument/2006/relationships/hyperlink" Target="http://www.aes-ab.com/" TargetMode="External"/><Relationship Id="rId7" Type="http://schemas.openxmlformats.org/officeDocument/2006/relationships/hyperlink" Target="http://www.aes-ab.com/" TargetMode="External"/><Relationship Id="rId12" Type="http://schemas.openxmlformats.org/officeDocument/2006/relationships/comments" Target="../comments5.xml"/><Relationship Id="rId2" Type="http://schemas.openxmlformats.org/officeDocument/2006/relationships/hyperlink" Target="http://www.resapower.com/" TargetMode="External"/><Relationship Id="rId1" Type="http://schemas.openxmlformats.org/officeDocument/2006/relationships/hyperlink" Target="http://www.aes-ab.com/" TargetMode="External"/><Relationship Id="rId6" Type="http://schemas.openxmlformats.org/officeDocument/2006/relationships/hyperlink" Target="http://www.resapower.com/" TargetMode="External"/><Relationship Id="rId11" Type="http://schemas.openxmlformats.org/officeDocument/2006/relationships/vmlDrawing" Target="../drawings/vmlDrawing5.vml"/><Relationship Id="rId5" Type="http://schemas.openxmlformats.org/officeDocument/2006/relationships/hyperlink" Target="http://www.aes-ab.com/" TargetMode="External"/><Relationship Id="rId10" Type="http://schemas.openxmlformats.org/officeDocument/2006/relationships/drawing" Target="../drawings/drawing13.xml"/><Relationship Id="rId4" Type="http://schemas.openxmlformats.org/officeDocument/2006/relationships/hyperlink" Target="http://www.resapower.com/" TargetMode="External"/><Relationship Id="rId9"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www.aes-ab.com/" TargetMode="External"/><Relationship Id="rId7" Type="http://schemas.openxmlformats.org/officeDocument/2006/relationships/vmlDrawing" Target="../drawings/vmlDrawing6.vml"/><Relationship Id="rId2" Type="http://schemas.openxmlformats.org/officeDocument/2006/relationships/hyperlink" Target="http://www.resapower.com/" TargetMode="External"/><Relationship Id="rId1" Type="http://schemas.openxmlformats.org/officeDocument/2006/relationships/hyperlink" Target="http://www.aes-ab.com/" TargetMode="External"/><Relationship Id="rId6" Type="http://schemas.openxmlformats.org/officeDocument/2006/relationships/drawing" Target="../drawings/drawing14.xml"/><Relationship Id="rId5" Type="http://schemas.openxmlformats.org/officeDocument/2006/relationships/printerSettings" Target="../printerSettings/printerSettings14.bin"/><Relationship Id="rId4" Type="http://schemas.openxmlformats.org/officeDocument/2006/relationships/hyperlink" Target="http://www.resapower.com/" TargetMode="External"/></Relationships>
</file>

<file path=xl/worksheets/_rels/sheet15.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hyperlink" Target="http://www.aes-ab.com/" TargetMode="External"/><Relationship Id="rId7" Type="http://schemas.openxmlformats.org/officeDocument/2006/relationships/vmlDrawing" Target="../drawings/vmlDrawing7.vml"/><Relationship Id="rId2" Type="http://schemas.openxmlformats.org/officeDocument/2006/relationships/hyperlink" Target="http://www.resapower.com/" TargetMode="External"/><Relationship Id="rId1" Type="http://schemas.openxmlformats.org/officeDocument/2006/relationships/hyperlink" Target="http://www.aes-ab.com/" TargetMode="External"/><Relationship Id="rId6" Type="http://schemas.openxmlformats.org/officeDocument/2006/relationships/drawing" Target="../drawings/drawing15.xml"/><Relationship Id="rId5" Type="http://schemas.openxmlformats.org/officeDocument/2006/relationships/printerSettings" Target="../printerSettings/printerSettings15.bin"/><Relationship Id="rId4" Type="http://schemas.openxmlformats.org/officeDocument/2006/relationships/hyperlink" Target="http://www.resapower.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D8F2-6540-48DC-A5CC-4597E29F7849}">
  <sheetPr codeName="Sheet11">
    <tabColor theme="6" tint="0.39997558519241921"/>
    <pageSetUpPr fitToPage="1"/>
  </sheetPr>
  <dimension ref="A1:EI131"/>
  <sheetViews>
    <sheetView view="pageBreakPreview" topLeftCell="A13" zoomScale="97" zoomScaleNormal="54" zoomScaleSheetLayoutView="55" workbookViewId="0">
      <selection activeCell="B15" sqref="B15:DD54"/>
    </sheetView>
  </sheetViews>
  <sheetFormatPr defaultColWidth="2.42578125" defaultRowHeight="15" customHeight="1"/>
  <cols>
    <col min="1" max="18" width="2.42578125" style="1"/>
    <col min="19" max="19" width="2.42578125" style="1" customWidth="1"/>
    <col min="20" max="66" width="2.42578125" style="1"/>
    <col min="67" max="86" width="0" style="1" hidden="1" customWidth="1"/>
    <col min="87" max="16384" width="2.42578125" style="1"/>
  </cols>
  <sheetData>
    <row r="1" spans="1:139" ht="15" customHeight="1">
      <c r="A1" s="388"/>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389"/>
      <c r="CO1" s="389"/>
      <c r="CP1" s="389"/>
      <c r="CQ1" s="389"/>
      <c r="CR1" s="389"/>
      <c r="CS1" s="389"/>
      <c r="CT1" s="389"/>
      <c r="CU1" s="389"/>
      <c r="CV1" s="361" t="s">
        <v>1</v>
      </c>
      <c r="CW1" s="361"/>
      <c r="CX1" s="361"/>
      <c r="CY1" s="361"/>
      <c r="CZ1" s="361"/>
      <c r="DA1" s="361"/>
      <c r="DB1" s="361"/>
      <c r="DC1" s="361"/>
      <c r="DD1" s="361"/>
      <c r="DE1" s="362"/>
    </row>
    <row r="2" spans="1:139" ht="15" customHeight="1">
      <c r="A2" s="390"/>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c r="BN2" s="391"/>
      <c r="BO2" s="391"/>
      <c r="BP2" s="391"/>
      <c r="BQ2" s="391"/>
      <c r="BR2" s="391"/>
      <c r="BS2" s="391"/>
      <c r="BT2" s="391"/>
      <c r="BU2" s="391"/>
      <c r="BV2" s="391"/>
      <c r="BW2" s="391"/>
      <c r="BX2" s="391"/>
      <c r="BY2" s="391"/>
      <c r="BZ2" s="391"/>
      <c r="CA2" s="391"/>
      <c r="CB2" s="391"/>
      <c r="CC2" s="391"/>
      <c r="CD2" s="391"/>
      <c r="CE2" s="391"/>
      <c r="CF2" s="391"/>
      <c r="CG2" s="391"/>
      <c r="CH2" s="391"/>
      <c r="CI2" s="391"/>
      <c r="CJ2" s="391"/>
      <c r="CK2" s="391"/>
      <c r="CL2" s="391"/>
      <c r="CM2" s="391"/>
      <c r="CN2" s="391"/>
      <c r="CO2" s="391"/>
      <c r="CP2" s="391"/>
      <c r="CQ2" s="391"/>
      <c r="CR2" s="391"/>
      <c r="CS2" s="391"/>
      <c r="CT2" s="391"/>
      <c r="CU2" s="391"/>
      <c r="CV2" s="363"/>
      <c r="CW2" s="363"/>
      <c r="CX2" s="363"/>
      <c r="CY2" s="363"/>
      <c r="CZ2" s="363"/>
      <c r="DA2" s="363"/>
      <c r="DB2" s="363"/>
      <c r="DC2" s="363"/>
      <c r="DD2" s="363"/>
      <c r="DE2" s="364"/>
    </row>
    <row r="3" spans="1:139" ht="15" customHeight="1">
      <c r="A3" s="390"/>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1"/>
      <c r="BP3" s="391"/>
      <c r="BQ3" s="391"/>
      <c r="BR3" s="391"/>
      <c r="BS3" s="391"/>
      <c r="BT3" s="391"/>
      <c r="BU3" s="391"/>
      <c r="BV3" s="391"/>
      <c r="BW3" s="391"/>
      <c r="BX3" s="391"/>
      <c r="BY3" s="391"/>
      <c r="BZ3" s="391"/>
      <c r="CA3" s="391"/>
      <c r="CB3" s="391"/>
      <c r="CC3" s="391"/>
      <c r="CD3" s="391"/>
      <c r="CE3" s="391"/>
      <c r="CF3" s="391"/>
      <c r="CG3" s="391"/>
      <c r="CH3" s="391"/>
      <c r="CI3" s="391"/>
      <c r="CJ3" s="391"/>
      <c r="CK3" s="391"/>
      <c r="CL3" s="391"/>
      <c r="CM3" s="391"/>
      <c r="CN3" s="391"/>
      <c r="CO3" s="391"/>
      <c r="CP3" s="391"/>
      <c r="CQ3" s="391"/>
      <c r="CR3" s="391"/>
      <c r="CS3" s="391"/>
      <c r="CT3" s="391"/>
      <c r="CU3" s="391"/>
      <c r="CV3" s="363"/>
      <c r="CW3" s="363"/>
      <c r="CX3" s="363"/>
      <c r="CY3" s="363"/>
      <c r="CZ3" s="363"/>
      <c r="DA3" s="363"/>
      <c r="DB3" s="363"/>
      <c r="DC3" s="363"/>
      <c r="DD3" s="363"/>
      <c r="DE3" s="364"/>
    </row>
    <row r="4" spans="1:139" ht="15" customHeight="1">
      <c r="A4" s="390"/>
      <c r="B4" s="391"/>
      <c r="C4" s="391"/>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63"/>
      <c r="CW4" s="363"/>
      <c r="CX4" s="363"/>
      <c r="CY4" s="363"/>
      <c r="CZ4" s="363"/>
      <c r="DA4" s="363"/>
      <c r="DB4" s="363"/>
      <c r="DC4" s="363"/>
      <c r="DD4" s="363"/>
      <c r="DE4" s="364"/>
    </row>
    <row r="5" spans="1:139" ht="15" customHeight="1">
      <c r="A5" s="390"/>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c r="BY5" s="391"/>
      <c r="BZ5" s="391"/>
      <c r="CA5" s="391"/>
      <c r="CB5" s="391"/>
      <c r="CC5" s="391"/>
      <c r="CD5" s="391"/>
      <c r="CE5" s="391"/>
      <c r="CF5" s="391"/>
      <c r="CG5" s="391"/>
      <c r="CH5" s="391"/>
      <c r="CI5" s="391"/>
      <c r="CJ5" s="391"/>
      <c r="CK5" s="391"/>
      <c r="CL5" s="391"/>
      <c r="CM5" s="391"/>
      <c r="CN5" s="391"/>
      <c r="CO5" s="391"/>
      <c r="CP5" s="391"/>
      <c r="CQ5" s="391"/>
      <c r="CR5" s="391"/>
      <c r="CS5" s="391"/>
      <c r="CT5" s="391"/>
      <c r="CU5" s="391"/>
      <c r="CV5" s="363"/>
      <c r="CW5" s="363"/>
      <c r="CX5" s="363"/>
      <c r="CY5" s="363"/>
      <c r="CZ5" s="363"/>
      <c r="DA5" s="363"/>
      <c r="DB5" s="363"/>
      <c r="DC5" s="363"/>
      <c r="DD5" s="363"/>
      <c r="DE5" s="364"/>
    </row>
    <row r="6" spans="1:139" ht="15" customHeight="1" thickBot="1">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65"/>
      <c r="CW6" s="365"/>
      <c r="CX6" s="365"/>
      <c r="CY6" s="365"/>
      <c r="CZ6" s="365"/>
      <c r="DA6" s="365"/>
      <c r="DB6" s="365"/>
      <c r="DC6" s="365"/>
      <c r="DD6" s="365"/>
      <c r="DE6" s="366"/>
    </row>
    <row r="7" spans="1:139" ht="15" customHeight="1">
      <c r="A7" s="392" t="s">
        <v>2</v>
      </c>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c r="BL7" s="393"/>
      <c r="BM7" s="393"/>
      <c r="BN7" s="393"/>
      <c r="BO7" s="393"/>
      <c r="BP7" s="393"/>
      <c r="BQ7" s="393"/>
      <c r="BR7" s="393"/>
      <c r="BS7" s="393"/>
      <c r="BT7" s="393"/>
      <c r="BU7" s="393"/>
      <c r="BV7" s="393"/>
      <c r="BW7" s="393"/>
      <c r="BX7" s="393"/>
      <c r="BY7" s="393"/>
      <c r="BZ7" s="393"/>
      <c r="CA7" s="393"/>
      <c r="CB7" s="393"/>
      <c r="CC7" s="393"/>
      <c r="CD7" s="393"/>
      <c r="CE7" s="393"/>
      <c r="CF7" s="393"/>
      <c r="CG7" s="393"/>
      <c r="CH7" s="393"/>
      <c r="CI7" s="393"/>
      <c r="CJ7" s="393"/>
      <c r="CK7" s="393"/>
      <c r="CL7" s="393"/>
      <c r="CM7" s="393"/>
      <c r="CN7" s="393"/>
      <c r="CO7" s="393"/>
      <c r="CP7" s="367" t="s">
        <v>3</v>
      </c>
      <c r="CQ7" s="367"/>
      <c r="CR7" s="367"/>
      <c r="CS7" s="367"/>
      <c r="CT7" s="367"/>
      <c r="CU7" s="367"/>
      <c r="CV7" s="367"/>
      <c r="CW7" s="367"/>
      <c r="CX7" s="367"/>
      <c r="CY7" s="367"/>
      <c r="CZ7" s="367"/>
      <c r="DA7" s="367"/>
      <c r="DB7" s="367"/>
      <c r="DC7" s="367"/>
      <c r="DD7" s="367"/>
      <c r="DE7" s="368"/>
    </row>
    <row r="8" spans="1:139" ht="15" customHeight="1">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c r="BL8" s="393"/>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67"/>
      <c r="CQ8" s="367"/>
      <c r="CR8" s="367"/>
      <c r="CS8" s="367"/>
      <c r="CT8" s="367"/>
      <c r="CU8" s="367"/>
      <c r="CV8" s="367"/>
      <c r="CW8" s="367"/>
      <c r="CX8" s="367"/>
      <c r="CY8" s="367"/>
      <c r="CZ8" s="367"/>
      <c r="DA8" s="367"/>
      <c r="DB8" s="367"/>
      <c r="DC8" s="367"/>
      <c r="DD8" s="367"/>
      <c r="DE8" s="368"/>
    </row>
    <row r="9" spans="1:139" ht="15" customHeight="1">
      <c r="A9" s="375" t="s">
        <v>4</v>
      </c>
      <c r="B9" s="369"/>
      <c r="C9" s="369"/>
      <c r="D9" s="369"/>
      <c r="E9" s="369"/>
      <c r="F9" s="369"/>
      <c r="G9" s="369"/>
      <c r="H9" s="369"/>
      <c r="I9" s="369"/>
      <c r="J9" s="369"/>
      <c r="K9" s="369"/>
      <c r="L9" s="369"/>
      <c r="M9" s="369"/>
      <c r="N9" s="369"/>
      <c r="O9" s="369"/>
      <c r="P9" s="369"/>
      <c r="Q9" s="369"/>
      <c r="R9" s="369"/>
      <c r="S9" s="370">
        <v>559082</v>
      </c>
      <c r="T9" s="370"/>
      <c r="U9" s="370"/>
      <c r="V9" s="370"/>
      <c r="W9" s="370"/>
      <c r="X9" s="370"/>
      <c r="Y9" s="370"/>
      <c r="Z9" s="370"/>
      <c r="AA9" s="370"/>
      <c r="AB9" s="370"/>
      <c r="AC9" s="370"/>
      <c r="AD9" s="370"/>
      <c r="AE9" s="369" t="s">
        <v>5</v>
      </c>
      <c r="AF9" s="369"/>
      <c r="AG9" s="369"/>
      <c r="AH9" s="369"/>
      <c r="AI9" s="369"/>
      <c r="AJ9" s="369"/>
      <c r="AK9" s="369"/>
      <c r="AL9" s="369"/>
      <c r="AM9" s="369"/>
      <c r="AN9" s="369"/>
      <c r="AO9" s="369"/>
      <c r="AP9" s="369"/>
      <c r="AQ9" s="369"/>
      <c r="AR9" s="369"/>
      <c r="AS9" s="394">
        <v>45668</v>
      </c>
      <c r="AT9" s="394"/>
      <c r="AU9" s="394"/>
      <c r="AV9" s="394"/>
      <c r="AW9" s="394"/>
      <c r="AX9" s="394"/>
      <c r="AY9" s="394"/>
      <c r="AZ9" s="394"/>
      <c r="BA9" s="394"/>
      <c r="BB9" s="394"/>
      <c r="BC9" s="394"/>
      <c r="BD9" s="394"/>
      <c r="BE9" s="394"/>
      <c r="BF9" s="394"/>
      <c r="BG9" s="369" t="s">
        <v>6</v>
      </c>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71" t="s">
        <v>7</v>
      </c>
      <c r="CO9" s="371"/>
      <c r="CP9" s="371"/>
      <c r="CQ9" s="372" t="s">
        <v>8</v>
      </c>
      <c r="CR9" s="372"/>
      <c r="CS9" s="372"/>
      <c r="CT9" s="372"/>
      <c r="CU9" s="372"/>
      <c r="CV9" s="372"/>
      <c r="CW9" s="372"/>
      <c r="CX9" s="372"/>
      <c r="CY9" s="372"/>
      <c r="CZ9" s="372"/>
      <c r="DA9" s="372"/>
      <c r="DB9" s="372"/>
      <c r="DC9" s="372"/>
      <c r="DD9" s="372"/>
      <c r="DE9" s="373"/>
    </row>
    <row r="10" spans="1:139" ht="15" customHeight="1">
      <c r="A10" s="375" t="s">
        <v>9</v>
      </c>
      <c r="B10" s="369"/>
      <c r="C10" s="369"/>
      <c r="D10" s="369"/>
      <c r="E10" s="369"/>
      <c r="F10" s="369"/>
      <c r="G10" s="369"/>
      <c r="H10" s="369"/>
      <c r="I10" s="369"/>
      <c r="J10" s="369"/>
      <c r="K10" s="369"/>
      <c r="L10" s="369"/>
      <c r="M10" s="369"/>
      <c r="N10" s="369"/>
      <c r="O10" s="369"/>
      <c r="P10" s="369"/>
      <c r="Q10" s="369"/>
      <c r="R10" s="369"/>
      <c r="S10" s="370" t="s">
        <v>10</v>
      </c>
      <c r="T10" s="370"/>
      <c r="U10" s="370"/>
      <c r="V10" s="370"/>
      <c r="W10" s="370"/>
      <c r="X10" s="370"/>
      <c r="Y10" s="370"/>
      <c r="Z10" s="370"/>
      <c r="AA10" s="370"/>
      <c r="AB10" s="370"/>
      <c r="AC10" s="370"/>
      <c r="AD10" s="370"/>
      <c r="AE10" s="369" t="s">
        <v>11</v>
      </c>
      <c r="AF10" s="369"/>
      <c r="AG10" s="369"/>
      <c r="AH10" s="369"/>
      <c r="AI10" s="369"/>
      <c r="AJ10" s="369"/>
      <c r="AK10" s="369"/>
      <c r="AL10" s="369"/>
      <c r="AM10" s="369"/>
      <c r="AN10" s="369"/>
      <c r="AO10" s="369"/>
      <c r="AP10" s="369"/>
      <c r="AQ10" s="369"/>
      <c r="AR10" s="369"/>
      <c r="AS10" s="370" t="s">
        <v>12</v>
      </c>
      <c r="AT10" s="370"/>
      <c r="AU10" s="370"/>
      <c r="AV10" s="370"/>
      <c r="AW10" s="370"/>
      <c r="AX10" s="370"/>
      <c r="AY10" s="370"/>
      <c r="AZ10" s="370"/>
      <c r="BA10" s="370"/>
      <c r="BB10" s="370"/>
      <c r="BC10" s="370"/>
      <c r="BD10" s="370"/>
      <c r="BE10" s="370"/>
      <c r="BF10" s="370"/>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71"/>
      <c r="CO10" s="371"/>
      <c r="CP10" s="371"/>
      <c r="CQ10" s="372" t="s">
        <v>13</v>
      </c>
      <c r="CR10" s="372"/>
      <c r="CS10" s="372"/>
      <c r="CT10" s="372"/>
      <c r="CU10" s="372"/>
      <c r="CV10" s="372"/>
      <c r="CW10" s="372"/>
      <c r="CX10" s="372"/>
      <c r="CY10" s="372"/>
      <c r="CZ10" s="372"/>
      <c r="DA10" s="372"/>
      <c r="DB10" s="372"/>
      <c r="DC10" s="372"/>
      <c r="DD10" s="372"/>
      <c r="DE10" s="373"/>
    </row>
    <row r="11" spans="1:139" ht="15" customHeight="1">
      <c r="A11" s="375" t="s">
        <v>14</v>
      </c>
      <c r="B11" s="369"/>
      <c r="C11" s="369"/>
      <c r="D11" s="369"/>
      <c r="E11" s="369"/>
      <c r="F11" s="369"/>
      <c r="G11" s="369"/>
      <c r="H11" s="369"/>
      <c r="I11" s="369"/>
      <c r="J11" s="369"/>
      <c r="K11" s="369"/>
      <c r="L11" s="369"/>
      <c r="M11" s="369"/>
      <c r="N11" s="369"/>
      <c r="O11" s="369"/>
      <c r="P11" s="369"/>
      <c r="Q11" s="369"/>
      <c r="R11" s="369"/>
      <c r="S11" s="370" t="s">
        <v>15</v>
      </c>
      <c r="T11" s="370"/>
      <c r="U11" s="370"/>
      <c r="V11" s="370"/>
      <c r="W11" s="370"/>
      <c r="X11" s="370"/>
      <c r="Y11" s="370"/>
      <c r="Z11" s="370"/>
      <c r="AA11" s="370"/>
      <c r="AB11" s="370"/>
      <c r="AC11" s="370"/>
      <c r="AD11" s="370"/>
      <c r="AE11" s="369" t="s">
        <v>16</v>
      </c>
      <c r="AF11" s="369"/>
      <c r="AG11" s="369"/>
      <c r="AH11" s="369"/>
      <c r="AI11" s="369"/>
      <c r="AJ11" s="369"/>
      <c r="AK11" s="369"/>
      <c r="AL11" s="369"/>
      <c r="AM11" s="369"/>
      <c r="AN11" s="369"/>
      <c r="AO11" s="369"/>
      <c r="AP11" s="369"/>
      <c r="AQ11" s="369"/>
      <c r="AR11" s="369"/>
      <c r="AS11" s="370" t="s">
        <v>17</v>
      </c>
      <c r="AT11" s="370"/>
      <c r="AU11" s="370"/>
      <c r="AV11" s="370"/>
      <c r="AW11" s="370"/>
      <c r="AX11" s="370"/>
      <c r="AY11" s="370"/>
      <c r="AZ11" s="370"/>
      <c r="BA11" s="370"/>
      <c r="BB11" s="370"/>
      <c r="BC11" s="370"/>
      <c r="BD11" s="370"/>
      <c r="BE11" s="370"/>
      <c r="BF11" s="370"/>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71"/>
      <c r="CO11" s="371"/>
      <c r="CP11" s="371"/>
      <c r="CQ11" s="372" t="s">
        <v>18</v>
      </c>
      <c r="CR11" s="372"/>
      <c r="CS11" s="372"/>
      <c r="CT11" s="372"/>
      <c r="CU11" s="372"/>
      <c r="CV11" s="372"/>
      <c r="CW11" s="372"/>
      <c r="CX11" s="372"/>
      <c r="CY11" s="372"/>
      <c r="CZ11" s="372"/>
      <c r="DA11" s="372"/>
      <c r="DB11" s="372"/>
      <c r="DC11" s="372"/>
      <c r="DD11" s="372"/>
      <c r="DE11" s="373"/>
    </row>
    <row r="12" spans="1:139" ht="15" customHeight="1">
      <c r="A12" s="3"/>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CN12" s="4"/>
      <c r="CO12" s="4"/>
      <c r="CP12" s="4"/>
      <c r="CQ12" s="4"/>
      <c r="CR12" s="4"/>
      <c r="CS12" s="4"/>
      <c r="CT12" s="4"/>
      <c r="CU12" s="4"/>
      <c r="CV12" s="4"/>
      <c r="CW12" s="4"/>
      <c r="CX12" s="4"/>
      <c r="CY12" s="4"/>
      <c r="CZ12" s="4"/>
      <c r="DA12" s="4"/>
      <c r="DB12" s="4"/>
      <c r="DC12" s="4"/>
      <c r="DD12" s="4"/>
      <c r="DE12" s="23"/>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2"/>
      <c r="EI12" s="2"/>
    </row>
    <row r="13" spans="1:139" ht="15" customHeight="1">
      <c r="A13" s="6"/>
      <c r="B13" s="376" t="s">
        <v>19</v>
      </c>
      <c r="C13" s="377"/>
      <c r="D13" s="377"/>
      <c r="E13" s="377"/>
      <c r="F13" s="377"/>
      <c r="G13" s="377"/>
      <c r="H13" s="378"/>
      <c r="I13" s="376" t="s">
        <v>20</v>
      </c>
      <c r="J13" s="377"/>
      <c r="K13" s="377"/>
      <c r="L13" s="377"/>
      <c r="M13" s="377"/>
      <c r="N13" s="377"/>
      <c r="O13" s="378"/>
      <c r="P13" s="376" t="s">
        <v>21</v>
      </c>
      <c r="Q13" s="377"/>
      <c r="R13" s="377"/>
      <c r="S13" s="377"/>
      <c r="T13" s="377"/>
      <c r="U13" s="377"/>
      <c r="V13" s="378"/>
      <c r="W13" s="376" t="s">
        <v>22</v>
      </c>
      <c r="X13" s="377"/>
      <c r="Y13" s="377"/>
      <c r="Z13" s="377"/>
      <c r="AA13" s="377"/>
      <c r="AB13" s="377"/>
      <c r="AC13" s="378"/>
      <c r="AD13" s="376" t="s">
        <v>23</v>
      </c>
      <c r="AE13" s="377"/>
      <c r="AF13" s="377"/>
      <c r="AG13" s="377"/>
      <c r="AH13" s="377"/>
      <c r="AI13" s="377"/>
      <c r="AJ13" s="378"/>
      <c r="AK13" s="376" t="s">
        <v>24</v>
      </c>
      <c r="AL13" s="377"/>
      <c r="AM13" s="377"/>
      <c r="AN13" s="377"/>
      <c r="AO13" s="377"/>
      <c r="AP13" s="377"/>
      <c r="AQ13" s="378"/>
      <c r="AR13" s="376" t="s">
        <v>25</v>
      </c>
      <c r="AS13" s="377"/>
      <c r="AT13" s="377"/>
      <c r="AU13" s="377"/>
      <c r="AV13" s="377"/>
      <c r="AW13" s="377"/>
      <c r="AX13" s="378"/>
      <c r="AY13" s="376" t="s">
        <v>26</v>
      </c>
      <c r="AZ13" s="377"/>
      <c r="BA13" s="377"/>
      <c r="BB13" s="377"/>
      <c r="BC13" s="377"/>
      <c r="BD13" s="377"/>
      <c r="BE13" s="378"/>
      <c r="BF13" s="376" t="s">
        <v>27</v>
      </c>
      <c r="BG13" s="377"/>
      <c r="BH13" s="377"/>
      <c r="BI13" s="377"/>
      <c r="BJ13" s="377"/>
      <c r="BK13" s="377"/>
      <c r="BL13" s="378"/>
      <c r="BM13" s="374" t="s">
        <v>28</v>
      </c>
      <c r="BN13" s="374"/>
      <c r="BO13" s="374"/>
      <c r="BP13" s="374"/>
      <c r="BQ13" s="374"/>
      <c r="BR13" s="374"/>
      <c r="BS13" s="374"/>
      <c r="BT13" s="374"/>
      <c r="BU13" s="374"/>
      <c r="BV13" s="374"/>
      <c r="BW13" s="374"/>
      <c r="BX13" s="374"/>
      <c r="BY13" s="374"/>
      <c r="BZ13" s="374"/>
      <c r="CA13" s="374"/>
      <c r="CB13" s="374"/>
      <c r="CC13" s="374"/>
      <c r="CD13" s="374"/>
      <c r="CE13" s="374"/>
      <c r="CF13" s="374"/>
      <c r="CG13" s="374"/>
      <c r="CH13" s="374"/>
      <c r="CI13" s="374"/>
      <c r="CJ13" s="374"/>
      <c r="CK13" s="374"/>
      <c r="CL13" s="374"/>
      <c r="CM13" s="374" t="s">
        <v>29</v>
      </c>
      <c r="CN13" s="374"/>
      <c r="CO13" s="374"/>
      <c r="CP13" s="374"/>
      <c r="CQ13" s="374"/>
      <c r="CR13" s="374" t="s">
        <v>30</v>
      </c>
      <c r="CS13" s="374"/>
      <c r="CT13" s="374"/>
      <c r="CU13" s="374"/>
      <c r="CV13" s="374"/>
      <c r="CW13" s="374"/>
      <c r="CX13" s="374"/>
      <c r="CY13" s="374"/>
      <c r="CZ13" s="374"/>
      <c r="DA13" s="374"/>
      <c r="DB13" s="374"/>
      <c r="DC13" s="374"/>
      <c r="DD13" s="374"/>
      <c r="DE13" s="7"/>
    </row>
    <row r="14" spans="1:139" ht="15" customHeight="1">
      <c r="A14" s="6"/>
      <c r="B14" s="379"/>
      <c r="C14" s="380"/>
      <c r="D14" s="380"/>
      <c r="E14" s="380"/>
      <c r="F14" s="380"/>
      <c r="G14" s="380"/>
      <c r="H14" s="381"/>
      <c r="I14" s="379"/>
      <c r="J14" s="380"/>
      <c r="K14" s="380"/>
      <c r="L14" s="380"/>
      <c r="M14" s="380"/>
      <c r="N14" s="380"/>
      <c r="O14" s="381"/>
      <c r="P14" s="379"/>
      <c r="Q14" s="380"/>
      <c r="R14" s="380"/>
      <c r="S14" s="380"/>
      <c r="T14" s="380"/>
      <c r="U14" s="380"/>
      <c r="V14" s="381"/>
      <c r="W14" s="379"/>
      <c r="X14" s="380"/>
      <c r="Y14" s="380"/>
      <c r="Z14" s="380"/>
      <c r="AA14" s="380"/>
      <c r="AB14" s="380"/>
      <c r="AC14" s="381"/>
      <c r="AD14" s="379"/>
      <c r="AE14" s="380"/>
      <c r="AF14" s="380"/>
      <c r="AG14" s="380"/>
      <c r="AH14" s="380"/>
      <c r="AI14" s="380"/>
      <c r="AJ14" s="381"/>
      <c r="AK14" s="379"/>
      <c r="AL14" s="380"/>
      <c r="AM14" s="380"/>
      <c r="AN14" s="380"/>
      <c r="AO14" s="380"/>
      <c r="AP14" s="380"/>
      <c r="AQ14" s="381"/>
      <c r="AR14" s="379"/>
      <c r="AS14" s="380"/>
      <c r="AT14" s="380"/>
      <c r="AU14" s="380"/>
      <c r="AV14" s="380"/>
      <c r="AW14" s="380"/>
      <c r="AX14" s="381"/>
      <c r="AY14" s="379"/>
      <c r="AZ14" s="380"/>
      <c r="BA14" s="380"/>
      <c r="BB14" s="380"/>
      <c r="BC14" s="380"/>
      <c r="BD14" s="380"/>
      <c r="BE14" s="381"/>
      <c r="BF14" s="379"/>
      <c r="BG14" s="380"/>
      <c r="BH14" s="380"/>
      <c r="BI14" s="380"/>
      <c r="BJ14" s="380"/>
      <c r="BK14" s="380"/>
      <c r="BL14" s="381"/>
      <c r="BM14" s="374"/>
      <c r="BN14" s="374"/>
      <c r="BO14" s="374"/>
      <c r="BP14" s="374"/>
      <c r="BQ14" s="374"/>
      <c r="BR14" s="374"/>
      <c r="BS14" s="374"/>
      <c r="BT14" s="374"/>
      <c r="BU14" s="374"/>
      <c r="BV14" s="374"/>
      <c r="BW14" s="374"/>
      <c r="BX14" s="374"/>
      <c r="BY14" s="374"/>
      <c r="BZ14" s="374"/>
      <c r="CA14" s="374"/>
      <c r="CB14" s="374"/>
      <c r="CC14" s="374"/>
      <c r="CD14" s="374"/>
      <c r="CE14" s="374"/>
      <c r="CF14" s="374"/>
      <c r="CG14" s="374"/>
      <c r="CH14" s="374"/>
      <c r="CI14" s="374"/>
      <c r="CJ14" s="374"/>
      <c r="CK14" s="374"/>
      <c r="CL14" s="374"/>
      <c r="CM14" s="374"/>
      <c r="CN14" s="374"/>
      <c r="CO14" s="374"/>
      <c r="CP14" s="374"/>
      <c r="CQ14" s="374"/>
      <c r="CR14" s="374"/>
      <c r="CS14" s="374"/>
      <c r="CT14" s="374"/>
      <c r="CU14" s="374"/>
      <c r="CV14" s="374"/>
      <c r="CW14" s="374"/>
      <c r="CX14" s="374"/>
      <c r="CY14" s="374"/>
      <c r="CZ14" s="374"/>
      <c r="DA14" s="374"/>
      <c r="DB14" s="374"/>
      <c r="DC14" s="374"/>
      <c r="DD14" s="374"/>
      <c r="DE14" s="7"/>
    </row>
    <row r="15" spans="1:139" ht="15" customHeight="1">
      <c r="A15" s="6"/>
      <c r="B15" s="353"/>
      <c r="C15" s="354"/>
      <c r="D15" s="354"/>
      <c r="E15" s="354"/>
      <c r="F15" s="354"/>
      <c r="G15" s="354"/>
      <c r="H15" s="355"/>
      <c r="I15" s="353"/>
      <c r="J15" s="354"/>
      <c r="K15" s="354"/>
      <c r="L15" s="354"/>
      <c r="M15" s="354"/>
      <c r="N15" s="354"/>
      <c r="O15" s="355"/>
      <c r="P15" s="353"/>
      <c r="Q15" s="354"/>
      <c r="R15" s="354"/>
      <c r="S15" s="354"/>
      <c r="T15" s="354"/>
      <c r="U15" s="354"/>
      <c r="V15" s="355"/>
      <c r="W15" s="395"/>
      <c r="X15" s="396"/>
      <c r="Y15" s="396"/>
      <c r="Z15" s="396"/>
      <c r="AA15" s="396"/>
      <c r="AB15" s="396"/>
      <c r="AC15" s="397"/>
      <c r="AD15" s="395"/>
      <c r="AE15" s="396"/>
      <c r="AF15" s="396"/>
      <c r="AG15" s="396"/>
      <c r="AH15" s="396"/>
      <c r="AI15" s="396"/>
      <c r="AJ15" s="397"/>
      <c r="AK15" s="395"/>
      <c r="AL15" s="396"/>
      <c r="AM15" s="396"/>
      <c r="AN15" s="396"/>
      <c r="AO15" s="396"/>
      <c r="AP15" s="396"/>
      <c r="AQ15" s="397"/>
      <c r="AR15" s="395"/>
      <c r="AS15" s="396"/>
      <c r="AT15" s="396"/>
      <c r="AU15" s="396"/>
      <c r="AV15" s="396"/>
      <c r="AW15" s="396"/>
      <c r="AX15" s="397"/>
      <c r="AY15" s="395"/>
      <c r="AZ15" s="396"/>
      <c r="BA15" s="396"/>
      <c r="BB15" s="396"/>
      <c r="BC15" s="396"/>
      <c r="BD15" s="396"/>
      <c r="BE15" s="397"/>
      <c r="BF15" s="395"/>
      <c r="BG15" s="396"/>
      <c r="BH15" s="396"/>
      <c r="BI15" s="396"/>
      <c r="BJ15" s="396"/>
      <c r="BK15" s="396"/>
      <c r="BL15" s="397"/>
      <c r="BM15" s="360"/>
      <c r="BN15" s="360"/>
      <c r="BO15" s="360"/>
      <c r="BP15" s="360"/>
      <c r="BQ15" s="360"/>
      <c r="BR15" s="360"/>
      <c r="BS15" s="360"/>
      <c r="BT15" s="360"/>
      <c r="BU15" s="360"/>
      <c r="BV15" s="360"/>
      <c r="BW15" s="360"/>
      <c r="BX15" s="360"/>
      <c r="BY15" s="360"/>
      <c r="BZ15" s="360"/>
      <c r="CA15" s="360"/>
      <c r="CB15" s="360"/>
      <c r="CC15" s="360"/>
      <c r="CD15" s="360"/>
      <c r="CE15" s="360"/>
      <c r="CF15" s="360"/>
      <c r="CG15" s="360"/>
      <c r="CH15" s="360"/>
      <c r="CI15" s="360"/>
      <c r="CJ15" s="360"/>
      <c r="CK15" s="360"/>
      <c r="CL15" s="360"/>
      <c r="CM15" s="360"/>
      <c r="CN15" s="360"/>
      <c r="CO15" s="360"/>
      <c r="CP15" s="360"/>
      <c r="CQ15" s="360"/>
      <c r="CR15" s="352"/>
      <c r="CS15" s="352"/>
      <c r="CT15" s="352"/>
      <c r="CU15" s="352"/>
      <c r="CV15" s="352"/>
      <c r="CW15" s="352"/>
      <c r="CX15" s="352"/>
      <c r="CY15" s="352"/>
      <c r="CZ15" s="352"/>
      <c r="DA15" s="352"/>
      <c r="DB15" s="352"/>
      <c r="DC15" s="352"/>
      <c r="DD15" s="352"/>
      <c r="DE15" s="7"/>
    </row>
    <row r="16" spans="1:139" ht="12.75">
      <c r="A16" s="6"/>
      <c r="B16" s="356"/>
      <c r="C16" s="357"/>
      <c r="D16" s="357"/>
      <c r="E16" s="357"/>
      <c r="F16" s="357"/>
      <c r="G16" s="357"/>
      <c r="H16" s="358"/>
      <c r="I16" s="356"/>
      <c r="J16" s="357"/>
      <c r="K16" s="357"/>
      <c r="L16" s="357"/>
      <c r="M16" s="357"/>
      <c r="N16" s="357"/>
      <c r="O16" s="358"/>
      <c r="P16" s="356"/>
      <c r="Q16" s="357"/>
      <c r="R16" s="357"/>
      <c r="S16" s="357"/>
      <c r="T16" s="357"/>
      <c r="U16" s="357"/>
      <c r="V16" s="358"/>
      <c r="W16" s="398"/>
      <c r="X16" s="399"/>
      <c r="Y16" s="399"/>
      <c r="Z16" s="399"/>
      <c r="AA16" s="399"/>
      <c r="AB16" s="399"/>
      <c r="AC16" s="400"/>
      <c r="AD16" s="398"/>
      <c r="AE16" s="399"/>
      <c r="AF16" s="399"/>
      <c r="AG16" s="399"/>
      <c r="AH16" s="399"/>
      <c r="AI16" s="399"/>
      <c r="AJ16" s="400"/>
      <c r="AK16" s="398"/>
      <c r="AL16" s="399"/>
      <c r="AM16" s="399"/>
      <c r="AN16" s="399"/>
      <c r="AO16" s="399"/>
      <c r="AP16" s="399"/>
      <c r="AQ16" s="400"/>
      <c r="AR16" s="398"/>
      <c r="AS16" s="399"/>
      <c r="AT16" s="399"/>
      <c r="AU16" s="399"/>
      <c r="AV16" s="399"/>
      <c r="AW16" s="399"/>
      <c r="AX16" s="400"/>
      <c r="AY16" s="398"/>
      <c r="AZ16" s="399"/>
      <c r="BA16" s="399"/>
      <c r="BB16" s="399"/>
      <c r="BC16" s="399"/>
      <c r="BD16" s="399"/>
      <c r="BE16" s="400"/>
      <c r="BF16" s="398"/>
      <c r="BG16" s="399"/>
      <c r="BH16" s="399"/>
      <c r="BI16" s="399"/>
      <c r="BJ16" s="399"/>
      <c r="BK16" s="399"/>
      <c r="BL16" s="400"/>
      <c r="BM16" s="360"/>
      <c r="BN16" s="360"/>
      <c r="BO16" s="360"/>
      <c r="BP16" s="360"/>
      <c r="BQ16" s="360"/>
      <c r="BR16" s="360"/>
      <c r="BS16" s="360"/>
      <c r="BT16" s="360"/>
      <c r="BU16" s="360"/>
      <c r="BV16" s="360"/>
      <c r="BW16" s="360"/>
      <c r="BX16" s="360"/>
      <c r="BY16" s="360"/>
      <c r="BZ16" s="360"/>
      <c r="CA16" s="360"/>
      <c r="CB16" s="360"/>
      <c r="CC16" s="360"/>
      <c r="CD16" s="360"/>
      <c r="CE16" s="360"/>
      <c r="CF16" s="360"/>
      <c r="CG16" s="360"/>
      <c r="CH16" s="360"/>
      <c r="CI16" s="360"/>
      <c r="CJ16" s="360"/>
      <c r="CK16" s="360"/>
      <c r="CL16" s="360"/>
      <c r="CM16" s="360"/>
      <c r="CN16" s="360"/>
      <c r="CO16" s="360"/>
      <c r="CP16" s="360"/>
      <c r="CQ16" s="360"/>
      <c r="CR16" s="352"/>
      <c r="CS16" s="352"/>
      <c r="CT16" s="352"/>
      <c r="CU16" s="352"/>
      <c r="CV16" s="352"/>
      <c r="CW16" s="352"/>
      <c r="CX16" s="352"/>
      <c r="CY16" s="352"/>
      <c r="CZ16" s="352"/>
      <c r="DA16" s="352"/>
      <c r="DB16" s="352"/>
      <c r="DC16" s="352"/>
      <c r="DD16" s="352"/>
      <c r="DE16" s="7"/>
    </row>
    <row r="17" spans="1:133" ht="15" customHeight="1">
      <c r="A17" s="3"/>
      <c r="B17" s="382"/>
      <c r="C17" s="383"/>
      <c r="D17" s="383"/>
      <c r="E17" s="383"/>
      <c r="F17" s="383"/>
      <c r="G17" s="383"/>
      <c r="H17" s="384"/>
      <c r="I17" s="382"/>
      <c r="J17" s="383"/>
      <c r="K17" s="383"/>
      <c r="L17" s="383"/>
      <c r="M17" s="383"/>
      <c r="N17" s="383"/>
      <c r="O17" s="384"/>
      <c r="P17" s="382"/>
      <c r="Q17" s="383"/>
      <c r="R17" s="383"/>
      <c r="S17" s="383"/>
      <c r="T17" s="383"/>
      <c r="U17" s="383"/>
      <c r="V17" s="384"/>
      <c r="W17" s="408"/>
      <c r="X17" s="409"/>
      <c r="Y17" s="409"/>
      <c r="Z17" s="409"/>
      <c r="AA17" s="409"/>
      <c r="AB17" s="409"/>
      <c r="AC17" s="410"/>
      <c r="AD17" s="408"/>
      <c r="AE17" s="409"/>
      <c r="AF17" s="409"/>
      <c r="AG17" s="409"/>
      <c r="AH17" s="409"/>
      <c r="AI17" s="409"/>
      <c r="AJ17" s="410"/>
      <c r="AK17" s="408"/>
      <c r="AL17" s="409"/>
      <c r="AM17" s="409"/>
      <c r="AN17" s="409"/>
      <c r="AO17" s="409"/>
      <c r="AP17" s="409"/>
      <c r="AQ17" s="410"/>
      <c r="AR17" s="408"/>
      <c r="AS17" s="409"/>
      <c r="AT17" s="409"/>
      <c r="AU17" s="409"/>
      <c r="AV17" s="409"/>
      <c r="AW17" s="409"/>
      <c r="AX17" s="410"/>
      <c r="AY17" s="408"/>
      <c r="AZ17" s="409"/>
      <c r="BA17" s="409"/>
      <c r="BB17" s="409"/>
      <c r="BC17" s="409"/>
      <c r="BD17" s="409"/>
      <c r="BE17" s="410"/>
      <c r="BF17" s="408"/>
      <c r="BG17" s="409"/>
      <c r="BH17" s="409"/>
      <c r="BI17" s="409"/>
      <c r="BJ17" s="409"/>
      <c r="BK17" s="409"/>
      <c r="BL17" s="410"/>
      <c r="BM17" s="359"/>
      <c r="BN17" s="359"/>
      <c r="BO17" s="359"/>
      <c r="BP17" s="359"/>
      <c r="BQ17" s="359"/>
      <c r="BR17" s="359"/>
      <c r="BS17" s="359"/>
      <c r="BT17" s="359"/>
      <c r="BU17" s="359"/>
      <c r="BV17" s="359"/>
      <c r="BW17" s="359"/>
      <c r="BX17" s="359"/>
      <c r="BY17" s="359"/>
      <c r="BZ17" s="359"/>
      <c r="CA17" s="359"/>
      <c r="CB17" s="359"/>
      <c r="CC17" s="359"/>
      <c r="CD17" s="359"/>
      <c r="CE17" s="359"/>
      <c r="CF17" s="359"/>
      <c r="CG17" s="359"/>
      <c r="CH17" s="359"/>
      <c r="CI17" s="359"/>
      <c r="CJ17" s="359"/>
      <c r="CK17" s="359"/>
      <c r="CL17" s="359"/>
      <c r="CM17" s="359"/>
      <c r="CN17" s="359"/>
      <c r="CO17" s="359"/>
      <c r="CP17" s="359"/>
      <c r="CQ17" s="359"/>
      <c r="CR17" s="351"/>
      <c r="CS17" s="351"/>
      <c r="CT17" s="351"/>
      <c r="CU17" s="351"/>
      <c r="CV17" s="351"/>
      <c r="CW17" s="351"/>
      <c r="CX17" s="351"/>
      <c r="CY17" s="351"/>
      <c r="CZ17" s="351"/>
      <c r="DA17" s="351"/>
      <c r="DB17" s="351"/>
      <c r="DC17" s="351"/>
      <c r="DD17" s="351"/>
      <c r="DE17" s="7"/>
    </row>
    <row r="18" spans="1:133" ht="15" customHeight="1">
      <c r="A18" s="6"/>
      <c r="B18" s="385"/>
      <c r="C18" s="386"/>
      <c r="D18" s="386"/>
      <c r="E18" s="386"/>
      <c r="F18" s="386"/>
      <c r="G18" s="386"/>
      <c r="H18" s="387"/>
      <c r="I18" s="385"/>
      <c r="J18" s="386"/>
      <c r="K18" s="386"/>
      <c r="L18" s="386"/>
      <c r="M18" s="386"/>
      <c r="N18" s="386"/>
      <c r="O18" s="387"/>
      <c r="P18" s="385"/>
      <c r="Q18" s="386"/>
      <c r="R18" s="386"/>
      <c r="S18" s="386"/>
      <c r="T18" s="386"/>
      <c r="U18" s="386"/>
      <c r="V18" s="387"/>
      <c r="W18" s="411"/>
      <c r="X18" s="412"/>
      <c r="Y18" s="412"/>
      <c r="Z18" s="412"/>
      <c r="AA18" s="412"/>
      <c r="AB18" s="412"/>
      <c r="AC18" s="413"/>
      <c r="AD18" s="411"/>
      <c r="AE18" s="412"/>
      <c r="AF18" s="412"/>
      <c r="AG18" s="412"/>
      <c r="AH18" s="412"/>
      <c r="AI18" s="412"/>
      <c r="AJ18" s="413"/>
      <c r="AK18" s="411"/>
      <c r="AL18" s="412"/>
      <c r="AM18" s="412"/>
      <c r="AN18" s="412"/>
      <c r="AO18" s="412"/>
      <c r="AP18" s="412"/>
      <c r="AQ18" s="413"/>
      <c r="AR18" s="411"/>
      <c r="AS18" s="412"/>
      <c r="AT18" s="412"/>
      <c r="AU18" s="412"/>
      <c r="AV18" s="412"/>
      <c r="AW18" s="412"/>
      <c r="AX18" s="413"/>
      <c r="AY18" s="411"/>
      <c r="AZ18" s="412"/>
      <c r="BA18" s="412"/>
      <c r="BB18" s="412"/>
      <c r="BC18" s="412"/>
      <c r="BD18" s="412"/>
      <c r="BE18" s="413"/>
      <c r="BF18" s="411"/>
      <c r="BG18" s="412"/>
      <c r="BH18" s="412"/>
      <c r="BI18" s="412"/>
      <c r="BJ18" s="412"/>
      <c r="BK18" s="412"/>
      <c r="BL18" s="413"/>
      <c r="BM18" s="359"/>
      <c r="BN18" s="359"/>
      <c r="BO18" s="359"/>
      <c r="BP18" s="359"/>
      <c r="BQ18" s="359"/>
      <c r="BR18" s="359"/>
      <c r="BS18" s="359"/>
      <c r="BT18" s="359"/>
      <c r="BU18" s="359"/>
      <c r="BV18" s="359"/>
      <c r="BW18" s="359"/>
      <c r="BX18" s="359"/>
      <c r="BY18" s="359"/>
      <c r="BZ18" s="359"/>
      <c r="CA18" s="359"/>
      <c r="CB18" s="359"/>
      <c r="CC18" s="359"/>
      <c r="CD18" s="359"/>
      <c r="CE18" s="359"/>
      <c r="CF18" s="359"/>
      <c r="CG18" s="359"/>
      <c r="CH18" s="359"/>
      <c r="CI18" s="359"/>
      <c r="CJ18" s="359"/>
      <c r="CK18" s="359"/>
      <c r="CL18" s="359"/>
      <c r="CM18" s="359"/>
      <c r="CN18" s="359"/>
      <c r="CO18" s="359"/>
      <c r="CP18" s="359"/>
      <c r="CQ18" s="359"/>
      <c r="CR18" s="351"/>
      <c r="CS18" s="351"/>
      <c r="CT18" s="351"/>
      <c r="CU18" s="351"/>
      <c r="CV18" s="351"/>
      <c r="CW18" s="351"/>
      <c r="CX18" s="351"/>
      <c r="CY18" s="351"/>
      <c r="CZ18" s="351"/>
      <c r="DA18" s="351"/>
      <c r="DB18" s="351"/>
      <c r="DC18" s="351"/>
      <c r="DD18" s="351"/>
      <c r="DE18" s="7"/>
    </row>
    <row r="19" spans="1:133" ht="15" customHeight="1">
      <c r="A19" s="8"/>
      <c r="B19" s="353"/>
      <c r="C19" s="354"/>
      <c r="D19" s="354"/>
      <c r="E19" s="354"/>
      <c r="F19" s="354"/>
      <c r="G19" s="354"/>
      <c r="H19" s="355"/>
      <c r="I19" s="352"/>
      <c r="J19" s="352"/>
      <c r="K19" s="352"/>
      <c r="L19" s="352"/>
      <c r="M19" s="352"/>
      <c r="N19" s="352"/>
      <c r="O19" s="352"/>
      <c r="P19" s="352"/>
      <c r="Q19" s="352"/>
      <c r="R19" s="352"/>
      <c r="S19" s="352"/>
      <c r="T19" s="352"/>
      <c r="U19" s="352"/>
      <c r="V19" s="352"/>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c r="BI19" s="360"/>
      <c r="BJ19" s="360"/>
      <c r="BK19" s="360"/>
      <c r="BL19" s="360"/>
      <c r="BM19" s="360"/>
      <c r="BN19" s="360"/>
      <c r="BO19" s="360"/>
      <c r="BP19" s="360"/>
      <c r="BQ19" s="360"/>
      <c r="BR19" s="360"/>
      <c r="BS19" s="360"/>
      <c r="BT19" s="360"/>
      <c r="BU19" s="360"/>
      <c r="BV19" s="360"/>
      <c r="BW19" s="360"/>
      <c r="BX19" s="360"/>
      <c r="BY19" s="360"/>
      <c r="BZ19" s="360"/>
      <c r="CA19" s="360"/>
      <c r="CB19" s="360"/>
      <c r="CC19" s="360"/>
      <c r="CD19" s="360"/>
      <c r="CE19" s="360"/>
      <c r="CF19" s="360"/>
      <c r="CG19" s="360"/>
      <c r="CH19" s="360"/>
      <c r="CI19" s="360"/>
      <c r="CJ19" s="360"/>
      <c r="CK19" s="360"/>
      <c r="CL19" s="360"/>
      <c r="CM19" s="360"/>
      <c r="CN19" s="360"/>
      <c r="CO19" s="360"/>
      <c r="CP19" s="360"/>
      <c r="CQ19" s="360"/>
      <c r="CR19" s="352"/>
      <c r="CS19" s="352"/>
      <c r="CT19" s="352"/>
      <c r="CU19" s="352"/>
      <c r="CV19" s="352"/>
      <c r="CW19" s="352"/>
      <c r="CX19" s="352"/>
      <c r="CY19" s="352"/>
      <c r="CZ19" s="352"/>
      <c r="DA19" s="352"/>
      <c r="DB19" s="352"/>
      <c r="DC19" s="352"/>
      <c r="DD19" s="352"/>
      <c r="DE19" s="7"/>
    </row>
    <row r="20" spans="1:133" ht="15" customHeight="1">
      <c r="A20" s="8"/>
      <c r="B20" s="356"/>
      <c r="C20" s="357"/>
      <c r="D20" s="357"/>
      <c r="E20" s="357"/>
      <c r="F20" s="357"/>
      <c r="G20" s="357"/>
      <c r="H20" s="358"/>
      <c r="I20" s="352"/>
      <c r="J20" s="352"/>
      <c r="K20" s="352"/>
      <c r="L20" s="352"/>
      <c r="M20" s="352"/>
      <c r="N20" s="352"/>
      <c r="O20" s="352"/>
      <c r="P20" s="352"/>
      <c r="Q20" s="352"/>
      <c r="R20" s="352"/>
      <c r="S20" s="352"/>
      <c r="T20" s="352"/>
      <c r="U20" s="352"/>
      <c r="V20" s="352"/>
      <c r="W20" s="360"/>
      <c r="X20" s="360"/>
      <c r="Y20" s="360"/>
      <c r="Z20" s="360"/>
      <c r="AA20" s="360"/>
      <c r="AB20" s="360"/>
      <c r="AC20" s="360"/>
      <c r="AD20" s="360"/>
      <c r="AE20" s="360"/>
      <c r="AF20" s="360"/>
      <c r="AG20" s="360"/>
      <c r="AH20" s="360"/>
      <c r="AI20" s="360"/>
      <c r="AJ20" s="360"/>
      <c r="AK20" s="360"/>
      <c r="AL20" s="360"/>
      <c r="AM20" s="360"/>
      <c r="AN20" s="360"/>
      <c r="AO20" s="360"/>
      <c r="AP20" s="360"/>
      <c r="AQ20" s="360"/>
      <c r="AR20" s="360"/>
      <c r="AS20" s="360"/>
      <c r="AT20" s="360"/>
      <c r="AU20" s="360"/>
      <c r="AV20" s="360"/>
      <c r="AW20" s="360"/>
      <c r="AX20" s="360"/>
      <c r="AY20" s="360"/>
      <c r="AZ20" s="360"/>
      <c r="BA20" s="360"/>
      <c r="BB20" s="360"/>
      <c r="BC20" s="360"/>
      <c r="BD20" s="360"/>
      <c r="BE20" s="360"/>
      <c r="BF20" s="360"/>
      <c r="BG20" s="360"/>
      <c r="BH20" s="360"/>
      <c r="BI20" s="360"/>
      <c r="BJ20" s="360"/>
      <c r="BK20" s="360"/>
      <c r="BL20" s="360"/>
      <c r="BM20" s="360"/>
      <c r="BN20" s="360"/>
      <c r="BO20" s="360"/>
      <c r="BP20" s="360"/>
      <c r="BQ20" s="360"/>
      <c r="BR20" s="360"/>
      <c r="BS20" s="360"/>
      <c r="BT20" s="360"/>
      <c r="BU20" s="360"/>
      <c r="BV20" s="360"/>
      <c r="BW20" s="360"/>
      <c r="BX20" s="360"/>
      <c r="BY20" s="360"/>
      <c r="BZ20" s="360"/>
      <c r="CA20" s="360"/>
      <c r="CB20" s="360"/>
      <c r="CC20" s="360"/>
      <c r="CD20" s="360"/>
      <c r="CE20" s="360"/>
      <c r="CF20" s="360"/>
      <c r="CG20" s="360"/>
      <c r="CH20" s="360"/>
      <c r="CI20" s="360"/>
      <c r="CJ20" s="360"/>
      <c r="CK20" s="360"/>
      <c r="CL20" s="360"/>
      <c r="CM20" s="360"/>
      <c r="CN20" s="360"/>
      <c r="CO20" s="360"/>
      <c r="CP20" s="360"/>
      <c r="CQ20" s="360"/>
      <c r="CR20" s="352"/>
      <c r="CS20" s="352"/>
      <c r="CT20" s="352"/>
      <c r="CU20" s="352"/>
      <c r="CV20" s="352"/>
      <c r="CW20" s="352"/>
      <c r="CX20" s="352"/>
      <c r="CY20" s="352"/>
      <c r="CZ20" s="352"/>
      <c r="DA20" s="352"/>
      <c r="DB20" s="352"/>
      <c r="DC20" s="352"/>
      <c r="DD20" s="352"/>
      <c r="DE20" s="7"/>
    </row>
    <row r="21" spans="1:133" ht="15" hidden="1" customHeight="1">
      <c r="A21" s="3"/>
      <c r="B21" s="382"/>
      <c r="C21" s="383"/>
      <c r="D21" s="383"/>
      <c r="E21" s="383"/>
      <c r="F21" s="383"/>
      <c r="G21" s="383"/>
      <c r="H21" s="384"/>
      <c r="I21" s="351"/>
      <c r="J21" s="351"/>
      <c r="K21" s="351"/>
      <c r="L21" s="351"/>
      <c r="M21" s="351"/>
      <c r="N21" s="351"/>
      <c r="O21" s="351"/>
      <c r="P21" s="351"/>
      <c r="Q21" s="351"/>
      <c r="R21" s="351"/>
      <c r="S21" s="351"/>
      <c r="T21" s="351"/>
      <c r="U21" s="351"/>
      <c r="V21" s="351"/>
      <c r="W21" s="359"/>
      <c r="X21" s="359"/>
      <c r="Y21" s="359"/>
      <c r="Z21" s="359"/>
      <c r="AA21" s="359"/>
      <c r="AB21" s="359"/>
      <c r="AC21" s="359"/>
      <c r="AD21" s="359"/>
      <c r="AE21" s="359"/>
      <c r="AF21" s="359"/>
      <c r="AG21" s="359"/>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59"/>
      <c r="BK21" s="359"/>
      <c r="BL21" s="359"/>
      <c r="BM21" s="359"/>
      <c r="BN21" s="359"/>
      <c r="BO21" s="359"/>
      <c r="BP21" s="359"/>
      <c r="BQ21" s="359"/>
      <c r="BR21" s="359"/>
      <c r="BS21" s="359"/>
      <c r="BT21" s="359"/>
      <c r="BU21" s="359"/>
      <c r="BV21" s="359"/>
      <c r="BW21" s="359"/>
      <c r="BX21" s="359"/>
      <c r="BY21" s="359"/>
      <c r="BZ21" s="359"/>
      <c r="CA21" s="359"/>
      <c r="CB21" s="359"/>
      <c r="CC21" s="359"/>
      <c r="CD21" s="359"/>
      <c r="CE21" s="359"/>
      <c r="CF21" s="359"/>
      <c r="CG21" s="359"/>
      <c r="CH21" s="359"/>
      <c r="CI21" s="359"/>
      <c r="CJ21" s="359"/>
      <c r="CK21" s="359"/>
      <c r="CL21" s="359"/>
      <c r="CM21" s="359"/>
      <c r="CN21" s="359"/>
      <c r="CO21" s="359"/>
      <c r="CP21" s="359"/>
      <c r="CQ21" s="359"/>
      <c r="CR21" s="351"/>
      <c r="CS21" s="351"/>
      <c r="CT21" s="351"/>
      <c r="CU21" s="351"/>
      <c r="CV21" s="351"/>
      <c r="CW21" s="351"/>
      <c r="CX21" s="351"/>
      <c r="CY21" s="351"/>
      <c r="CZ21" s="351"/>
      <c r="DA21" s="351"/>
      <c r="DB21" s="351"/>
      <c r="DC21" s="351"/>
      <c r="DD21" s="351"/>
      <c r="DE21" s="7"/>
    </row>
    <row r="22" spans="1:133" ht="15" hidden="1" customHeight="1">
      <c r="A22" s="3"/>
      <c r="B22" s="385"/>
      <c r="C22" s="386"/>
      <c r="D22" s="386"/>
      <c r="E22" s="386"/>
      <c r="F22" s="386"/>
      <c r="G22" s="386"/>
      <c r="H22" s="387"/>
      <c r="I22" s="351"/>
      <c r="J22" s="351"/>
      <c r="K22" s="351"/>
      <c r="L22" s="351"/>
      <c r="M22" s="351"/>
      <c r="N22" s="351"/>
      <c r="O22" s="351"/>
      <c r="P22" s="351"/>
      <c r="Q22" s="351"/>
      <c r="R22" s="351"/>
      <c r="S22" s="351"/>
      <c r="T22" s="351"/>
      <c r="U22" s="351"/>
      <c r="V22" s="351"/>
      <c r="W22" s="359"/>
      <c r="X22" s="359"/>
      <c r="Y22" s="359"/>
      <c r="Z22" s="359"/>
      <c r="AA22" s="359"/>
      <c r="AB22" s="359"/>
      <c r="AC22" s="359"/>
      <c r="AD22" s="359"/>
      <c r="AE22" s="359"/>
      <c r="AF22" s="359"/>
      <c r="AG22" s="359"/>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59"/>
      <c r="BK22" s="359"/>
      <c r="BL22" s="359"/>
      <c r="BM22" s="359"/>
      <c r="BN22" s="359"/>
      <c r="BO22" s="359"/>
      <c r="BP22" s="359"/>
      <c r="BQ22" s="359"/>
      <c r="BR22" s="359"/>
      <c r="BS22" s="359"/>
      <c r="BT22" s="359"/>
      <c r="BU22" s="359"/>
      <c r="BV22" s="359"/>
      <c r="BW22" s="359"/>
      <c r="BX22" s="359"/>
      <c r="BY22" s="359"/>
      <c r="BZ22" s="359"/>
      <c r="CA22" s="359"/>
      <c r="CB22" s="359"/>
      <c r="CC22" s="359"/>
      <c r="CD22" s="359"/>
      <c r="CE22" s="359"/>
      <c r="CF22" s="359"/>
      <c r="CG22" s="359"/>
      <c r="CH22" s="359"/>
      <c r="CI22" s="359"/>
      <c r="CJ22" s="359"/>
      <c r="CK22" s="359"/>
      <c r="CL22" s="359"/>
      <c r="CM22" s="359"/>
      <c r="CN22" s="359"/>
      <c r="CO22" s="359"/>
      <c r="CP22" s="359"/>
      <c r="CQ22" s="359"/>
      <c r="CR22" s="351"/>
      <c r="CS22" s="351"/>
      <c r="CT22" s="351"/>
      <c r="CU22" s="351"/>
      <c r="CV22" s="351"/>
      <c r="CW22" s="351"/>
      <c r="CX22" s="351"/>
      <c r="CY22" s="351"/>
      <c r="CZ22" s="351"/>
      <c r="DA22" s="351"/>
      <c r="DB22" s="351"/>
      <c r="DC22" s="351"/>
      <c r="DD22" s="351"/>
      <c r="DE22" s="7"/>
    </row>
    <row r="23" spans="1:133" ht="15" hidden="1" customHeight="1">
      <c r="A23" s="3"/>
      <c r="B23" s="353"/>
      <c r="C23" s="354"/>
      <c r="D23" s="354"/>
      <c r="E23" s="354"/>
      <c r="F23" s="354"/>
      <c r="G23" s="354"/>
      <c r="H23" s="355"/>
      <c r="I23" s="353"/>
      <c r="J23" s="354"/>
      <c r="K23" s="354"/>
      <c r="L23" s="354"/>
      <c r="M23" s="354"/>
      <c r="N23" s="354"/>
      <c r="O23" s="355"/>
      <c r="P23" s="353"/>
      <c r="Q23" s="354"/>
      <c r="R23" s="354"/>
      <c r="S23" s="354"/>
      <c r="T23" s="354"/>
      <c r="U23" s="354"/>
      <c r="V23" s="355"/>
      <c r="W23" s="395"/>
      <c r="X23" s="396"/>
      <c r="Y23" s="396"/>
      <c r="Z23" s="396"/>
      <c r="AA23" s="396"/>
      <c r="AB23" s="396"/>
      <c r="AC23" s="397"/>
      <c r="AD23" s="401"/>
      <c r="AE23" s="402"/>
      <c r="AF23" s="402"/>
      <c r="AG23" s="402"/>
      <c r="AH23" s="402"/>
      <c r="AI23" s="402"/>
      <c r="AJ23" s="403"/>
      <c r="AK23" s="401"/>
      <c r="AL23" s="402"/>
      <c r="AM23" s="402"/>
      <c r="AN23" s="402"/>
      <c r="AO23" s="402"/>
      <c r="AP23" s="402"/>
      <c r="AQ23" s="403"/>
      <c r="AR23" s="395"/>
      <c r="AS23" s="396"/>
      <c r="AT23" s="396"/>
      <c r="AU23" s="396"/>
      <c r="AV23" s="396"/>
      <c r="AW23" s="396"/>
      <c r="AX23" s="397"/>
      <c r="AY23" s="395"/>
      <c r="AZ23" s="396"/>
      <c r="BA23" s="396"/>
      <c r="BB23" s="396"/>
      <c r="BC23" s="396"/>
      <c r="BD23" s="396"/>
      <c r="BE23" s="397"/>
      <c r="BF23" s="401"/>
      <c r="BG23" s="402"/>
      <c r="BH23" s="402"/>
      <c r="BI23" s="402"/>
      <c r="BJ23" s="402"/>
      <c r="BK23" s="402"/>
      <c r="BL23" s="403"/>
      <c r="BM23" s="401"/>
      <c r="BN23" s="402"/>
      <c r="BO23" s="402"/>
      <c r="BP23" s="402"/>
      <c r="BQ23" s="402"/>
      <c r="BR23" s="402"/>
      <c r="BS23" s="402"/>
      <c r="BT23" s="402"/>
      <c r="BU23" s="402"/>
      <c r="BV23" s="402"/>
      <c r="BW23" s="402"/>
      <c r="BX23" s="402"/>
      <c r="BY23" s="402"/>
      <c r="BZ23" s="402"/>
      <c r="CA23" s="402"/>
      <c r="CB23" s="402"/>
      <c r="CC23" s="402"/>
      <c r="CD23" s="402"/>
      <c r="CE23" s="402"/>
      <c r="CF23" s="402"/>
      <c r="CG23" s="402"/>
      <c r="CH23" s="402"/>
      <c r="CI23" s="402"/>
      <c r="CJ23" s="402"/>
      <c r="CK23" s="402"/>
      <c r="CL23" s="403"/>
      <c r="CM23" s="395"/>
      <c r="CN23" s="396"/>
      <c r="CO23" s="396"/>
      <c r="CP23" s="396"/>
      <c r="CQ23" s="397"/>
      <c r="CR23" s="353"/>
      <c r="CS23" s="354"/>
      <c r="CT23" s="354"/>
      <c r="CU23" s="354"/>
      <c r="CV23" s="354"/>
      <c r="CW23" s="354"/>
      <c r="CX23" s="354"/>
      <c r="CY23" s="354"/>
      <c r="CZ23" s="354"/>
      <c r="DA23" s="354"/>
      <c r="DB23" s="354"/>
      <c r="DC23" s="354"/>
      <c r="DD23" s="355"/>
      <c r="DE23" s="24"/>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row>
    <row r="24" spans="1:133" ht="15" hidden="1" customHeight="1">
      <c r="A24" s="3"/>
      <c r="B24" s="356"/>
      <c r="C24" s="357"/>
      <c r="D24" s="357"/>
      <c r="E24" s="357"/>
      <c r="F24" s="357"/>
      <c r="G24" s="357"/>
      <c r="H24" s="358"/>
      <c r="I24" s="356"/>
      <c r="J24" s="357"/>
      <c r="K24" s="357"/>
      <c r="L24" s="357"/>
      <c r="M24" s="357"/>
      <c r="N24" s="357"/>
      <c r="O24" s="358"/>
      <c r="P24" s="356"/>
      <c r="Q24" s="357"/>
      <c r="R24" s="357"/>
      <c r="S24" s="357"/>
      <c r="T24" s="357"/>
      <c r="U24" s="357"/>
      <c r="V24" s="358"/>
      <c r="W24" s="398"/>
      <c r="X24" s="399"/>
      <c r="Y24" s="399"/>
      <c r="Z24" s="399"/>
      <c r="AA24" s="399"/>
      <c r="AB24" s="399"/>
      <c r="AC24" s="400"/>
      <c r="AD24" s="404"/>
      <c r="AE24" s="405"/>
      <c r="AF24" s="405"/>
      <c r="AG24" s="405"/>
      <c r="AH24" s="405"/>
      <c r="AI24" s="405"/>
      <c r="AJ24" s="406"/>
      <c r="AK24" s="404"/>
      <c r="AL24" s="405"/>
      <c r="AM24" s="405"/>
      <c r="AN24" s="405"/>
      <c r="AO24" s="405"/>
      <c r="AP24" s="405"/>
      <c r="AQ24" s="406"/>
      <c r="AR24" s="398"/>
      <c r="AS24" s="399"/>
      <c r="AT24" s="399"/>
      <c r="AU24" s="399"/>
      <c r="AV24" s="399"/>
      <c r="AW24" s="399"/>
      <c r="AX24" s="400"/>
      <c r="AY24" s="398"/>
      <c r="AZ24" s="399"/>
      <c r="BA24" s="399"/>
      <c r="BB24" s="399"/>
      <c r="BC24" s="399"/>
      <c r="BD24" s="399"/>
      <c r="BE24" s="400"/>
      <c r="BF24" s="404"/>
      <c r="BG24" s="405"/>
      <c r="BH24" s="405"/>
      <c r="BI24" s="405"/>
      <c r="BJ24" s="405"/>
      <c r="BK24" s="405"/>
      <c r="BL24" s="406"/>
      <c r="BM24" s="404"/>
      <c r="BN24" s="405"/>
      <c r="BO24" s="405"/>
      <c r="BP24" s="405"/>
      <c r="BQ24" s="405"/>
      <c r="BR24" s="405"/>
      <c r="BS24" s="405"/>
      <c r="BT24" s="405"/>
      <c r="BU24" s="405"/>
      <c r="BV24" s="405"/>
      <c r="BW24" s="405"/>
      <c r="BX24" s="405"/>
      <c r="BY24" s="405"/>
      <c r="BZ24" s="405"/>
      <c r="CA24" s="405"/>
      <c r="CB24" s="405"/>
      <c r="CC24" s="405"/>
      <c r="CD24" s="405"/>
      <c r="CE24" s="405"/>
      <c r="CF24" s="405"/>
      <c r="CG24" s="405"/>
      <c r="CH24" s="405"/>
      <c r="CI24" s="405"/>
      <c r="CJ24" s="405"/>
      <c r="CK24" s="405"/>
      <c r="CL24" s="406"/>
      <c r="CM24" s="398"/>
      <c r="CN24" s="399"/>
      <c r="CO24" s="399"/>
      <c r="CP24" s="399"/>
      <c r="CQ24" s="400"/>
      <c r="CR24" s="356"/>
      <c r="CS24" s="357"/>
      <c r="CT24" s="357"/>
      <c r="CU24" s="357"/>
      <c r="CV24" s="357"/>
      <c r="CW24" s="357"/>
      <c r="CX24" s="357"/>
      <c r="CY24" s="357"/>
      <c r="CZ24" s="357"/>
      <c r="DA24" s="357"/>
      <c r="DB24" s="357"/>
      <c r="DC24" s="357"/>
      <c r="DD24" s="358"/>
      <c r="DE24" s="7"/>
    </row>
    <row r="25" spans="1:133" ht="15" customHeight="1">
      <c r="A25" s="8"/>
      <c r="B25" s="351"/>
      <c r="C25" s="351"/>
      <c r="D25" s="351"/>
      <c r="E25" s="351"/>
      <c r="F25" s="351"/>
      <c r="G25" s="351"/>
      <c r="H25" s="351"/>
      <c r="I25" s="351"/>
      <c r="J25" s="351"/>
      <c r="K25" s="351"/>
      <c r="L25" s="351"/>
      <c r="M25" s="351"/>
      <c r="N25" s="351"/>
      <c r="O25" s="351"/>
      <c r="P25" s="351"/>
      <c r="Q25" s="351"/>
      <c r="R25" s="351"/>
      <c r="S25" s="351"/>
      <c r="T25" s="351"/>
      <c r="U25" s="351"/>
      <c r="V25" s="351"/>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59"/>
      <c r="BK25" s="359"/>
      <c r="BL25" s="359"/>
      <c r="BM25" s="359"/>
      <c r="BN25" s="359"/>
      <c r="BO25" s="359"/>
      <c r="BP25" s="359"/>
      <c r="BQ25" s="359"/>
      <c r="BR25" s="359"/>
      <c r="BS25" s="359"/>
      <c r="BT25" s="359"/>
      <c r="BU25" s="359"/>
      <c r="BV25" s="359"/>
      <c r="BW25" s="359"/>
      <c r="BX25" s="359"/>
      <c r="BY25" s="359"/>
      <c r="BZ25" s="359"/>
      <c r="CA25" s="359"/>
      <c r="CB25" s="359"/>
      <c r="CC25" s="359"/>
      <c r="CD25" s="359"/>
      <c r="CE25" s="359"/>
      <c r="CF25" s="359"/>
      <c r="CG25" s="359"/>
      <c r="CH25" s="359"/>
      <c r="CI25" s="359"/>
      <c r="CJ25" s="359"/>
      <c r="CK25" s="359"/>
      <c r="CL25" s="359"/>
      <c r="CM25" s="359"/>
      <c r="CN25" s="359"/>
      <c r="CO25" s="359"/>
      <c r="CP25" s="359"/>
      <c r="CQ25" s="359"/>
      <c r="CR25" s="351"/>
      <c r="CS25" s="351"/>
      <c r="CT25" s="351"/>
      <c r="CU25" s="351"/>
      <c r="CV25" s="351"/>
      <c r="CW25" s="351"/>
      <c r="CX25" s="351"/>
      <c r="CY25" s="351"/>
      <c r="CZ25" s="351"/>
      <c r="DA25" s="351"/>
      <c r="DB25" s="351"/>
      <c r="DC25" s="351"/>
      <c r="DD25" s="351"/>
      <c r="DE25" s="7"/>
    </row>
    <row r="26" spans="1:133" ht="15" customHeight="1">
      <c r="A26" s="6"/>
      <c r="B26" s="351"/>
      <c r="C26" s="351"/>
      <c r="D26" s="351"/>
      <c r="E26" s="351"/>
      <c r="F26" s="351"/>
      <c r="G26" s="351"/>
      <c r="H26" s="351"/>
      <c r="I26" s="351"/>
      <c r="J26" s="351"/>
      <c r="K26" s="351"/>
      <c r="L26" s="351"/>
      <c r="M26" s="351"/>
      <c r="N26" s="351"/>
      <c r="O26" s="351"/>
      <c r="P26" s="351"/>
      <c r="Q26" s="351"/>
      <c r="R26" s="351"/>
      <c r="S26" s="351"/>
      <c r="T26" s="351"/>
      <c r="U26" s="351"/>
      <c r="V26" s="351"/>
      <c r="W26" s="359"/>
      <c r="X26" s="359"/>
      <c r="Y26" s="359"/>
      <c r="Z26" s="359"/>
      <c r="AA26" s="359"/>
      <c r="AB26" s="359"/>
      <c r="AC26" s="359"/>
      <c r="AD26" s="359"/>
      <c r="AE26" s="359"/>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c r="BW26" s="359"/>
      <c r="BX26" s="359"/>
      <c r="BY26" s="359"/>
      <c r="BZ26" s="359"/>
      <c r="CA26" s="359"/>
      <c r="CB26" s="359"/>
      <c r="CC26" s="359"/>
      <c r="CD26" s="359"/>
      <c r="CE26" s="359"/>
      <c r="CF26" s="359"/>
      <c r="CG26" s="359"/>
      <c r="CH26" s="359"/>
      <c r="CI26" s="359"/>
      <c r="CJ26" s="359"/>
      <c r="CK26" s="359"/>
      <c r="CL26" s="359"/>
      <c r="CM26" s="359"/>
      <c r="CN26" s="359"/>
      <c r="CO26" s="359"/>
      <c r="CP26" s="359"/>
      <c r="CQ26" s="359"/>
      <c r="CR26" s="351"/>
      <c r="CS26" s="351"/>
      <c r="CT26" s="351"/>
      <c r="CU26" s="351"/>
      <c r="CV26" s="351"/>
      <c r="CW26" s="351"/>
      <c r="CX26" s="351"/>
      <c r="CY26" s="351"/>
      <c r="CZ26" s="351"/>
      <c r="DA26" s="351"/>
      <c r="DB26" s="351"/>
      <c r="DC26" s="351"/>
      <c r="DD26" s="351"/>
      <c r="DE26" s="7"/>
    </row>
    <row r="27" spans="1:133" ht="15" customHeight="1">
      <c r="A27" s="3"/>
      <c r="B27" s="353"/>
      <c r="C27" s="354"/>
      <c r="D27" s="354"/>
      <c r="E27" s="354"/>
      <c r="F27" s="354"/>
      <c r="G27" s="354"/>
      <c r="H27" s="355"/>
      <c r="I27" s="352"/>
      <c r="J27" s="352"/>
      <c r="K27" s="352"/>
      <c r="L27" s="352"/>
      <c r="M27" s="352"/>
      <c r="N27" s="352"/>
      <c r="O27" s="352"/>
      <c r="P27" s="352"/>
      <c r="Q27" s="352"/>
      <c r="R27" s="352"/>
      <c r="S27" s="352"/>
      <c r="T27" s="352"/>
      <c r="U27" s="352"/>
      <c r="V27" s="352"/>
      <c r="W27" s="360"/>
      <c r="X27" s="360"/>
      <c r="Y27" s="360"/>
      <c r="Z27" s="360"/>
      <c r="AA27" s="360"/>
      <c r="AB27" s="360"/>
      <c r="AC27" s="360"/>
      <c r="AD27" s="360"/>
      <c r="AE27" s="360"/>
      <c r="AF27" s="360"/>
      <c r="AG27" s="360"/>
      <c r="AH27" s="360"/>
      <c r="AI27" s="360"/>
      <c r="AJ27" s="360"/>
      <c r="AK27" s="360"/>
      <c r="AL27" s="360"/>
      <c r="AM27" s="360"/>
      <c r="AN27" s="360"/>
      <c r="AO27" s="360"/>
      <c r="AP27" s="360"/>
      <c r="AQ27" s="360"/>
      <c r="AR27" s="360"/>
      <c r="AS27" s="360"/>
      <c r="AT27" s="360"/>
      <c r="AU27" s="360"/>
      <c r="AV27" s="360"/>
      <c r="AW27" s="360"/>
      <c r="AX27" s="360"/>
      <c r="AY27" s="360"/>
      <c r="AZ27" s="360"/>
      <c r="BA27" s="360"/>
      <c r="BB27" s="360"/>
      <c r="BC27" s="360"/>
      <c r="BD27" s="360"/>
      <c r="BE27" s="360"/>
      <c r="BF27" s="360"/>
      <c r="BG27" s="360"/>
      <c r="BH27" s="360"/>
      <c r="BI27" s="360"/>
      <c r="BJ27" s="360"/>
      <c r="BK27" s="360"/>
      <c r="BL27" s="360"/>
      <c r="BM27" s="360"/>
      <c r="BN27" s="360"/>
      <c r="BO27" s="360"/>
      <c r="BP27" s="360"/>
      <c r="BQ27" s="360"/>
      <c r="BR27" s="360"/>
      <c r="BS27" s="360"/>
      <c r="BT27" s="360"/>
      <c r="BU27" s="360"/>
      <c r="BV27" s="360"/>
      <c r="BW27" s="360"/>
      <c r="BX27" s="360"/>
      <c r="BY27" s="360"/>
      <c r="BZ27" s="360"/>
      <c r="CA27" s="360"/>
      <c r="CB27" s="360"/>
      <c r="CC27" s="360"/>
      <c r="CD27" s="360"/>
      <c r="CE27" s="360"/>
      <c r="CF27" s="360"/>
      <c r="CG27" s="360"/>
      <c r="CH27" s="360"/>
      <c r="CI27" s="360"/>
      <c r="CJ27" s="360"/>
      <c r="CK27" s="360"/>
      <c r="CL27" s="360"/>
      <c r="CM27" s="360"/>
      <c r="CN27" s="360"/>
      <c r="CO27" s="360"/>
      <c r="CP27" s="360"/>
      <c r="CQ27" s="360"/>
      <c r="CR27" s="352"/>
      <c r="CS27" s="352"/>
      <c r="CT27" s="352"/>
      <c r="CU27" s="352"/>
      <c r="CV27" s="352"/>
      <c r="CW27" s="352"/>
      <c r="CX27" s="352"/>
      <c r="CY27" s="352"/>
      <c r="CZ27" s="352"/>
      <c r="DA27" s="352"/>
      <c r="DB27" s="352"/>
      <c r="DC27" s="352"/>
      <c r="DD27" s="352"/>
      <c r="DE27" s="7"/>
    </row>
    <row r="28" spans="1:133" ht="15" customHeight="1">
      <c r="A28" s="6"/>
      <c r="B28" s="356"/>
      <c r="C28" s="357"/>
      <c r="D28" s="357"/>
      <c r="E28" s="357"/>
      <c r="F28" s="357"/>
      <c r="G28" s="357"/>
      <c r="H28" s="358"/>
      <c r="I28" s="352"/>
      <c r="J28" s="352"/>
      <c r="K28" s="352"/>
      <c r="L28" s="352"/>
      <c r="M28" s="352"/>
      <c r="N28" s="352"/>
      <c r="O28" s="352"/>
      <c r="P28" s="352"/>
      <c r="Q28" s="352"/>
      <c r="R28" s="352"/>
      <c r="S28" s="352"/>
      <c r="T28" s="352"/>
      <c r="U28" s="352"/>
      <c r="V28" s="352"/>
      <c r="W28" s="360"/>
      <c r="X28" s="360"/>
      <c r="Y28" s="360"/>
      <c r="Z28" s="360"/>
      <c r="AA28" s="360"/>
      <c r="AB28" s="360"/>
      <c r="AC28" s="360"/>
      <c r="AD28" s="360"/>
      <c r="AE28" s="360"/>
      <c r="AF28" s="360"/>
      <c r="AG28" s="360"/>
      <c r="AH28" s="360"/>
      <c r="AI28" s="360"/>
      <c r="AJ28" s="360"/>
      <c r="AK28" s="360"/>
      <c r="AL28" s="360"/>
      <c r="AM28" s="360"/>
      <c r="AN28" s="360"/>
      <c r="AO28" s="360"/>
      <c r="AP28" s="360"/>
      <c r="AQ28" s="360"/>
      <c r="AR28" s="360"/>
      <c r="AS28" s="360"/>
      <c r="AT28" s="360"/>
      <c r="AU28" s="360"/>
      <c r="AV28" s="360"/>
      <c r="AW28" s="360"/>
      <c r="AX28" s="360"/>
      <c r="AY28" s="360"/>
      <c r="AZ28" s="360"/>
      <c r="BA28" s="360"/>
      <c r="BB28" s="360"/>
      <c r="BC28" s="360"/>
      <c r="BD28" s="360"/>
      <c r="BE28" s="360"/>
      <c r="BF28" s="360"/>
      <c r="BG28" s="360"/>
      <c r="BH28" s="360"/>
      <c r="BI28" s="360"/>
      <c r="BJ28" s="360"/>
      <c r="BK28" s="360"/>
      <c r="BL28" s="360"/>
      <c r="BM28" s="360"/>
      <c r="BN28" s="360"/>
      <c r="BO28" s="360"/>
      <c r="BP28" s="360"/>
      <c r="BQ28" s="360"/>
      <c r="BR28" s="360"/>
      <c r="BS28" s="360"/>
      <c r="BT28" s="360"/>
      <c r="BU28" s="360"/>
      <c r="BV28" s="360"/>
      <c r="BW28" s="360"/>
      <c r="BX28" s="360"/>
      <c r="BY28" s="360"/>
      <c r="BZ28" s="360"/>
      <c r="CA28" s="360"/>
      <c r="CB28" s="360"/>
      <c r="CC28" s="360"/>
      <c r="CD28" s="360"/>
      <c r="CE28" s="360"/>
      <c r="CF28" s="360"/>
      <c r="CG28" s="360"/>
      <c r="CH28" s="360"/>
      <c r="CI28" s="360"/>
      <c r="CJ28" s="360"/>
      <c r="CK28" s="360"/>
      <c r="CL28" s="360"/>
      <c r="CM28" s="360"/>
      <c r="CN28" s="360"/>
      <c r="CO28" s="360"/>
      <c r="CP28" s="360"/>
      <c r="CQ28" s="360"/>
      <c r="CR28" s="352"/>
      <c r="CS28" s="352"/>
      <c r="CT28" s="352"/>
      <c r="CU28" s="352"/>
      <c r="CV28" s="352"/>
      <c r="CW28" s="352"/>
      <c r="CX28" s="352"/>
      <c r="CY28" s="352"/>
      <c r="CZ28" s="352"/>
      <c r="DA28" s="352"/>
      <c r="DB28" s="352"/>
      <c r="DC28" s="352"/>
      <c r="DD28" s="352"/>
      <c r="DE28" s="7"/>
    </row>
    <row r="29" spans="1:133" ht="12.75">
      <c r="A29" s="6"/>
      <c r="B29" s="382"/>
      <c r="C29" s="383"/>
      <c r="D29" s="383"/>
      <c r="E29" s="383"/>
      <c r="F29" s="383"/>
      <c r="G29" s="383"/>
      <c r="H29" s="384"/>
      <c r="I29" s="351"/>
      <c r="J29" s="351"/>
      <c r="K29" s="351"/>
      <c r="L29" s="351"/>
      <c r="M29" s="351"/>
      <c r="N29" s="351"/>
      <c r="O29" s="351"/>
      <c r="P29" s="351"/>
      <c r="Q29" s="351"/>
      <c r="R29" s="351"/>
      <c r="S29" s="351"/>
      <c r="T29" s="351"/>
      <c r="U29" s="351"/>
      <c r="V29" s="351"/>
      <c r="W29" s="359"/>
      <c r="X29" s="359"/>
      <c r="Y29" s="359"/>
      <c r="Z29" s="359"/>
      <c r="AA29" s="359"/>
      <c r="AB29" s="359"/>
      <c r="AC29" s="359"/>
      <c r="AD29" s="359"/>
      <c r="AE29" s="359"/>
      <c r="AF29" s="359"/>
      <c r="AG29" s="359"/>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59"/>
      <c r="BD29" s="359"/>
      <c r="BE29" s="359"/>
      <c r="BF29" s="359"/>
      <c r="BG29" s="359"/>
      <c r="BH29" s="359"/>
      <c r="BI29" s="359"/>
      <c r="BJ29" s="359"/>
      <c r="BK29" s="359"/>
      <c r="BL29" s="359"/>
      <c r="BM29" s="359"/>
      <c r="BN29" s="359"/>
      <c r="BO29" s="359"/>
      <c r="BP29" s="359"/>
      <c r="BQ29" s="359"/>
      <c r="BR29" s="359"/>
      <c r="BS29" s="359"/>
      <c r="BT29" s="359"/>
      <c r="BU29" s="359"/>
      <c r="BV29" s="359"/>
      <c r="BW29" s="359"/>
      <c r="BX29" s="359"/>
      <c r="BY29" s="359"/>
      <c r="BZ29" s="359"/>
      <c r="CA29" s="359"/>
      <c r="CB29" s="359"/>
      <c r="CC29" s="359"/>
      <c r="CD29" s="359"/>
      <c r="CE29" s="359"/>
      <c r="CF29" s="359"/>
      <c r="CG29" s="359"/>
      <c r="CH29" s="359"/>
      <c r="CI29" s="359"/>
      <c r="CJ29" s="359"/>
      <c r="CK29" s="359"/>
      <c r="CL29" s="359"/>
      <c r="CM29" s="359"/>
      <c r="CN29" s="359"/>
      <c r="CO29" s="359"/>
      <c r="CP29" s="359"/>
      <c r="CQ29" s="359"/>
      <c r="CR29" s="351"/>
      <c r="CS29" s="351"/>
      <c r="CT29" s="351"/>
      <c r="CU29" s="351"/>
      <c r="CV29" s="351"/>
      <c r="CW29" s="351"/>
      <c r="CX29" s="351"/>
      <c r="CY29" s="351"/>
      <c r="CZ29" s="351"/>
      <c r="DA29" s="351"/>
      <c r="DB29" s="351"/>
      <c r="DC29" s="351"/>
      <c r="DD29" s="351"/>
      <c r="DE29" s="7"/>
    </row>
    <row r="30" spans="1:133" ht="15" customHeight="1">
      <c r="A30" s="3"/>
      <c r="B30" s="385"/>
      <c r="C30" s="386"/>
      <c r="D30" s="386"/>
      <c r="E30" s="386"/>
      <c r="F30" s="386"/>
      <c r="G30" s="386"/>
      <c r="H30" s="387"/>
      <c r="I30" s="351"/>
      <c r="J30" s="351"/>
      <c r="K30" s="351"/>
      <c r="L30" s="351"/>
      <c r="M30" s="351"/>
      <c r="N30" s="351"/>
      <c r="O30" s="351"/>
      <c r="P30" s="351"/>
      <c r="Q30" s="351"/>
      <c r="R30" s="351"/>
      <c r="S30" s="351"/>
      <c r="T30" s="351"/>
      <c r="U30" s="351"/>
      <c r="V30" s="351"/>
      <c r="W30" s="359"/>
      <c r="X30" s="359"/>
      <c r="Y30" s="359"/>
      <c r="Z30" s="359"/>
      <c r="AA30" s="359"/>
      <c r="AB30" s="359"/>
      <c r="AC30" s="359"/>
      <c r="AD30" s="359"/>
      <c r="AE30" s="359"/>
      <c r="AF30" s="359"/>
      <c r="AG30" s="359"/>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59"/>
      <c r="BD30" s="359"/>
      <c r="BE30" s="359"/>
      <c r="BF30" s="359"/>
      <c r="BG30" s="359"/>
      <c r="BH30" s="359"/>
      <c r="BI30" s="359"/>
      <c r="BJ30" s="359"/>
      <c r="BK30" s="359"/>
      <c r="BL30" s="359"/>
      <c r="BM30" s="359"/>
      <c r="BN30" s="359"/>
      <c r="BO30" s="359"/>
      <c r="BP30" s="359"/>
      <c r="BQ30" s="359"/>
      <c r="BR30" s="359"/>
      <c r="BS30" s="359"/>
      <c r="BT30" s="359"/>
      <c r="BU30" s="359"/>
      <c r="BV30" s="359"/>
      <c r="BW30" s="359"/>
      <c r="BX30" s="359"/>
      <c r="BY30" s="359"/>
      <c r="BZ30" s="359"/>
      <c r="CA30" s="359"/>
      <c r="CB30" s="359"/>
      <c r="CC30" s="359"/>
      <c r="CD30" s="359"/>
      <c r="CE30" s="359"/>
      <c r="CF30" s="359"/>
      <c r="CG30" s="359"/>
      <c r="CH30" s="359"/>
      <c r="CI30" s="359"/>
      <c r="CJ30" s="359"/>
      <c r="CK30" s="359"/>
      <c r="CL30" s="359"/>
      <c r="CM30" s="359"/>
      <c r="CN30" s="359"/>
      <c r="CO30" s="359"/>
      <c r="CP30" s="359"/>
      <c r="CQ30" s="359"/>
      <c r="CR30" s="351"/>
      <c r="CS30" s="351"/>
      <c r="CT30" s="351"/>
      <c r="CU30" s="351"/>
      <c r="CV30" s="351"/>
      <c r="CW30" s="351"/>
      <c r="CX30" s="351"/>
      <c r="CY30" s="351"/>
      <c r="CZ30" s="351"/>
      <c r="DA30" s="351"/>
      <c r="DB30" s="351"/>
      <c r="DC30" s="351"/>
      <c r="DD30" s="351"/>
      <c r="DE30" s="7"/>
    </row>
    <row r="31" spans="1:133" ht="15" customHeight="1">
      <c r="A31" s="6"/>
      <c r="B31" s="353"/>
      <c r="C31" s="354"/>
      <c r="D31" s="354"/>
      <c r="E31" s="354"/>
      <c r="F31" s="354"/>
      <c r="G31" s="354"/>
      <c r="H31" s="355"/>
      <c r="I31" s="352"/>
      <c r="J31" s="352"/>
      <c r="K31" s="352"/>
      <c r="L31" s="352"/>
      <c r="M31" s="352"/>
      <c r="N31" s="352"/>
      <c r="O31" s="352"/>
      <c r="P31" s="352"/>
      <c r="Q31" s="352"/>
      <c r="R31" s="352"/>
      <c r="S31" s="352"/>
      <c r="T31" s="352"/>
      <c r="U31" s="352"/>
      <c r="V31" s="352"/>
      <c r="W31" s="360"/>
      <c r="X31" s="360"/>
      <c r="Y31" s="360"/>
      <c r="Z31" s="360"/>
      <c r="AA31" s="360"/>
      <c r="AB31" s="360"/>
      <c r="AC31" s="360"/>
      <c r="AD31" s="360"/>
      <c r="AE31" s="360"/>
      <c r="AF31" s="360"/>
      <c r="AG31" s="360"/>
      <c r="AH31" s="360"/>
      <c r="AI31" s="360"/>
      <c r="AJ31" s="360"/>
      <c r="AK31" s="360"/>
      <c r="AL31" s="360"/>
      <c r="AM31" s="360"/>
      <c r="AN31" s="360"/>
      <c r="AO31" s="360"/>
      <c r="AP31" s="360"/>
      <c r="AQ31" s="360"/>
      <c r="AR31" s="360"/>
      <c r="AS31" s="360"/>
      <c r="AT31" s="360"/>
      <c r="AU31" s="360"/>
      <c r="AV31" s="360"/>
      <c r="AW31" s="360"/>
      <c r="AX31" s="360"/>
      <c r="AY31" s="360"/>
      <c r="AZ31" s="360"/>
      <c r="BA31" s="360"/>
      <c r="BB31" s="360"/>
      <c r="BC31" s="360"/>
      <c r="BD31" s="360"/>
      <c r="BE31" s="360"/>
      <c r="BF31" s="360"/>
      <c r="BG31" s="360"/>
      <c r="BH31" s="360"/>
      <c r="BI31" s="360"/>
      <c r="BJ31" s="360"/>
      <c r="BK31" s="360"/>
      <c r="BL31" s="360"/>
      <c r="BM31" s="360"/>
      <c r="BN31" s="360"/>
      <c r="BO31" s="360"/>
      <c r="BP31" s="360"/>
      <c r="BQ31" s="360"/>
      <c r="BR31" s="360"/>
      <c r="BS31" s="360"/>
      <c r="BT31" s="360"/>
      <c r="BU31" s="360"/>
      <c r="BV31" s="360"/>
      <c r="BW31" s="360"/>
      <c r="BX31" s="360"/>
      <c r="BY31" s="360"/>
      <c r="BZ31" s="360"/>
      <c r="CA31" s="360"/>
      <c r="CB31" s="360"/>
      <c r="CC31" s="360"/>
      <c r="CD31" s="360"/>
      <c r="CE31" s="360"/>
      <c r="CF31" s="360"/>
      <c r="CG31" s="360"/>
      <c r="CH31" s="360"/>
      <c r="CI31" s="360"/>
      <c r="CJ31" s="360"/>
      <c r="CK31" s="360"/>
      <c r="CL31" s="360"/>
      <c r="CM31" s="360"/>
      <c r="CN31" s="360"/>
      <c r="CO31" s="360"/>
      <c r="CP31" s="360"/>
      <c r="CQ31" s="360"/>
      <c r="CR31" s="352"/>
      <c r="CS31" s="352"/>
      <c r="CT31" s="352"/>
      <c r="CU31" s="352"/>
      <c r="CV31" s="352"/>
      <c r="CW31" s="352"/>
      <c r="CX31" s="352"/>
      <c r="CY31" s="352"/>
      <c r="CZ31" s="352"/>
      <c r="DA31" s="352"/>
      <c r="DB31" s="352"/>
      <c r="DC31" s="352"/>
      <c r="DD31" s="352"/>
      <c r="DE31" s="7"/>
    </row>
    <row r="32" spans="1:133" ht="15" customHeight="1">
      <c r="A32" s="8"/>
      <c r="B32" s="356"/>
      <c r="C32" s="357"/>
      <c r="D32" s="357"/>
      <c r="E32" s="357"/>
      <c r="F32" s="357"/>
      <c r="G32" s="357"/>
      <c r="H32" s="358"/>
      <c r="I32" s="352"/>
      <c r="J32" s="352"/>
      <c r="K32" s="352"/>
      <c r="L32" s="352"/>
      <c r="M32" s="352"/>
      <c r="N32" s="352"/>
      <c r="O32" s="352"/>
      <c r="P32" s="352"/>
      <c r="Q32" s="352"/>
      <c r="R32" s="352"/>
      <c r="S32" s="352"/>
      <c r="T32" s="352"/>
      <c r="U32" s="352"/>
      <c r="V32" s="352"/>
      <c r="W32" s="360"/>
      <c r="X32" s="360"/>
      <c r="Y32" s="360"/>
      <c r="Z32" s="360"/>
      <c r="AA32" s="360"/>
      <c r="AB32" s="360"/>
      <c r="AC32" s="360"/>
      <c r="AD32" s="360"/>
      <c r="AE32" s="360"/>
      <c r="AF32" s="360"/>
      <c r="AG32" s="360"/>
      <c r="AH32" s="360"/>
      <c r="AI32" s="360"/>
      <c r="AJ32" s="360"/>
      <c r="AK32" s="360"/>
      <c r="AL32" s="360"/>
      <c r="AM32" s="360"/>
      <c r="AN32" s="360"/>
      <c r="AO32" s="360"/>
      <c r="AP32" s="360"/>
      <c r="AQ32" s="360"/>
      <c r="AR32" s="360"/>
      <c r="AS32" s="360"/>
      <c r="AT32" s="360"/>
      <c r="AU32" s="360"/>
      <c r="AV32" s="360"/>
      <c r="AW32" s="360"/>
      <c r="AX32" s="360"/>
      <c r="AY32" s="360"/>
      <c r="AZ32" s="360"/>
      <c r="BA32" s="360"/>
      <c r="BB32" s="360"/>
      <c r="BC32" s="360"/>
      <c r="BD32" s="360"/>
      <c r="BE32" s="360"/>
      <c r="BF32" s="360"/>
      <c r="BG32" s="360"/>
      <c r="BH32" s="360"/>
      <c r="BI32" s="360"/>
      <c r="BJ32" s="360"/>
      <c r="BK32" s="360"/>
      <c r="BL32" s="360"/>
      <c r="BM32" s="360"/>
      <c r="BN32" s="360"/>
      <c r="BO32" s="360"/>
      <c r="BP32" s="360"/>
      <c r="BQ32" s="360"/>
      <c r="BR32" s="360"/>
      <c r="BS32" s="360"/>
      <c r="BT32" s="360"/>
      <c r="BU32" s="360"/>
      <c r="BV32" s="360"/>
      <c r="BW32" s="360"/>
      <c r="BX32" s="360"/>
      <c r="BY32" s="360"/>
      <c r="BZ32" s="360"/>
      <c r="CA32" s="360"/>
      <c r="CB32" s="360"/>
      <c r="CC32" s="360"/>
      <c r="CD32" s="360"/>
      <c r="CE32" s="360"/>
      <c r="CF32" s="360"/>
      <c r="CG32" s="360"/>
      <c r="CH32" s="360"/>
      <c r="CI32" s="360"/>
      <c r="CJ32" s="360"/>
      <c r="CK32" s="360"/>
      <c r="CL32" s="360"/>
      <c r="CM32" s="360"/>
      <c r="CN32" s="360"/>
      <c r="CO32" s="360"/>
      <c r="CP32" s="360"/>
      <c r="CQ32" s="360"/>
      <c r="CR32" s="352"/>
      <c r="CS32" s="352"/>
      <c r="CT32" s="352"/>
      <c r="CU32" s="352"/>
      <c r="CV32" s="352"/>
      <c r="CW32" s="352"/>
      <c r="CX32" s="352"/>
      <c r="CY32" s="352"/>
      <c r="CZ32" s="352"/>
      <c r="DA32" s="352"/>
      <c r="DB32" s="352"/>
      <c r="DC32" s="352"/>
      <c r="DD32" s="352"/>
      <c r="DE32" s="7"/>
    </row>
    <row r="33" spans="1:133" ht="15" hidden="1" customHeight="1">
      <c r="A33" s="8"/>
      <c r="B33" s="382"/>
      <c r="C33" s="383"/>
      <c r="D33" s="383"/>
      <c r="E33" s="383"/>
      <c r="F33" s="383"/>
      <c r="G33" s="383"/>
      <c r="H33" s="384"/>
      <c r="I33" s="351"/>
      <c r="J33" s="351"/>
      <c r="K33" s="351"/>
      <c r="L33" s="351"/>
      <c r="M33" s="351"/>
      <c r="N33" s="351"/>
      <c r="O33" s="351"/>
      <c r="P33" s="351"/>
      <c r="Q33" s="351"/>
      <c r="R33" s="351"/>
      <c r="S33" s="351"/>
      <c r="T33" s="351"/>
      <c r="U33" s="351"/>
      <c r="V33" s="351"/>
      <c r="W33" s="359"/>
      <c r="X33" s="359"/>
      <c r="Y33" s="359"/>
      <c r="Z33" s="359"/>
      <c r="AA33" s="359"/>
      <c r="AB33" s="359"/>
      <c r="AC33" s="359"/>
      <c r="AD33" s="407"/>
      <c r="AE33" s="359"/>
      <c r="AF33" s="359"/>
      <c r="AG33" s="359"/>
      <c r="AH33" s="359"/>
      <c r="AI33" s="359"/>
      <c r="AJ33" s="359"/>
      <c r="AK33" s="407"/>
      <c r="AL33" s="359"/>
      <c r="AM33" s="359"/>
      <c r="AN33" s="359"/>
      <c r="AO33" s="359"/>
      <c r="AP33" s="359"/>
      <c r="AQ33" s="359"/>
      <c r="AR33" s="359"/>
      <c r="AS33" s="359"/>
      <c r="AT33" s="359"/>
      <c r="AU33" s="359"/>
      <c r="AV33" s="359"/>
      <c r="AW33" s="359"/>
      <c r="AX33" s="359"/>
      <c r="AY33" s="359"/>
      <c r="AZ33" s="359"/>
      <c r="BA33" s="359"/>
      <c r="BB33" s="359"/>
      <c r="BC33" s="359"/>
      <c r="BD33" s="359"/>
      <c r="BE33" s="359"/>
      <c r="BF33" s="408"/>
      <c r="BG33" s="409"/>
      <c r="BH33" s="409"/>
      <c r="BI33" s="409"/>
      <c r="BJ33" s="409"/>
      <c r="BK33" s="409"/>
      <c r="BL33" s="410"/>
      <c r="BM33" s="359"/>
      <c r="BN33" s="359"/>
      <c r="BO33" s="359"/>
      <c r="BP33" s="359"/>
      <c r="BQ33" s="359"/>
      <c r="BR33" s="359"/>
      <c r="BS33" s="359"/>
      <c r="BT33" s="359"/>
      <c r="BU33" s="359"/>
      <c r="BV33" s="359"/>
      <c r="BW33" s="359"/>
      <c r="BX33" s="359"/>
      <c r="BY33" s="359"/>
      <c r="BZ33" s="359"/>
      <c r="CA33" s="359"/>
      <c r="CB33" s="359"/>
      <c r="CC33" s="359"/>
      <c r="CD33" s="359"/>
      <c r="CE33" s="359"/>
      <c r="CF33" s="359"/>
      <c r="CG33" s="359"/>
      <c r="CH33" s="359"/>
      <c r="CI33" s="359"/>
      <c r="CJ33" s="359"/>
      <c r="CK33" s="359"/>
      <c r="CL33" s="359"/>
      <c r="CM33" s="359"/>
      <c r="CN33" s="359"/>
      <c r="CO33" s="359"/>
      <c r="CP33" s="359"/>
      <c r="CQ33" s="359"/>
      <c r="CR33" s="351"/>
      <c r="CS33" s="351"/>
      <c r="CT33" s="351"/>
      <c r="CU33" s="351"/>
      <c r="CV33" s="351"/>
      <c r="CW33" s="351"/>
      <c r="CX33" s="351"/>
      <c r="CY33" s="351"/>
      <c r="CZ33" s="351"/>
      <c r="DA33" s="351"/>
      <c r="DB33" s="351"/>
      <c r="DC33" s="351"/>
      <c r="DD33" s="351"/>
      <c r="DE33" s="7"/>
    </row>
    <row r="34" spans="1:133" ht="15" hidden="1" customHeight="1">
      <c r="A34" s="3"/>
      <c r="B34" s="385"/>
      <c r="C34" s="386"/>
      <c r="D34" s="386"/>
      <c r="E34" s="386"/>
      <c r="F34" s="386"/>
      <c r="G34" s="386"/>
      <c r="H34" s="387"/>
      <c r="I34" s="351"/>
      <c r="J34" s="351"/>
      <c r="K34" s="351"/>
      <c r="L34" s="351"/>
      <c r="M34" s="351"/>
      <c r="N34" s="351"/>
      <c r="O34" s="351"/>
      <c r="P34" s="351"/>
      <c r="Q34" s="351"/>
      <c r="R34" s="351"/>
      <c r="S34" s="351"/>
      <c r="T34" s="351"/>
      <c r="U34" s="351"/>
      <c r="V34" s="351"/>
      <c r="W34" s="359"/>
      <c r="X34" s="359"/>
      <c r="Y34" s="359"/>
      <c r="Z34" s="359"/>
      <c r="AA34" s="359"/>
      <c r="AB34" s="359"/>
      <c r="AC34" s="359"/>
      <c r="AD34" s="359"/>
      <c r="AE34" s="359"/>
      <c r="AF34" s="359"/>
      <c r="AG34" s="359"/>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59"/>
      <c r="BD34" s="359"/>
      <c r="BE34" s="359"/>
      <c r="BF34" s="411"/>
      <c r="BG34" s="412"/>
      <c r="BH34" s="412"/>
      <c r="BI34" s="412"/>
      <c r="BJ34" s="412"/>
      <c r="BK34" s="412"/>
      <c r="BL34" s="413"/>
      <c r="BM34" s="359"/>
      <c r="BN34" s="359"/>
      <c r="BO34" s="359"/>
      <c r="BP34" s="359"/>
      <c r="BQ34" s="359"/>
      <c r="BR34" s="359"/>
      <c r="BS34" s="359"/>
      <c r="BT34" s="359"/>
      <c r="BU34" s="359"/>
      <c r="BV34" s="359"/>
      <c r="BW34" s="359"/>
      <c r="BX34" s="359"/>
      <c r="BY34" s="359"/>
      <c r="BZ34" s="359"/>
      <c r="CA34" s="359"/>
      <c r="CB34" s="359"/>
      <c r="CC34" s="359"/>
      <c r="CD34" s="359"/>
      <c r="CE34" s="359"/>
      <c r="CF34" s="359"/>
      <c r="CG34" s="359"/>
      <c r="CH34" s="359"/>
      <c r="CI34" s="359"/>
      <c r="CJ34" s="359"/>
      <c r="CK34" s="359"/>
      <c r="CL34" s="359"/>
      <c r="CM34" s="359"/>
      <c r="CN34" s="359"/>
      <c r="CO34" s="359"/>
      <c r="CP34" s="359"/>
      <c r="CQ34" s="359"/>
      <c r="CR34" s="351"/>
      <c r="CS34" s="351"/>
      <c r="CT34" s="351"/>
      <c r="CU34" s="351"/>
      <c r="CV34" s="351"/>
      <c r="CW34" s="351"/>
      <c r="CX34" s="351"/>
      <c r="CY34" s="351"/>
      <c r="CZ34" s="351"/>
      <c r="DA34" s="351"/>
      <c r="DB34" s="351"/>
      <c r="DC34" s="351"/>
      <c r="DD34" s="351"/>
      <c r="DE34" s="7"/>
    </row>
    <row r="35" spans="1:133" ht="15" customHeight="1">
      <c r="A35" s="3"/>
      <c r="B35" s="352"/>
      <c r="C35" s="352"/>
      <c r="D35" s="352"/>
      <c r="E35" s="352"/>
      <c r="F35" s="352"/>
      <c r="G35" s="352"/>
      <c r="H35" s="352"/>
      <c r="I35" s="352"/>
      <c r="J35" s="352"/>
      <c r="K35" s="352"/>
      <c r="L35" s="352"/>
      <c r="M35" s="352"/>
      <c r="N35" s="352"/>
      <c r="O35" s="352"/>
      <c r="P35" s="352"/>
      <c r="Q35" s="352"/>
      <c r="R35" s="352"/>
      <c r="S35" s="352"/>
      <c r="T35" s="352"/>
      <c r="U35" s="352"/>
      <c r="V35" s="352"/>
      <c r="W35" s="360"/>
      <c r="X35" s="360"/>
      <c r="Y35" s="360"/>
      <c r="Z35" s="360"/>
      <c r="AA35" s="360"/>
      <c r="AB35" s="360"/>
      <c r="AC35" s="360"/>
      <c r="AD35" s="360"/>
      <c r="AE35" s="360"/>
      <c r="AF35" s="360"/>
      <c r="AG35" s="360"/>
      <c r="AH35" s="360"/>
      <c r="AI35" s="360"/>
      <c r="AJ35" s="360"/>
      <c r="AK35" s="360"/>
      <c r="AL35" s="360"/>
      <c r="AM35" s="360"/>
      <c r="AN35" s="360"/>
      <c r="AO35" s="360"/>
      <c r="AP35" s="360"/>
      <c r="AQ35" s="360"/>
      <c r="AR35" s="360"/>
      <c r="AS35" s="360"/>
      <c r="AT35" s="360"/>
      <c r="AU35" s="360"/>
      <c r="AV35" s="360"/>
      <c r="AW35" s="360"/>
      <c r="AX35" s="360"/>
      <c r="AY35" s="360"/>
      <c r="AZ35" s="360"/>
      <c r="BA35" s="360"/>
      <c r="BB35" s="360"/>
      <c r="BC35" s="360"/>
      <c r="BD35" s="360"/>
      <c r="BE35" s="360"/>
      <c r="BF35" s="360"/>
      <c r="BG35" s="360"/>
      <c r="BH35" s="360"/>
      <c r="BI35" s="360"/>
      <c r="BJ35" s="360"/>
      <c r="BK35" s="360"/>
      <c r="BL35" s="360"/>
      <c r="BM35" s="360"/>
      <c r="BN35" s="360"/>
      <c r="BO35" s="360"/>
      <c r="BP35" s="360"/>
      <c r="BQ35" s="360"/>
      <c r="BR35" s="360"/>
      <c r="BS35" s="360"/>
      <c r="BT35" s="360"/>
      <c r="BU35" s="360"/>
      <c r="BV35" s="360"/>
      <c r="BW35" s="360"/>
      <c r="BX35" s="360"/>
      <c r="BY35" s="360"/>
      <c r="BZ35" s="360"/>
      <c r="CA35" s="360"/>
      <c r="CB35" s="360"/>
      <c r="CC35" s="360"/>
      <c r="CD35" s="360"/>
      <c r="CE35" s="360"/>
      <c r="CF35" s="360"/>
      <c r="CG35" s="360"/>
      <c r="CH35" s="360"/>
      <c r="CI35" s="360"/>
      <c r="CJ35" s="360"/>
      <c r="CK35" s="360"/>
      <c r="CL35" s="360"/>
      <c r="CM35" s="360"/>
      <c r="CN35" s="360"/>
      <c r="CO35" s="360"/>
      <c r="CP35" s="360"/>
      <c r="CQ35" s="360"/>
      <c r="CR35" s="352"/>
      <c r="CS35" s="352"/>
      <c r="CT35" s="352"/>
      <c r="CU35" s="352"/>
      <c r="CV35" s="352"/>
      <c r="CW35" s="352"/>
      <c r="CX35" s="352"/>
      <c r="CY35" s="352"/>
      <c r="CZ35" s="352"/>
      <c r="DA35" s="352"/>
      <c r="DB35" s="352"/>
      <c r="DC35" s="352"/>
      <c r="DD35" s="352"/>
      <c r="DE35" s="7"/>
    </row>
    <row r="36" spans="1:133" ht="15" customHeight="1">
      <c r="A36" s="6"/>
      <c r="B36" s="352"/>
      <c r="C36" s="352"/>
      <c r="D36" s="352"/>
      <c r="E36" s="352"/>
      <c r="F36" s="352"/>
      <c r="G36" s="352"/>
      <c r="H36" s="352"/>
      <c r="I36" s="352"/>
      <c r="J36" s="352"/>
      <c r="K36" s="352"/>
      <c r="L36" s="352"/>
      <c r="M36" s="352"/>
      <c r="N36" s="352"/>
      <c r="O36" s="352"/>
      <c r="P36" s="352"/>
      <c r="Q36" s="352"/>
      <c r="R36" s="352"/>
      <c r="S36" s="352"/>
      <c r="T36" s="352"/>
      <c r="U36" s="352"/>
      <c r="V36" s="352"/>
      <c r="W36" s="360"/>
      <c r="X36" s="360"/>
      <c r="Y36" s="360"/>
      <c r="Z36" s="360"/>
      <c r="AA36" s="360"/>
      <c r="AB36" s="360"/>
      <c r="AC36" s="360"/>
      <c r="AD36" s="360"/>
      <c r="AE36" s="360"/>
      <c r="AF36" s="360"/>
      <c r="AG36" s="360"/>
      <c r="AH36" s="360"/>
      <c r="AI36" s="360"/>
      <c r="AJ36" s="360"/>
      <c r="AK36" s="360"/>
      <c r="AL36" s="360"/>
      <c r="AM36" s="360"/>
      <c r="AN36" s="360"/>
      <c r="AO36" s="360"/>
      <c r="AP36" s="360"/>
      <c r="AQ36" s="360"/>
      <c r="AR36" s="360"/>
      <c r="AS36" s="360"/>
      <c r="AT36" s="360"/>
      <c r="AU36" s="360"/>
      <c r="AV36" s="360"/>
      <c r="AW36" s="360"/>
      <c r="AX36" s="360"/>
      <c r="AY36" s="360"/>
      <c r="AZ36" s="360"/>
      <c r="BA36" s="360"/>
      <c r="BB36" s="360"/>
      <c r="BC36" s="360"/>
      <c r="BD36" s="360"/>
      <c r="BE36" s="360"/>
      <c r="BF36" s="360"/>
      <c r="BG36" s="360"/>
      <c r="BH36" s="360"/>
      <c r="BI36" s="360"/>
      <c r="BJ36" s="360"/>
      <c r="BK36" s="360"/>
      <c r="BL36" s="360"/>
      <c r="BM36" s="360"/>
      <c r="BN36" s="360"/>
      <c r="BO36" s="360"/>
      <c r="BP36" s="360"/>
      <c r="BQ36" s="360"/>
      <c r="BR36" s="360"/>
      <c r="BS36" s="360"/>
      <c r="BT36" s="360"/>
      <c r="BU36" s="360"/>
      <c r="BV36" s="360"/>
      <c r="BW36" s="360"/>
      <c r="BX36" s="360"/>
      <c r="BY36" s="360"/>
      <c r="BZ36" s="360"/>
      <c r="CA36" s="360"/>
      <c r="CB36" s="360"/>
      <c r="CC36" s="360"/>
      <c r="CD36" s="360"/>
      <c r="CE36" s="360"/>
      <c r="CF36" s="360"/>
      <c r="CG36" s="360"/>
      <c r="CH36" s="360"/>
      <c r="CI36" s="360"/>
      <c r="CJ36" s="360"/>
      <c r="CK36" s="360"/>
      <c r="CL36" s="360"/>
      <c r="CM36" s="360"/>
      <c r="CN36" s="360"/>
      <c r="CO36" s="360"/>
      <c r="CP36" s="360"/>
      <c r="CQ36" s="360"/>
      <c r="CR36" s="352"/>
      <c r="CS36" s="352"/>
      <c r="CT36" s="352"/>
      <c r="CU36" s="352"/>
      <c r="CV36" s="352"/>
      <c r="CW36" s="352"/>
      <c r="CX36" s="352"/>
      <c r="CY36" s="352"/>
      <c r="CZ36" s="352"/>
      <c r="DA36" s="352"/>
      <c r="DB36" s="352"/>
      <c r="DC36" s="352"/>
      <c r="DD36" s="352"/>
      <c r="DE36" s="7"/>
    </row>
    <row r="37" spans="1:133" ht="15" customHeight="1">
      <c r="A37" s="8"/>
      <c r="B37" s="382"/>
      <c r="C37" s="383"/>
      <c r="D37" s="383"/>
      <c r="E37" s="383"/>
      <c r="F37" s="383"/>
      <c r="G37" s="383"/>
      <c r="H37" s="384"/>
      <c r="I37" s="351"/>
      <c r="J37" s="351"/>
      <c r="K37" s="351"/>
      <c r="L37" s="351"/>
      <c r="M37" s="351"/>
      <c r="N37" s="351"/>
      <c r="O37" s="351"/>
      <c r="P37" s="351"/>
      <c r="Q37" s="351"/>
      <c r="R37" s="351"/>
      <c r="S37" s="351"/>
      <c r="T37" s="351"/>
      <c r="U37" s="351"/>
      <c r="V37" s="351"/>
      <c r="W37" s="359"/>
      <c r="X37" s="359"/>
      <c r="Y37" s="359"/>
      <c r="Z37" s="359"/>
      <c r="AA37" s="359"/>
      <c r="AB37" s="359"/>
      <c r="AC37" s="359"/>
      <c r="AD37" s="359"/>
      <c r="AE37" s="359"/>
      <c r="AF37" s="359"/>
      <c r="AG37" s="359"/>
      <c r="AH37" s="359"/>
      <c r="AI37" s="359"/>
      <c r="AJ37" s="359"/>
      <c r="AK37" s="359"/>
      <c r="AL37" s="359"/>
      <c r="AM37" s="359"/>
      <c r="AN37" s="359"/>
      <c r="AO37" s="359"/>
      <c r="AP37" s="359"/>
      <c r="AQ37" s="359"/>
      <c r="AR37" s="359"/>
      <c r="AS37" s="359"/>
      <c r="AT37" s="359"/>
      <c r="AU37" s="359"/>
      <c r="AV37" s="359"/>
      <c r="AW37" s="359"/>
      <c r="AX37" s="359"/>
      <c r="AY37" s="359"/>
      <c r="AZ37" s="359"/>
      <c r="BA37" s="359"/>
      <c r="BB37" s="359"/>
      <c r="BC37" s="359"/>
      <c r="BD37" s="359"/>
      <c r="BE37" s="359"/>
      <c r="BF37" s="359"/>
      <c r="BG37" s="359"/>
      <c r="BH37" s="359"/>
      <c r="BI37" s="359"/>
      <c r="BJ37" s="359"/>
      <c r="BK37" s="359"/>
      <c r="BL37" s="359"/>
      <c r="BM37" s="359"/>
      <c r="BN37" s="359"/>
      <c r="BO37" s="359"/>
      <c r="BP37" s="359"/>
      <c r="BQ37" s="359"/>
      <c r="BR37" s="359"/>
      <c r="BS37" s="359"/>
      <c r="BT37" s="359"/>
      <c r="BU37" s="359"/>
      <c r="BV37" s="359"/>
      <c r="BW37" s="359"/>
      <c r="BX37" s="359"/>
      <c r="BY37" s="359"/>
      <c r="BZ37" s="359"/>
      <c r="CA37" s="359"/>
      <c r="CB37" s="359"/>
      <c r="CC37" s="359"/>
      <c r="CD37" s="359"/>
      <c r="CE37" s="359"/>
      <c r="CF37" s="359"/>
      <c r="CG37" s="359"/>
      <c r="CH37" s="359"/>
      <c r="CI37" s="359"/>
      <c r="CJ37" s="359"/>
      <c r="CK37" s="359"/>
      <c r="CL37" s="359"/>
      <c r="CM37" s="359"/>
      <c r="CN37" s="359"/>
      <c r="CO37" s="359"/>
      <c r="CP37" s="359"/>
      <c r="CQ37" s="359"/>
      <c r="CR37" s="351"/>
      <c r="CS37" s="351"/>
      <c r="CT37" s="351"/>
      <c r="CU37" s="351"/>
      <c r="CV37" s="351"/>
      <c r="CW37" s="351"/>
      <c r="CX37" s="351"/>
      <c r="CY37" s="351"/>
      <c r="CZ37" s="351"/>
      <c r="DA37" s="351"/>
      <c r="DB37" s="351"/>
      <c r="DC37" s="351"/>
      <c r="DD37" s="351"/>
      <c r="DE37" s="7"/>
    </row>
    <row r="38" spans="1:133" ht="15" customHeight="1">
      <c r="A38" s="3"/>
      <c r="B38" s="385"/>
      <c r="C38" s="386"/>
      <c r="D38" s="386"/>
      <c r="E38" s="386"/>
      <c r="F38" s="386"/>
      <c r="G38" s="386"/>
      <c r="H38" s="387"/>
      <c r="I38" s="351"/>
      <c r="J38" s="351"/>
      <c r="K38" s="351"/>
      <c r="L38" s="351"/>
      <c r="M38" s="351"/>
      <c r="N38" s="351"/>
      <c r="O38" s="351"/>
      <c r="P38" s="351"/>
      <c r="Q38" s="351"/>
      <c r="R38" s="351"/>
      <c r="S38" s="351"/>
      <c r="T38" s="351"/>
      <c r="U38" s="351"/>
      <c r="V38" s="351"/>
      <c r="W38" s="359"/>
      <c r="X38" s="359"/>
      <c r="Y38" s="359"/>
      <c r="Z38" s="359"/>
      <c r="AA38" s="359"/>
      <c r="AB38" s="359"/>
      <c r="AC38" s="359"/>
      <c r="AD38" s="359"/>
      <c r="AE38" s="359"/>
      <c r="AF38" s="359"/>
      <c r="AG38" s="359"/>
      <c r="AH38" s="359"/>
      <c r="AI38" s="359"/>
      <c r="AJ38" s="359"/>
      <c r="AK38" s="359"/>
      <c r="AL38" s="359"/>
      <c r="AM38" s="359"/>
      <c r="AN38" s="359"/>
      <c r="AO38" s="359"/>
      <c r="AP38" s="359"/>
      <c r="AQ38" s="359"/>
      <c r="AR38" s="359"/>
      <c r="AS38" s="359"/>
      <c r="AT38" s="359"/>
      <c r="AU38" s="359"/>
      <c r="AV38" s="359"/>
      <c r="AW38" s="359"/>
      <c r="AX38" s="359"/>
      <c r="AY38" s="359"/>
      <c r="AZ38" s="359"/>
      <c r="BA38" s="359"/>
      <c r="BB38" s="359"/>
      <c r="BC38" s="359"/>
      <c r="BD38" s="359"/>
      <c r="BE38" s="359"/>
      <c r="BF38" s="359"/>
      <c r="BG38" s="359"/>
      <c r="BH38" s="359"/>
      <c r="BI38" s="359"/>
      <c r="BJ38" s="359"/>
      <c r="BK38" s="359"/>
      <c r="BL38" s="359"/>
      <c r="BM38" s="359"/>
      <c r="BN38" s="359"/>
      <c r="BO38" s="359"/>
      <c r="BP38" s="359"/>
      <c r="BQ38" s="359"/>
      <c r="BR38" s="359"/>
      <c r="BS38" s="359"/>
      <c r="BT38" s="359"/>
      <c r="BU38" s="359"/>
      <c r="BV38" s="359"/>
      <c r="BW38" s="359"/>
      <c r="BX38" s="359"/>
      <c r="BY38" s="359"/>
      <c r="BZ38" s="359"/>
      <c r="CA38" s="359"/>
      <c r="CB38" s="359"/>
      <c r="CC38" s="359"/>
      <c r="CD38" s="359"/>
      <c r="CE38" s="359"/>
      <c r="CF38" s="359"/>
      <c r="CG38" s="359"/>
      <c r="CH38" s="359"/>
      <c r="CI38" s="359"/>
      <c r="CJ38" s="359"/>
      <c r="CK38" s="359"/>
      <c r="CL38" s="359"/>
      <c r="CM38" s="359"/>
      <c r="CN38" s="359"/>
      <c r="CO38" s="359"/>
      <c r="CP38" s="359"/>
      <c r="CQ38" s="359"/>
      <c r="CR38" s="351"/>
      <c r="CS38" s="351"/>
      <c r="CT38" s="351"/>
      <c r="CU38" s="351"/>
      <c r="CV38" s="351"/>
      <c r="CW38" s="351"/>
      <c r="CX38" s="351"/>
      <c r="CY38" s="351"/>
      <c r="CZ38" s="351"/>
      <c r="DA38" s="351"/>
      <c r="DB38" s="351"/>
      <c r="DC38" s="351"/>
      <c r="DD38" s="351"/>
      <c r="DE38" s="7"/>
    </row>
    <row r="39" spans="1:133" ht="15" customHeight="1">
      <c r="A39" s="3"/>
      <c r="B39" s="353"/>
      <c r="C39" s="354"/>
      <c r="D39" s="354"/>
      <c r="E39" s="354"/>
      <c r="F39" s="354"/>
      <c r="G39" s="354"/>
      <c r="H39" s="355"/>
      <c r="I39" s="352"/>
      <c r="J39" s="352"/>
      <c r="K39" s="352"/>
      <c r="L39" s="352"/>
      <c r="M39" s="352"/>
      <c r="N39" s="352"/>
      <c r="O39" s="352"/>
      <c r="P39" s="352"/>
      <c r="Q39" s="352"/>
      <c r="R39" s="352"/>
      <c r="S39" s="352"/>
      <c r="T39" s="352"/>
      <c r="U39" s="352"/>
      <c r="V39" s="352"/>
      <c r="W39" s="360"/>
      <c r="X39" s="360"/>
      <c r="Y39" s="360"/>
      <c r="Z39" s="360"/>
      <c r="AA39" s="360"/>
      <c r="AB39" s="360"/>
      <c r="AC39" s="360"/>
      <c r="AD39" s="360"/>
      <c r="AE39" s="360"/>
      <c r="AF39" s="360"/>
      <c r="AG39" s="360"/>
      <c r="AH39" s="360"/>
      <c r="AI39" s="360"/>
      <c r="AJ39" s="360"/>
      <c r="AK39" s="360"/>
      <c r="AL39" s="360"/>
      <c r="AM39" s="360"/>
      <c r="AN39" s="360"/>
      <c r="AO39" s="360"/>
      <c r="AP39" s="360"/>
      <c r="AQ39" s="360"/>
      <c r="AR39" s="360"/>
      <c r="AS39" s="360"/>
      <c r="AT39" s="360"/>
      <c r="AU39" s="360"/>
      <c r="AV39" s="360"/>
      <c r="AW39" s="360"/>
      <c r="AX39" s="360"/>
      <c r="AY39" s="360"/>
      <c r="AZ39" s="360"/>
      <c r="BA39" s="360"/>
      <c r="BB39" s="360"/>
      <c r="BC39" s="360"/>
      <c r="BD39" s="360"/>
      <c r="BE39" s="360"/>
      <c r="BF39" s="360"/>
      <c r="BG39" s="360"/>
      <c r="BH39" s="360"/>
      <c r="BI39" s="360"/>
      <c r="BJ39" s="360"/>
      <c r="BK39" s="360"/>
      <c r="BL39" s="360"/>
      <c r="BM39" s="360"/>
      <c r="BN39" s="360"/>
      <c r="BO39" s="360"/>
      <c r="BP39" s="360"/>
      <c r="BQ39" s="360"/>
      <c r="BR39" s="360"/>
      <c r="BS39" s="360"/>
      <c r="BT39" s="360"/>
      <c r="BU39" s="360"/>
      <c r="BV39" s="360"/>
      <c r="BW39" s="360"/>
      <c r="BX39" s="360"/>
      <c r="BY39" s="360"/>
      <c r="BZ39" s="360"/>
      <c r="CA39" s="360"/>
      <c r="CB39" s="360"/>
      <c r="CC39" s="360"/>
      <c r="CD39" s="360"/>
      <c r="CE39" s="360"/>
      <c r="CF39" s="360"/>
      <c r="CG39" s="360"/>
      <c r="CH39" s="360"/>
      <c r="CI39" s="360"/>
      <c r="CJ39" s="360"/>
      <c r="CK39" s="360"/>
      <c r="CL39" s="360"/>
      <c r="CM39" s="360"/>
      <c r="CN39" s="360"/>
      <c r="CO39" s="360"/>
      <c r="CP39" s="360"/>
      <c r="CQ39" s="360"/>
      <c r="CR39" s="352"/>
      <c r="CS39" s="352"/>
      <c r="CT39" s="352"/>
      <c r="CU39" s="352"/>
      <c r="CV39" s="352"/>
      <c r="CW39" s="352"/>
      <c r="CX39" s="352"/>
      <c r="CY39" s="352"/>
      <c r="CZ39" s="352"/>
      <c r="DA39" s="352"/>
      <c r="DB39" s="352"/>
      <c r="DC39" s="352"/>
      <c r="DD39" s="352"/>
      <c r="DE39" s="7"/>
    </row>
    <row r="40" spans="1:133" ht="15" customHeight="1">
      <c r="A40" s="3"/>
      <c r="B40" s="356"/>
      <c r="C40" s="357"/>
      <c r="D40" s="357"/>
      <c r="E40" s="357"/>
      <c r="F40" s="357"/>
      <c r="G40" s="357"/>
      <c r="H40" s="358"/>
      <c r="I40" s="352"/>
      <c r="J40" s="352"/>
      <c r="K40" s="352"/>
      <c r="L40" s="352"/>
      <c r="M40" s="352"/>
      <c r="N40" s="352"/>
      <c r="O40" s="352"/>
      <c r="P40" s="352"/>
      <c r="Q40" s="352"/>
      <c r="R40" s="352"/>
      <c r="S40" s="352"/>
      <c r="T40" s="352"/>
      <c r="U40" s="352"/>
      <c r="V40" s="352"/>
      <c r="W40" s="360"/>
      <c r="X40" s="360"/>
      <c r="Y40" s="360"/>
      <c r="Z40" s="360"/>
      <c r="AA40" s="360"/>
      <c r="AB40" s="360"/>
      <c r="AC40" s="360"/>
      <c r="AD40" s="360"/>
      <c r="AE40" s="360"/>
      <c r="AF40" s="360"/>
      <c r="AG40" s="360"/>
      <c r="AH40" s="360"/>
      <c r="AI40" s="360"/>
      <c r="AJ40" s="360"/>
      <c r="AK40" s="360"/>
      <c r="AL40" s="360"/>
      <c r="AM40" s="360"/>
      <c r="AN40" s="360"/>
      <c r="AO40" s="360"/>
      <c r="AP40" s="360"/>
      <c r="AQ40" s="360"/>
      <c r="AR40" s="360"/>
      <c r="AS40" s="360"/>
      <c r="AT40" s="360"/>
      <c r="AU40" s="360"/>
      <c r="AV40" s="360"/>
      <c r="AW40" s="360"/>
      <c r="AX40" s="360"/>
      <c r="AY40" s="360"/>
      <c r="AZ40" s="360"/>
      <c r="BA40" s="360"/>
      <c r="BB40" s="360"/>
      <c r="BC40" s="360"/>
      <c r="BD40" s="360"/>
      <c r="BE40" s="360"/>
      <c r="BF40" s="360"/>
      <c r="BG40" s="360"/>
      <c r="BH40" s="360"/>
      <c r="BI40" s="360"/>
      <c r="BJ40" s="360"/>
      <c r="BK40" s="360"/>
      <c r="BL40" s="360"/>
      <c r="BM40" s="360"/>
      <c r="BN40" s="360"/>
      <c r="BO40" s="360"/>
      <c r="BP40" s="360"/>
      <c r="BQ40" s="360"/>
      <c r="BR40" s="360"/>
      <c r="BS40" s="360"/>
      <c r="BT40" s="360"/>
      <c r="BU40" s="360"/>
      <c r="BV40" s="360"/>
      <c r="BW40" s="360"/>
      <c r="BX40" s="360"/>
      <c r="BY40" s="360"/>
      <c r="BZ40" s="360"/>
      <c r="CA40" s="360"/>
      <c r="CB40" s="360"/>
      <c r="CC40" s="360"/>
      <c r="CD40" s="360"/>
      <c r="CE40" s="360"/>
      <c r="CF40" s="360"/>
      <c r="CG40" s="360"/>
      <c r="CH40" s="360"/>
      <c r="CI40" s="360"/>
      <c r="CJ40" s="360"/>
      <c r="CK40" s="360"/>
      <c r="CL40" s="360"/>
      <c r="CM40" s="360"/>
      <c r="CN40" s="360"/>
      <c r="CO40" s="360"/>
      <c r="CP40" s="360"/>
      <c r="CQ40" s="360"/>
      <c r="CR40" s="352"/>
      <c r="CS40" s="352"/>
      <c r="CT40" s="352"/>
      <c r="CU40" s="352"/>
      <c r="CV40" s="352"/>
      <c r="CW40" s="352"/>
      <c r="CX40" s="352"/>
      <c r="CY40" s="352"/>
      <c r="CZ40" s="352"/>
      <c r="DA40" s="352"/>
      <c r="DB40" s="352"/>
      <c r="DC40" s="352"/>
      <c r="DD40" s="352"/>
      <c r="DE40" s="7"/>
    </row>
    <row r="41" spans="1:133" ht="15" customHeight="1">
      <c r="A41" s="6"/>
      <c r="B41" s="382"/>
      <c r="C41" s="383"/>
      <c r="D41" s="383"/>
      <c r="E41" s="383"/>
      <c r="F41" s="383"/>
      <c r="G41" s="383"/>
      <c r="H41" s="384"/>
      <c r="I41" s="351"/>
      <c r="J41" s="351"/>
      <c r="K41" s="351"/>
      <c r="L41" s="351"/>
      <c r="M41" s="351"/>
      <c r="N41" s="351"/>
      <c r="O41" s="351"/>
      <c r="P41" s="351"/>
      <c r="Q41" s="351"/>
      <c r="R41" s="351"/>
      <c r="S41" s="351"/>
      <c r="T41" s="351"/>
      <c r="U41" s="351"/>
      <c r="V41" s="351"/>
      <c r="W41" s="359"/>
      <c r="X41" s="359"/>
      <c r="Y41" s="359"/>
      <c r="Z41" s="359"/>
      <c r="AA41" s="359"/>
      <c r="AB41" s="359"/>
      <c r="AC41" s="359"/>
      <c r="AD41" s="359"/>
      <c r="AE41" s="359"/>
      <c r="AF41" s="359"/>
      <c r="AG41" s="359"/>
      <c r="AH41" s="359"/>
      <c r="AI41" s="359"/>
      <c r="AJ41" s="359"/>
      <c r="AK41" s="359"/>
      <c r="AL41" s="359"/>
      <c r="AM41" s="359"/>
      <c r="AN41" s="359"/>
      <c r="AO41" s="359"/>
      <c r="AP41" s="359"/>
      <c r="AQ41" s="359"/>
      <c r="AR41" s="359"/>
      <c r="AS41" s="359"/>
      <c r="AT41" s="359"/>
      <c r="AU41" s="359"/>
      <c r="AV41" s="359"/>
      <c r="AW41" s="359"/>
      <c r="AX41" s="359"/>
      <c r="AY41" s="359"/>
      <c r="AZ41" s="359"/>
      <c r="BA41" s="359"/>
      <c r="BB41" s="359"/>
      <c r="BC41" s="359"/>
      <c r="BD41" s="359"/>
      <c r="BE41" s="359"/>
      <c r="BF41" s="359"/>
      <c r="BG41" s="359"/>
      <c r="BH41" s="359"/>
      <c r="BI41" s="359"/>
      <c r="BJ41" s="359"/>
      <c r="BK41" s="359"/>
      <c r="BL41" s="359"/>
      <c r="BM41" s="359"/>
      <c r="BN41" s="359"/>
      <c r="BO41" s="359"/>
      <c r="BP41" s="359"/>
      <c r="BQ41" s="359"/>
      <c r="BR41" s="359"/>
      <c r="BS41" s="359"/>
      <c r="BT41" s="359"/>
      <c r="BU41" s="359"/>
      <c r="BV41" s="359"/>
      <c r="BW41" s="359"/>
      <c r="BX41" s="359"/>
      <c r="BY41" s="359"/>
      <c r="BZ41" s="359"/>
      <c r="CA41" s="359"/>
      <c r="CB41" s="359"/>
      <c r="CC41" s="359"/>
      <c r="CD41" s="359"/>
      <c r="CE41" s="359"/>
      <c r="CF41" s="359"/>
      <c r="CG41" s="359"/>
      <c r="CH41" s="359"/>
      <c r="CI41" s="359"/>
      <c r="CJ41" s="359"/>
      <c r="CK41" s="359"/>
      <c r="CL41" s="359"/>
      <c r="CM41" s="359"/>
      <c r="CN41" s="359"/>
      <c r="CO41" s="359"/>
      <c r="CP41" s="359"/>
      <c r="CQ41" s="359"/>
      <c r="CR41" s="351"/>
      <c r="CS41" s="351"/>
      <c r="CT41" s="351"/>
      <c r="CU41" s="351"/>
      <c r="CV41" s="351"/>
      <c r="CW41" s="351"/>
      <c r="CX41" s="351"/>
      <c r="CY41" s="351"/>
      <c r="CZ41" s="351"/>
      <c r="DA41" s="351"/>
      <c r="DB41" s="351"/>
      <c r="DC41" s="351"/>
      <c r="DD41" s="351"/>
      <c r="DE41" s="7"/>
    </row>
    <row r="42" spans="1:133" ht="15" customHeight="1">
      <c r="A42" s="8"/>
      <c r="B42" s="385"/>
      <c r="C42" s="386"/>
      <c r="D42" s="386"/>
      <c r="E42" s="386"/>
      <c r="F42" s="386"/>
      <c r="G42" s="386"/>
      <c r="H42" s="387"/>
      <c r="I42" s="351"/>
      <c r="J42" s="351"/>
      <c r="K42" s="351"/>
      <c r="L42" s="351"/>
      <c r="M42" s="351"/>
      <c r="N42" s="351"/>
      <c r="O42" s="351"/>
      <c r="P42" s="351"/>
      <c r="Q42" s="351"/>
      <c r="R42" s="351"/>
      <c r="S42" s="351"/>
      <c r="T42" s="351"/>
      <c r="U42" s="351"/>
      <c r="V42" s="351"/>
      <c r="W42" s="359"/>
      <c r="X42" s="359"/>
      <c r="Y42" s="359"/>
      <c r="Z42" s="359"/>
      <c r="AA42" s="359"/>
      <c r="AB42" s="359"/>
      <c r="AC42" s="359"/>
      <c r="AD42" s="359"/>
      <c r="AE42" s="359"/>
      <c r="AF42" s="359"/>
      <c r="AG42" s="359"/>
      <c r="AH42" s="359"/>
      <c r="AI42" s="359"/>
      <c r="AJ42" s="359"/>
      <c r="AK42" s="359"/>
      <c r="AL42" s="359"/>
      <c r="AM42" s="359"/>
      <c r="AN42" s="359"/>
      <c r="AO42" s="359"/>
      <c r="AP42" s="359"/>
      <c r="AQ42" s="359"/>
      <c r="AR42" s="359"/>
      <c r="AS42" s="359"/>
      <c r="AT42" s="359"/>
      <c r="AU42" s="359"/>
      <c r="AV42" s="359"/>
      <c r="AW42" s="359"/>
      <c r="AX42" s="359"/>
      <c r="AY42" s="359"/>
      <c r="AZ42" s="359"/>
      <c r="BA42" s="359"/>
      <c r="BB42" s="359"/>
      <c r="BC42" s="359"/>
      <c r="BD42" s="359"/>
      <c r="BE42" s="359"/>
      <c r="BF42" s="359"/>
      <c r="BG42" s="359"/>
      <c r="BH42" s="359"/>
      <c r="BI42" s="359"/>
      <c r="BJ42" s="359"/>
      <c r="BK42" s="359"/>
      <c r="BL42" s="359"/>
      <c r="BM42" s="359"/>
      <c r="BN42" s="359"/>
      <c r="BO42" s="359"/>
      <c r="BP42" s="359"/>
      <c r="BQ42" s="359"/>
      <c r="BR42" s="359"/>
      <c r="BS42" s="359"/>
      <c r="BT42" s="359"/>
      <c r="BU42" s="359"/>
      <c r="BV42" s="359"/>
      <c r="BW42" s="359"/>
      <c r="BX42" s="359"/>
      <c r="BY42" s="359"/>
      <c r="BZ42" s="359"/>
      <c r="CA42" s="359"/>
      <c r="CB42" s="359"/>
      <c r="CC42" s="359"/>
      <c r="CD42" s="359"/>
      <c r="CE42" s="359"/>
      <c r="CF42" s="359"/>
      <c r="CG42" s="359"/>
      <c r="CH42" s="359"/>
      <c r="CI42" s="359"/>
      <c r="CJ42" s="359"/>
      <c r="CK42" s="359"/>
      <c r="CL42" s="359"/>
      <c r="CM42" s="359"/>
      <c r="CN42" s="359"/>
      <c r="CO42" s="359"/>
      <c r="CP42" s="359"/>
      <c r="CQ42" s="359"/>
      <c r="CR42" s="351"/>
      <c r="CS42" s="351"/>
      <c r="CT42" s="351"/>
      <c r="CU42" s="351"/>
      <c r="CV42" s="351"/>
      <c r="CW42" s="351"/>
      <c r="CX42" s="351"/>
      <c r="CY42" s="351"/>
      <c r="CZ42" s="351"/>
      <c r="DA42" s="351"/>
      <c r="DB42" s="351"/>
      <c r="DC42" s="351"/>
      <c r="DD42" s="351"/>
      <c r="DE42" s="7"/>
    </row>
    <row r="43" spans="1:133" ht="15" customHeight="1">
      <c r="A43" s="8"/>
      <c r="B43" s="353"/>
      <c r="C43" s="354"/>
      <c r="D43" s="354"/>
      <c r="E43" s="354"/>
      <c r="F43" s="354"/>
      <c r="G43" s="354"/>
      <c r="H43" s="355"/>
      <c r="I43" s="352"/>
      <c r="J43" s="352"/>
      <c r="K43" s="352"/>
      <c r="L43" s="352"/>
      <c r="M43" s="352"/>
      <c r="N43" s="352"/>
      <c r="O43" s="352"/>
      <c r="P43" s="352"/>
      <c r="Q43" s="352"/>
      <c r="R43" s="352"/>
      <c r="S43" s="352"/>
      <c r="T43" s="352"/>
      <c r="U43" s="352"/>
      <c r="V43" s="352"/>
      <c r="W43" s="360"/>
      <c r="X43" s="360"/>
      <c r="Y43" s="360"/>
      <c r="Z43" s="360"/>
      <c r="AA43" s="360"/>
      <c r="AB43" s="360"/>
      <c r="AC43" s="360"/>
      <c r="AD43" s="360"/>
      <c r="AE43" s="360"/>
      <c r="AF43" s="360"/>
      <c r="AG43" s="360"/>
      <c r="AH43" s="360"/>
      <c r="AI43" s="360"/>
      <c r="AJ43" s="360"/>
      <c r="AK43" s="360"/>
      <c r="AL43" s="360"/>
      <c r="AM43" s="360"/>
      <c r="AN43" s="360"/>
      <c r="AO43" s="360"/>
      <c r="AP43" s="360"/>
      <c r="AQ43" s="360"/>
      <c r="AR43" s="360"/>
      <c r="AS43" s="360"/>
      <c r="AT43" s="360"/>
      <c r="AU43" s="360"/>
      <c r="AV43" s="360"/>
      <c r="AW43" s="360"/>
      <c r="AX43" s="360"/>
      <c r="AY43" s="360"/>
      <c r="AZ43" s="360"/>
      <c r="BA43" s="360"/>
      <c r="BB43" s="360"/>
      <c r="BC43" s="360"/>
      <c r="BD43" s="360"/>
      <c r="BE43" s="360"/>
      <c r="BF43" s="360"/>
      <c r="BG43" s="360"/>
      <c r="BH43" s="360"/>
      <c r="BI43" s="360"/>
      <c r="BJ43" s="360"/>
      <c r="BK43" s="360"/>
      <c r="BL43" s="360"/>
      <c r="BM43" s="360"/>
      <c r="BN43" s="360"/>
      <c r="BO43" s="360"/>
      <c r="BP43" s="360"/>
      <c r="BQ43" s="360"/>
      <c r="BR43" s="360"/>
      <c r="BS43" s="360"/>
      <c r="BT43" s="360"/>
      <c r="BU43" s="360"/>
      <c r="BV43" s="360"/>
      <c r="BW43" s="360"/>
      <c r="BX43" s="360"/>
      <c r="BY43" s="360"/>
      <c r="BZ43" s="360"/>
      <c r="CA43" s="360"/>
      <c r="CB43" s="360"/>
      <c r="CC43" s="360"/>
      <c r="CD43" s="360"/>
      <c r="CE43" s="360"/>
      <c r="CF43" s="360"/>
      <c r="CG43" s="360"/>
      <c r="CH43" s="360"/>
      <c r="CI43" s="360"/>
      <c r="CJ43" s="360"/>
      <c r="CK43" s="360"/>
      <c r="CL43" s="360"/>
      <c r="CM43" s="360"/>
      <c r="CN43" s="360"/>
      <c r="CO43" s="360"/>
      <c r="CP43" s="360"/>
      <c r="CQ43" s="360"/>
      <c r="CR43" s="352"/>
      <c r="CS43" s="352"/>
      <c r="CT43" s="352"/>
      <c r="CU43" s="352"/>
      <c r="CV43" s="352"/>
      <c r="CW43" s="352"/>
      <c r="CX43" s="352"/>
      <c r="CY43" s="352"/>
      <c r="CZ43" s="352"/>
      <c r="DA43" s="352"/>
      <c r="DB43" s="352"/>
      <c r="DC43" s="352"/>
      <c r="DD43" s="352"/>
      <c r="DE43" s="7"/>
    </row>
    <row r="44" spans="1:133" ht="15" customHeight="1">
      <c r="A44" s="8"/>
      <c r="B44" s="356"/>
      <c r="C44" s="357"/>
      <c r="D44" s="357"/>
      <c r="E44" s="357"/>
      <c r="F44" s="357"/>
      <c r="G44" s="357"/>
      <c r="H44" s="358"/>
      <c r="I44" s="352"/>
      <c r="J44" s="352"/>
      <c r="K44" s="352"/>
      <c r="L44" s="352"/>
      <c r="M44" s="352"/>
      <c r="N44" s="352"/>
      <c r="O44" s="352"/>
      <c r="P44" s="352"/>
      <c r="Q44" s="352"/>
      <c r="R44" s="352"/>
      <c r="S44" s="352"/>
      <c r="T44" s="352"/>
      <c r="U44" s="352"/>
      <c r="V44" s="352"/>
      <c r="W44" s="360"/>
      <c r="X44" s="360"/>
      <c r="Y44" s="360"/>
      <c r="Z44" s="360"/>
      <c r="AA44" s="360"/>
      <c r="AB44" s="360"/>
      <c r="AC44" s="360"/>
      <c r="AD44" s="360"/>
      <c r="AE44" s="360"/>
      <c r="AF44" s="360"/>
      <c r="AG44" s="360"/>
      <c r="AH44" s="360"/>
      <c r="AI44" s="360"/>
      <c r="AJ44" s="360"/>
      <c r="AK44" s="360"/>
      <c r="AL44" s="360"/>
      <c r="AM44" s="360"/>
      <c r="AN44" s="360"/>
      <c r="AO44" s="360"/>
      <c r="AP44" s="360"/>
      <c r="AQ44" s="360"/>
      <c r="AR44" s="360"/>
      <c r="AS44" s="360"/>
      <c r="AT44" s="360"/>
      <c r="AU44" s="360"/>
      <c r="AV44" s="360"/>
      <c r="AW44" s="360"/>
      <c r="AX44" s="360"/>
      <c r="AY44" s="360"/>
      <c r="AZ44" s="360"/>
      <c r="BA44" s="360"/>
      <c r="BB44" s="360"/>
      <c r="BC44" s="360"/>
      <c r="BD44" s="360"/>
      <c r="BE44" s="360"/>
      <c r="BF44" s="360"/>
      <c r="BG44" s="360"/>
      <c r="BH44" s="360"/>
      <c r="BI44" s="360"/>
      <c r="BJ44" s="360"/>
      <c r="BK44" s="360"/>
      <c r="BL44" s="360"/>
      <c r="BM44" s="360"/>
      <c r="BN44" s="360"/>
      <c r="BO44" s="360"/>
      <c r="BP44" s="360"/>
      <c r="BQ44" s="360"/>
      <c r="BR44" s="360"/>
      <c r="BS44" s="360"/>
      <c r="BT44" s="360"/>
      <c r="BU44" s="360"/>
      <c r="BV44" s="360"/>
      <c r="BW44" s="360"/>
      <c r="BX44" s="360"/>
      <c r="BY44" s="360"/>
      <c r="BZ44" s="360"/>
      <c r="CA44" s="360"/>
      <c r="CB44" s="360"/>
      <c r="CC44" s="360"/>
      <c r="CD44" s="360"/>
      <c r="CE44" s="360"/>
      <c r="CF44" s="360"/>
      <c r="CG44" s="360"/>
      <c r="CH44" s="360"/>
      <c r="CI44" s="360"/>
      <c r="CJ44" s="360"/>
      <c r="CK44" s="360"/>
      <c r="CL44" s="360"/>
      <c r="CM44" s="360"/>
      <c r="CN44" s="360"/>
      <c r="CO44" s="360"/>
      <c r="CP44" s="360"/>
      <c r="CQ44" s="360"/>
      <c r="CR44" s="352"/>
      <c r="CS44" s="352"/>
      <c r="CT44" s="352"/>
      <c r="CU44" s="352"/>
      <c r="CV44" s="352"/>
      <c r="CW44" s="352"/>
      <c r="CX44" s="352"/>
      <c r="CY44" s="352"/>
      <c r="CZ44" s="352"/>
      <c r="DA44" s="352"/>
      <c r="DB44" s="352"/>
      <c r="DC44" s="352"/>
      <c r="DD44" s="352"/>
      <c r="DE44" s="7"/>
    </row>
    <row r="45" spans="1:133" ht="15" customHeight="1">
      <c r="A45" s="3"/>
      <c r="B45" s="382"/>
      <c r="C45" s="383"/>
      <c r="D45" s="383"/>
      <c r="E45" s="383"/>
      <c r="F45" s="383"/>
      <c r="G45" s="383"/>
      <c r="H45" s="384"/>
      <c r="I45" s="351"/>
      <c r="J45" s="351"/>
      <c r="K45" s="351"/>
      <c r="L45" s="351"/>
      <c r="M45" s="351"/>
      <c r="N45" s="351"/>
      <c r="O45" s="351"/>
      <c r="P45" s="351"/>
      <c r="Q45" s="351"/>
      <c r="R45" s="351"/>
      <c r="S45" s="351"/>
      <c r="T45" s="351"/>
      <c r="U45" s="351"/>
      <c r="V45" s="351"/>
      <c r="W45" s="359"/>
      <c r="X45" s="359"/>
      <c r="Y45" s="359"/>
      <c r="Z45" s="359"/>
      <c r="AA45" s="359"/>
      <c r="AB45" s="359"/>
      <c r="AC45" s="359"/>
      <c r="AD45" s="359"/>
      <c r="AE45" s="359"/>
      <c r="AF45" s="359"/>
      <c r="AG45" s="359"/>
      <c r="AH45" s="359"/>
      <c r="AI45" s="359"/>
      <c r="AJ45" s="359"/>
      <c r="AK45" s="359"/>
      <c r="AL45" s="359"/>
      <c r="AM45" s="359"/>
      <c r="AN45" s="359"/>
      <c r="AO45" s="359"/>
      <c r="AP45" s="359"/>
      <c r="AQ45" s="359"/>
      <c r="AR45" s="359"/>
      <c r="AS45" s="359"/>
      <c r="AT45" s="359"/>
      <c r="AU45" s="359"/>
      <c r="AV45" s="359"/>
      <c r="AW45" s="359"/>
      <c r="AX45" s="359"/>
      <c r="AY45" s="359"/>
      <c r="AZ45" s="359"/>
      <c r="BA45" s="359"/>
      <c r="BB45" s="359"/>
      <c r="BC45" s="359"/>
      <c r="BD45" s="359"/>
      <c r="BE45" s="359"/>
      <c r="BF45" s="359"/>
      <c r="BG45" s="359"/>
      <c r="BH45" s="359"/>
      <c r="BI45" s="359"/>
      <c r="BJ45" s="359"/>
      <c r="BK45" s="359"/>
      <c r="BL45" s="359"/>
      <c r="BM45" s="359"/>
      <c r="BN45" s="359"/>
      <c r="BO45" s="359"/>
      <c r="BP45" s="359"/>
      <c r="BQ45" s="359"/>
      <c r="BR45" s="359"/>
      <c r="BS45" s="359"/>
      <c r="BT45" s="359"/>
      <c r="BU45" s="359"/>
      <c r="BV45" s="359"/>
      <c r="BW45" s="359"/>
      <c r="BX45" s="359"/>
      <c r="BY45" s="359"/>
      <c r="BZ45" s="359"/>
      <c r="CA45" s="359"/>
      <c r="CB45" s="359"/>
      <c r="CC45" s="359"/>
      <c r="CD45" s="359"/>
      <c r="CE45" s="359"/>
      <c r="CF45" s="359"/>
      <c r="CG45" s="359"/>
      <c r="CH45" s="359"/>
      <c r="CI45" s="359"/>
      <c r="CJ45" s="359"/>
      <c r="CK45" s="359"/>
      <c r="CL45" s="359"/>
      <c r="CM45" s="359"/>
      <c r="CN45" s="359"/>
      <c r="CO45" s="359"/>
      <c r="CP45" s="359"/>
      <c r="CQ45" s="359"/>
      <c r="CR45" s="351"/>
      <c r="CS45" s="351"/>
      <c r="CT45" s="351"/>
      <c r="CU45" s="351"/>
      <c r="CV45" s="351"/>
      <c r="CW45" s="351"/>
      <c r="CX45" s="351"/>
      <c r="CY45" s="351"/>
      <c r="CZ45" s="351"/>
      <c r="DA45" s="351"/>
      <c r="DB45" s="351"/>
      <c r="DC45" s="351"/>
      <c r="DD45" s="351"/>
      <c r="DE45" s="7"/>
    </row>
    <row r="46" spans="1:133" ht="15" customHeight="1">
      <c r="A46" s="3"/>
      <c r="B46" s="385"/>
      <c r="C46" s="386"/>
      <c r="D46" s="386"/>
      <c r="E46" s="386"/>
      <c r="F46" s="386"/>
      <c r="G46" s="386"/>
      <c r="H46" s="387"/>
      <c r="I46" s="351"/>
      <c r="J46" s="351"/>
      <c r="K46" s="351"/>
      <c r="L46" s="351"/>
      <c r="M46" s="351"/>
      <c r="N46" s="351"/>
      <c r="O46" s="351"/>
      <c r="P46" s="351"/>
      <c r="Q46" s="351"/>
      <c r="R46" s="351"/>
      <c r="S46" s="351"/>
      <c r="T46" s="351"/>
      <c r="U46" s="351"/>
      <c r="V46" s="351"/>
      <c r="W46" s="359"/>
      <c r="X46" s="359"/>
      <c r="Y46" s="359"/>
      <c r="Z46" s="359"/>
      <c r="AA46" s="359"/>
      <c r="AB46" s="359"/>
      <c r="AC46" s="359"/>
      <c r="AD46" s="359"/>
      <c r="AE46" s="359"/>
      <c r="AF46" s="359"/>
      <c r="AG46" s="359"/>
      <c r="AH46" s="359"/>
      <c r="AI46" s="359"/>
      <c r="AJ46" s="359"/>
      <c r="AK46" s="359"/>
      <c r="AL46" s="359"/>
      <c r="AM46" s="359"/>
      <c r="AN46" s="359"/>
      <c r="AO46" s="359"/>
      <c r="AP46" s="359"/>
      <c r="AQ46" s="359"/>
      <c r="AR46" s="359"/>
      <c r="AS46" s="359"/>
      <c r="AT46" s="359"/>
      <c r="AU46" s="359"/>
      <c r="AV46" s="359"/>
      <c r="AW46" s="359"/>
      <c r="AX46" s="359"/>
      <c r="AY46" s="359"/>
      <c r="AZ46" s="359"/>
      <c r="BA46" s="359"/>
      <c r="BB46" s="359"/>
      <c r="BC46" s="359"/>
      <c r="BD46" s="359"/>
      <c r="BE46" s="359"/>
      <c r="BF46" s="359"/>
      <c r="BG46" s="359"/>
      <c r="BH46" s="359"/>
      <c r="BI46" s="359"/>
      <c r="BJ46" s="359"/>
      <c r="BK46" s="359"/>
      <c r="BL46" s="359"/>
      <c r="BM46" s="359"/>
      <c r="BN46" s="359"/>
      <c r="BO46" s="359"/>
      <c r="BP46" s="359"/>
      <c r="BQ46" s="359"/>
      <c r="BR46" s="359"/>
      <c r="BS46" s="359"/>
      <c r="BT46" s="359"/>
      <c r="BU46" s="359"/>
      <c r="BV46" s="359"/>
      <c r="BW46" s="359"/>
      <c r="BX46" s="359"/>
      <c r="BY46" s="359"/>
      <c r="BZ46" s="359"/>
      <c r="CA46" s="359"/>
      <c r="CB46" s="359"/>
      <c r="CC46" s="359"/>
      <c r="CD46" s="359"/>
      <c r="CE46" s="359"/>
      <c r="CF46" s="359"/>
      <c r="CG46" s="359"/>
      <c r="CH46" s="359"/>
      <c r="CI46" s="359"/>
      <c r="CJ46" s="359"/>
      <c r="CK46" s="359"/>
      <c r="CL46" s="359"/>
      <c r="CM46" s="359"/>
      <c r="CN46" s="359"/>
      <c r="CO46" s="359"/>
      <c r="CP46" s="359"/>
      <c r="CQ46" s="359"/>
      <c r="CR46" s="351"/>
      <c r="CS46" s="351"/>
      <c r="CT46" s="351"/>
      <c r="CU46" s="351"/>
      <c r="CV46" s="351"/>
      <c r="CW46" s="351"/>
      <c r="CX46" s="351"/>
      <c r="CY46" s="351"/>
      <c r="CZ46" s="351"/>
      <c r="DA46" s="351"/>
      <c r="DB46" s="351"/>
      <c r="DC46" s="351"/>
      <c r="DD46" s="351"/>
      <c r="DE46" s="7"/>
    </row>
    <row r="47" spans="1:133" ht="15" customHeight="1">
      <c r="A47" s="3"/>
      <c r="B47" s="353"/>
      <c r="C47" s="354"/>
      <c r="D47" s="354"/>
      <c r="E47" s="354"/>
      <c r="F47" s="354"/>
      <c r="G47" s="354"/>
      <c r="H47" s="355"/>
      <c r="I47" s="352"/>
      <c r="J47" s="352"/>
      <c r="K47" s="352"/>
      <c r="L47" s="352"/>
      <c r="M47" s="352"/>
      <c r="N47" s="352"/>
      <c r="O47" s="352"/>
      <c r="P47" s="352"/>
      <c r="Q47" s="352"/>
      <c r="R47" s="352"/>
      <c r="S47" s="352"/>
      <c r="T47" s="352"/>
      <c r="U47" s="352"/>
      <c r="V47" s="352"/>
      <c r="W47" s="360"/>
      <c r="X47" s="360"/>
      <c r="Y47" s="360"/>
      <c r="Z47" s="360"/>
      <c r="AA47" s="360"/>
      <c r="AB47" s="360"/>
      <c r="AC47" s="360"/>
      <c r="AD47" s="360"/>
      <c r="AE47" s="360"/>
      <c r="AF47" s="360"/>
      <c r="AG47" s="360"/>
      <c r="AH47" s="360"/>
      <c r="AI47" s="360"/>
      <c r="AJ47" s="360"/>
      <c r="AK47" s="360"/>
      <c r="AL47" s="360"/>
      <c r="AM47" s="360"/>
      <c r="AN47" s="360"/>
      <c r="AO47" s="360"/>
      <c r="AP47" s="360"/>
      <c r="AQ47" s="360"/>
      <c r="AR47" s="360"/>
      <c r="AS47" s="360"/>
      <c r="AT47" s="360"/>
      <c r="AU47" s="360"/>
      <c r="AV47" s="360"/>
      <c r="AW47" s="360"/>
      <c r="AX47" s="360"/>
      <c r="AY47" s="360"/>
      <c r="AZ47" s="360"/>
      <c r="BA47" s="360"/>
      <c r="BB47" s="360"/>
      <c r="BC47" s="360"/>
      <c r="BD47" s="360"/>
      <c r="BE47" s="360"/>
      <c r="BF47" s="360"/>
      <c r="BG47" s="360"/>
      <c r="BH47" s="360"/>
      <c r="BI47" s="360"/>
      <c r="BJ47" s="360"/>
      <c r="BK47" s="360"/>
      <c r="BL47" s="360"/>
      <c r="BM47" s="360"/>
      <c r="BN47" s="360"/>
      <c r="BO47" s="360"/>
      <c r="BP47" s="360"/>
      <c r="BQ47" s="360"/>
      <c r="BR47" s="360"/>
      <c r="BS47" s="360"/>
      <c r="BT47" s="360"/>
      <c r="BU47" s="360"/>
      <c r="BV47" s="360"/>
      <c r="BW47" s="360"/>
      <c r="BX47" s="360"/>
      <c r="BY47" s="360"/>
      <c r="BZ47" s="360"/>
      <c r="CA47" s="360"/>
      <c r="CB47" s="360"/>
      <c r="CC47" s="360"/>
      <c r="CD47" s="360"/>
      <c r="CE47" s="360"/>
      <c r="CF47" s="360"/>
      <c r="CG47" s="360"/>
      <c r="CH47" s="360"/>
      <c r="CI47" s="360"/>
      <c r="CJ47" s="360"/>
      <c r="CK47" s="360"/>
      <c r="CL47" s="360"/>
      <c r="CM47" s="360"/>
      <c r="CN47" s="360"/>
      <c r="CO47" s="360"/>
      <c r="CP47" s="360"/>
      <c r="CQ47" s="360"/>
      <c r="CR47" s="352"/>
      <c r="CS47" s="352"/>
      <c r="CT47" s="352"/>
      <c r="CU47" s="352"/>
      <c r="CV47" s="352"/>
      <c r="CW47" s="352"/>
      <c r="CX47" s="352"/>
      <c r="CY47" s="352"/>
      <c r="CZ47" s="352"/>
      <c r="DA47" s="352"/>
      <c r="DB47" s="352"/>
      <c r="DC47" s="352"/>
      <c r="DD47" s="352"/>
      <c r="DE47" s="24"/>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row>
    <row r="48" spans="1:133" ht="15" customHeight="1">
      <c r="A48" s="3"/>
      <c r="B48" s="356"/>
      <c r="C48" s="357"/>
      <c r="D48" s="357"/>
      <c r="E48" s="357"/>
      <c r="F48" s="357"/>
      <c r="G48" s="357"/>
      <c r="H48" s="358"/>
      <c r="I48" s="352"/>
      <c r="J48" s="352"/>
      <c r="K48" s="352"/>
      <c r="L48" s="352"/>
      <c r="M48" s="352"/>
      <c r="N48" s="352"/>
      <c r="O48" s="352"/>
      <c r="P48" s="352"/>
      <c r="Q48" s="352"/>
      <c r="R48" s="352"/>
      <c r="S48" s="352"/>
      <c r="T48" s="352"/>
      <c r="U48" s="352"/>
      <c r="V48" s="352"/>
      <c r="W48" s="360"/>
      <c r="X48" s="360"/>
      <c r="Y48" s="360"/>
      <c r="Z48" s="360"/>
      <c r="AA48" s="360"/>
      <c r="AB48" s="360"/>
      <c r="AC48" s="360"/>
      <c r="AD48" s="360"/>
      <c r="AE48" s="360"/>
      <c r="AF48" s="360"/>
      <c r="AG48" s="360"/>
      <c r="AH48" s="360"/>
      <c r="AI48" s="360"/>
      <c r="AJ48" s="360"/>
      <c r="AK48" s="360"/>
      <c r="AL48" s="360"/>
      <c r="AM48" s="360"/>
      <c r="AN48" s="360"/>
      <c r="AO48" s="360"/>
      <c r="AP48" s="360"/>
      <c r="AQ48" s="360"/>
      <c r="AR48" s="360"/>
      <c r="AS48" s="360"/>
      <c r="AT48" s="360"/>
      <c r="AU48" s="360"/>
      <c r="AV48" s="360"/>
      <c r="AW48" s="360"/>
      <c r="AX48" s="360"/>
      <c r="AY48" s="360"/>
      <c r="AZ48" s="360"/>
      <c r="BA48" s="360"/>
      <c r="BB48" s="360"/>
      <c r="BC48" s="360"/>
      <c r="BD48" s="360"/>
      <c r="BE48" s="360"/>
      <c r="BF48" s="360"/>
      <c r="BG48" s="360"/>
      <c r="BH48" s="360"/>
      <c r="BI48" s="360"/>
      <c r="BJ48" s="360"/>
      <c r="BK48" s="360"/>
      <c r="BL48" s="360"/>
      <c r="BM48" s="360"/>
      <c r="BN48" s="360"/>
      <c r="BO48" s="360"/>
      <c r="BP48" s="360"/>
      <c r="BQ48" s="360"/>
      <c r="BR48" s="360"/>
      <c r="BS48" s="360"/>
      <c r="BT48" s="360"/>
      <c r="BU48" s="360"/>
      <c r="BV48" s="360"/>
      <c r="BW48" s="360"/>
      <c r="BX48" s="360"/>
      <c r="BY48" s="360"/>
      <c r="BZ48" s="360"/>
      <c r="CA48" s="360"/>
      <c r="CB48" s="360"/>
      <c r="CC48" s="360"/>
      <c r="CD48" s="360"/>
      <c r="CE48" s="360"/>
      <c r="CF48" s="360"/>
      <c r="CG48" s="360"/>
      <c r="CH48" s="360"/>
      <c r="CI48" s="360"/>
      <c r="CJ48" s="360"/>
      <c r="CK48" s="360"/>
      <c r="CL48" s="360"/>
      <c r="CM48" s="360"/>
      <c r="CN48" s="360"/>
      <c r="CO48" s="360"/>
      <c r="CP48" s="360"/>
      <c r="CQ48" s="360"/>
      <c r="CR48" s="352"/>
      <c r="CS48" s="352"/>
      <c r="CT48" s="352"/>
      <c r="CU48" s="352"/>
      <c r="CV48" s="352"/>
      <c r="CW48" s="352"/>
      <c r="CX48" s="352"/>
      <c r="CY48" s="352"/>
      <c r="CZ48" s="352"/>
      <c r="DA48" s="352"/>
      <c r="DB48" s="352"/>
      <c r="DC48" s="352"/>
      <c r="DD48" s="352"/>
      <c r="DE48" s="7"/>
    </row>
    <row r="49" spans="1:109" ht="15" hidden="1" customHeight="1">
      <c r="A49" s="3"/>
      <c r="B49" s="382"/>
      <c r="C49" s="383"/>
      <c r="D49" s="383"/>
      <c r="E49" s="383"/>
      <c r="F49" s="383"/>
      <c r="G49" s="383"/>
      <c r="H49" s="384"/>
      <c r="I49" s="351"/>
      <c r="J49" s="351"/>
      <c r="K49" s="351"/>
      <c r="L49" s="351"/>
      <c r="M49" s="351"/>
      <c r="N49" s="351"/>
      <c r="O49" s="351"/>
      <c r="P49" s="351"/>
      <c r="Q49" s="351"/>
      <c r="R49" s="351"/>
      <c r="S49" s="351"/>
      <c r="T49" s="351"/>
      <c r="U49" s="351"/>
      <c r="V49" s="351"/>
      <c r="W49" s="359"/>
      <c r="X49" s="359"/>
      <c r="Y49" s="359"/>
      <c r="Z49" s="359"/>
      <c r="AA49" s="359"/>
      <c r="AB49" s="359"/>
      <c r="AC49" s="359"/>
      <c r="AD49" s="359"/>
      <c r="AE49" s="359"/>
      <c r="AF49" s="359"/>
      <c r="AG49" s="359"/>
      <c r="AH49" s="359"/>
      <c r="AI49" s="359"/>
      <c r="AJ49" s="359"/>
      <c r="AK49" s="359"/>
      <c r="AL49" s="359"/>
      <c r="AM49" s="359"/>
      <c r="AN49" s="359"/>
      <c r="AO49" s="359"/>
      <c r="AP49" s="359"/>
      <c r="AQ49" s="359"/>
      <c r="AR49" s="359"/>
      <c r="AS49" s="359"/>
      <c r="AT49" s="359"/>
      <c r="AU49" s="359"/>
      <c r="AV49" s="359"/>
      <c r="AW49" s="359"/>
      <c r="AX49" s="359"/>
      <c r="AY49" s="359"/>
      <c r="AZ49" s="359"/>
      <c r="BA49" s="359"/>
      <c r="BB49" s="359"/>
      <c r="BC49" s="359"/>
      <c r="BD49" s="359"/>
      <c r="BE49" s="359"/>
      <c r="BF49" s="359"/>
      <c r="BG49" s="359"/>
      <c r="BH49" s="359"/>
      <c r="BI49" s="359"/>
      <c r="BJ49" s="359"/>
      <c r="BK49" s="359"/>
      <c r="BL49" s="359"/>
      <c r="BM49" s="359"/>
      <c r="BN49" s="359"/>
      <c r="BO49" s="359"/>
      <c r="BP49" s="359"/>
      <c r="BQ49" s="359"/>
      <c r="BR49" s="359"/>
      <c r="BS49" s="359"/>
      <c r="BT49" s="359"/>
      <c r="BU49" s="359"/>
      <c r="BV49" s="359"/>
      <c r="BW49" s="359"/>
      <c r="BX49" s="359"/>
      <c r="BY49" s="359"/>
      <c r="BZ49" s="359"/>
      <c r="CA49" s="359"/>
      <c r="CB49" s="359"/>
      <c r="CC49" s="359"/>
      <c r="CD49" s="359"/>
      <c r="CE49" s="359"/>
      <c r="CF49" s="359"/>
      <c r="CG49" s="359"/>
      <c r="CH49" s="359"/>
      <c r="CI49" s="359"/>
      <c r="CJ49" s="359"/>
      <c r="CK49" s="359"/>
      <c r="CL49" s="359"/>
      <c r="CM49" s="359"/>
      <c r="CN49" s="359"/>
      <c r="CO49" s="359"/>
      <c r="CP49" s="359"/>
      <c r="CQ49" s="359"/>
      <c r="CR49" s="351"/>
      <c r="CS49" s="351"/>
      <c r="CT49" s="351"/>
      <c r="CU49" s="351"/>
      <c r="CV49" s="351"/>
      <c r="CW49" s="351"/>
      <c r="CX49" s="351"/>
      <c r="CY49" s="351"/>
      <c r="CZ49" s="351"/>
      <c r="DA49" s="351"/>
      <c r="DB49" s="351"/>
      <c r="DC49" s="351"/>
      <c r="DD49" s="351"/>
      <c r="DE49" s="7"/>
    </row>
    <row r="50" spans="1:109" ht="15" hidden="1" customHeight="1">
      <c r="A50" s="6"/>
      <c r="B50" s="385"/>
      <c r="C50" s="386"/>
      <c r="D50" s="386"/>
      <c r="E50" s="386"/>
      <c r="F50" s="386"/>
      <c r="G50" s="386"/>
      <c r="H50" s="387"/>
      <c r="I50" s="351"/>
      <c r="J50" s="351"/>
      <c r="K50" s="351"/>
      <c r="L50" s="351"/>
      <c r="M50" s="351"/>
      <c r="N50" s="351"/>
      <c r="O50" s="351"/>
      <c r="P50" s="351"/>
      <c r="Q50" s="351"/>
      <c r="R50" s="351"/>
      <c r="S50" s="351"/>
      <c r="T50" s="351"/>
      <c r="U50" s="351"/>
      <c r="V50" s="351"/>
      <c r="W50" s="359"/>
      <c r="X50" s="359"/>
      <c r="Y50" s="359"/>
      <c r="Z50" s="359"/>
      <c r="AA50" s="359"/>
      <c r="AB50" s="359"/>
      <c r="AC50" s="359"/>
      <c r="AD50" s="359"/>
      <c r="AE50" s="359"/>
      <c r="AF50" s="359"/>
      <c r="AG50" s="359"/>
      <c r="AH50" s="359"/>
      <c r="AI50" s="359"/>
      <c r="AJ50" s="359"/>
      <c r="AK50" s="359"/>
      <c r="AL50" s="359"/>
      <c r="AM50" s="359"/>
      <c r="AN50" s="359"/>
      <c r="AO50" s="359"/>
      <c r="AP50" s="359"/>
      <c r="AQ50" s="359"/>
      <c r="AR50" s="359"/>
      <c r="AS50" s="359"/>
      <c r="AT50" s="359"/>
      <c r="AU50" s="359"/>
      <c r="AV50" s="359"/>
      <c r="AW50" s="359"/>
      <c r="AX50" s="359"/>
      <c r="AY50" s="359"/>
      <c r="AZ50" s="359"/>
      <c r="BA50" s="359"/>
      <c r="BB50" s="359"/>
      <c r="BC50" s="359"/>
      <c r="BD50" s="359"/>
      <c r="BE50" s="359"/>
      <c r="BF50" s="359"/>
      <c r="BG50" s="359"/>
      <c r="BH50" s="359"/>
      <c r="BI50" s="359"/>
      <c r="BJ50" s="359"/>
      <c r="BK50" s="359"/>
      <c r="BL50" s="359"/>
      <c r="BM50" s="359"/>
      <c r="BN50" s="359"/>
      <c r="BO50" s="359"/>
      <c r="BP50" s="359"/>
      <c r="BQ50" s="359"/>
      <c r="BR50" s="359"/>
      <c r="BS50" s="359"/>
      <c r="BT50" s="359"/>
      <c r="BU50" s="359"/>
      <c r="BV50" s="359"/>
      <c r="BW50" s="359"/>
      <c r="BX50" s="359"/>
      <c r="BY50" s="359"/>
      <c r="BZ50" s="359"/>
      <c r="CA50" s="359"/>
      <c r="CB50" s="359"/>
      <c r="CC50" s="359"/>
      <c r="CD50" s="359"/>
      <c r="CE50" s="359"/>
      <c r="CF50" s="359"/>
      <c r="CG50" s="359"/>
      <c r="CH50" s="359"/>
      <c r="CI50" s="359"/>
      <c r="CJ50" s="359"/>
      <c r="CK50" s="359"/>
      <c r="CL50" s="359"/>
      <c r="CM50" s="359"/>
      <c r="CN50" s="359"/>
      <c r="CO50" s="359"/>
      <c r="CP50" s="359"/>
      <c r="CQ50" s="359"/>
      <c r="CR50" s="351"/>
      <c r="CS50" s="351"/>
      <c r="CT50" s="351"/>
      <c r="CU50" s="351"/>
      <c r="CV50" s="351"/>
      <c r="CW50" s="351"/>
      <c r="CX50" s="351"/>
      <c r="CY50" s="351"/>
      <c r="CZ50" s="351"/>
      <c r="DA50" s="351"/>
      <c r="DB50" s="351"/>
      <c r="DC50" s="351"/>
      <c r="DD50" s="351"/>
      <c r="DE50" s="7"/>
    </row>
    <row r="51" spans="1:109" ht="15" customHeight="1">
      <c r="A51" s="8"/>
      <c r="B51" s="418"/>
      <c r="C51" s="419"/>
      <c r="D51" s="419"/>
      <c r="E51" s="419"/>
      <c r="F51" s="419"/>
      <c r="G51" s="419"/>
      <c r="H51" s="420"/>
      <c r="I51" s="414"/>
      <c r="J51" s="414"/>
      <c r="K51" s="414"/>
      <c r="L51" s="414"/>
      <c r="M51" s="414"/>
      <c r="N51" s="414"/>
      <c r="O51" s="414"/>
      <c r="P51" s="414"/>
      <c r="Q51" s="414"/>
      <c r="R51" s="414"/>
      <c r="S51" s="414"/>
      <c r="T51" s="414"/>
      <c r="U51" s="414"/>
      <c r="V51" s="414"/>
      <c r="W51" s="414"/>
      <c r="X51" s="414"/>
      <c r="Y51" s="414"/>
      <c r="Z51" s="414"/>
      <c r="AA51" s="414"/>
      <c r="AB51" s="414"/>
      <c r="AC51" s="414"/>
      <c r="AD51" s="414"/>
      <c r="AE51" s="414"/>
      <c r="AF51" s="414"/>
      <c r="AG51" s="414"/>
      <c r="AH51" s="414"/>
      <c r="AI51" s="414"/>
      <c r="AJ51" s="414"/>
      <c r="AK51" s="414"/>
      <c r="AL51" s="414"/>
      <c r="AM51" s="414"/>
      <c r="AN51" s="414"/>
      <c r="AO51" s="414"/>
      <c r="AP51" s="414"/>
      <c r="AQ51" s="414"/>
      <c r="AR51" s="414"/>
      <c r="AS51" s="414"/>
      <c r="AT51" s="414"/>
      <c r="AU51" s="414"/>
      <c r="AV51" s="414"/>
      <c r="AW51" s="414"/>
      <c r="AX51" s="414"/>
      <c r="AY51" s="414"/>
      <c r="AZ51" s="414"/>
      <c r="BA51" s="414"/>
      <c r="BB51" s="414"/>
      <c r="BC51" s="414"/>
      <c r="BD51" s="414"/>
      <c r="BE51" s="414"/>
      <c r="BF51" s="414"/>
      <c r="BG51" s="414"/>
      <c r="BH51" s="414"/>
      <c r="BI51" s="414"/>
      <c r="BJ51" s="414"/>
      <c r="BK51" s="414"/>
      <c r="BL51" s="414"/>
      <c r="BM51" s="414"/>
      <c r="BN51" s="414"/>
      <c r="BO51" s="414"/>
      <c r="BP51" s="414"/>
      <c r="BQ51" s="414"/>
      <c r="BR51" s="414"/>
      <c r="BS51" s="414"/>
      <c r="BT51" s="414"/>
      <c r="BU51" s="414"/>
      <c r="BV51" s="414"/>
      <c r="BW51" s="414"/>
      <c r="BX51" s="414"/>
      <c r="BY51" s="414"/>
      <c r="BZ51" s="414"/>
      <c r="CA51" s="414"/>
      <c r="CB51" s="414"/>
      <c r="CC51" s="414"/>
      <c r="CD51" s="414"/>
      <c r="CE51" s="414"/>
      <c r="CF51" s="414"/>
      <c r="CG51" s="414"/>
      <c r="CH51" s="414"/>
      <c r="CI51" s="414"/>
      <c r="CJ51" s="414"/>
      <c r="CK51" s="414"/>
      <c r="CL51" s="414"/>
      <c r="CM51" s="352"/>
      <c r="CN51" s="352"/>
      <c r="CO51" s="352"/>
      <c r="CP51" s="352"/>
      <c r="CQ51" s="352"/>
      <c r="CR51" s="352"/>
      <c r="CS51" s="352"/>
      <c r="CT51" s="352"/>
      <c r="CU51" s="352"/>
      <c r="CV51" s="352"/>
      <c r="CW51" s="352"/>
      <c r="CX51" s="352"/>
      <c r="CY51" s="352"/>
      <c r="CZ51" s="352"/>
      <c r="DA51" s="352"/>
      <c r="DB51" s="352"/>
      <c r="DC51" s="352"/>
      <c r="DD51" s="352"/>
      <c r="DE51" s="7"/>
    </row>
    <row r="52" spans="1:109" ht="15" customHeight="1">
      <c r="A52" s="8"/>
      <c r="B52" s="421"/>
      <c r="C52" s="422"/>
      <c r="D52" s="422"/>
      <c r="E52" s="422"/>
      <c r="F52" s="422"/>
      <c r="G52" s="422"/>
      <c r="H52" s="423"/>
      <c r="I52" s="414"/>
      <c r="J52" s="414"/>
      <c r="K52" s="414"/>
      <c r="L52" s="414"/>
      <c r="M52" s="414"/>
      <c r="N52" s="414"/>
      <c r="O52" s="414"/>
      <c r="P52" s="414"/>
      <c r="Q52" s="414"/>
      <c r="R52" s="414"/>
      <c r="S52" s="414"/>
      <c r="T52" s="414"/>
      <c r="U52" s="414"/>
      <c r="V52" s="414"/>
      <c r="W52" s="414"/>
      <c r="X52" s="414"/>
      <c r="Y52" s="414"/>
      <c r="Z52" s="414"/>
      <c r="AA52" s="414"/>
      <c r="AB52" s="414"/>
      <c r="AC52" s="414"/>
      <c r="AD52" s="414"/>
      <c r="AE52" s="414"/>
      <c r="AF52" s="414"/>
      <c r="AG52" s="414"/>
      <c r="AH52" s="414"/>
      <c r="AI52" s="414"/>
      <c r="AJ52" s="414"/>
      <c r="AK52" s="414"/>
      <c r="AL52" s="414"/>
      <c r="AM52" s="414"/>
      <c r="AN52" s="414"/>
      <c r="AO52" s="414"/>
      <c r="AP52" s="414"/>
      <c r="AQ52" s="414"/>
      <c r="AR52" s="414"/>
      <c r="AS52" s="414"/>
      <c r="AT52" s="414"/>
      <c r="AU52" s="414"/>
      <c r="AV52" s="414"/>
      <c r="AW52" s="414"/>
      <c r="AX52" s="414"/>
      <c r="AY52" s="414"/>
      <c r="AZ52" s="414"/>
      <c r="BA52" s="414"/>
      <c r="BB52" s="414"/>
      <c r="BC52" s="414"/>
      <c r="BD52" s="414"/>
      <c r="BE52" s="414"/>
      <c r="BF52" s="414"/>
      <c r="BG52" s="414"/>
      <c r="BH52" s="414"/>
      <c r="BI52" s="414"/>
      <c r="BJ52" s="414"/>
      <c r="BK52" s="414"/>
      <c r="BL52" s="414"/>
      <c r="BM52" s="414"/>
      <c r="BN52" s="414"/>
      <c r="BO52" s="414"/>
      <c r="BP52" s="414"/>
      <c r="BQ52" s="414"/>
      <c r="BR52" s="414"/>
      <c r="BS52" s="414"/>
      <c r="BT52" s="414"/>
      <c r="BU52" s="414"/>
      <c r="BV52" s="414"/>
      <c r="BW52" s="414"/>
      <c r="BX52" s="414"/>
      <c r="BY52" s="414"/>
      <c r="BZ52" s="414"/>
      <c r="CA52" s="414"/>
      <c r="CB52" s="414"/>
      <c r="CC52" s="414"/>
      <c r="CD52" s="414"/>
      <c r="CE52" s="414"/>
      <c r="CF52" s="414"/>
      <c r="CG52" s="414"/>
      <c r="CH52" s="414"/>
      <c r="CI52" s="414"/>
      <c r="CJ52" s="414"/>
      <c r="CK52" s="414"/>
      <c r="CL52" s="414"/>
      <c r="CM52" s="352"/>
      <c r="CN52" s="352"/>
      <c r="CO52" s="352"/>
      <c r="CP52" s="352"/>
      <c r="CQ52" s="352"/>
      <c r="CR52" s="352"/>
      <c r="CS52" s="352"/>
      <c r="CT52" s="352"/>
      <c r="CU52" s="352"/>
      <c r="CV52" s="352"/>
      <c r="CW52" s="352"/>
      <c r="CX52" s="352"/>
      <c r="CY52" s="352"/>
      <c r="CZ52" s="352"/>
      <c r="DA52" s="352"/>
      <c r="DB52" s="352"/>
      <c r="DC52" s="352"/>
      <c r="DD52" s="352"/>
      <c r="DE52" s="7"/>
    </row>
    <row r="53" spans="1:109" ht="15" customHeight="1">
      <c r="A53" s="3"/>
      <c r="B53" s="424"/>
      <c r="C53" s="425"/>
      <c r="D53" s="425"/>
      <c r="E53" s="425"/>
      <c r="F53" s="425"/>
      <c r="G53" s="425"/>
      <c r="H53" s="426"/>
      <c r="I53" s="415"/>
      <c r="J53" s="415"/>
      <c r="K53" s="415"/>
      <c r="L53" s="415"/>
      <c r="M53" s="415"/>
      <c r="N53" s="415"/>
      <c r="O53" s="415"/>
      <c r="P53" s="415"/>
      <c r="Q53" s="415"/>
      <c r="R53" s="415"/>
      <c r="S53" s="415"/>
      <c r="T53" s="415"/>
      <c r="U53" s="415"/>
      <c r="V53" s="415"/>
      <c r="W53" s="415"/>
      <c r="X53" s="415"/>
      <c r="Y53" s="415"/>
      <c r="Z53" s="415"/>
      <c r="AA53" s="415"/>
      <c r="AB53" s="415"/>
      <c r="AC53" s="415"/>
      <c r="AD53" s="415"/>
      <c r="AE53" s="415"/>
      <c r="AF53" s="415"/>
      <c r="AG53" s="415"/>
      <c r="AH53" s="415"/>
      <c r="AI53" s="415"/>
      <c r="AJ53" s="415"/>
      <c r="AK53" s="415"/>
      <c r="AL53" s="415"/>
      <c r="AM53" s="415"/>
      <c r="AN53" s="415"/>
      <c r="AO53" s="415"/>
      <c r="AP53" s="415"/>
      <c r="AQ53" s="415"/>
      <c r="AR53" s="415"/>
      <c r="AS53" s="415"/>
      <c r="AT53" s="415"/>
      <c r="AU53" s="415"/>
      <c r="AV53" s="415"/>
      <c r="AW53" s="415"/>
      <c r="AX53" s="415"/>
      <c r="AY53" s="415"/>
      <c r="AZ53" s="415"/>
      <c r="BA53" s="415"/>
      <c r="BB53" s="415"/>
      <c r="BC53" s="415"/>
      <c r="BD53" s="415"/>
      <c r="BE53" s="415"/>
      <c r="BF53" s="415"/>
      <c r="BG53" s="415"/>
      <c r="BH53" s="415"/>
      <c r="BI53" s="415"/>
      <c r="BJ53" s="415"/>
      <c r="BK53" s="415"/>
      <c r="BL53" s="415"/>
      <c r="BM53" s="415"/>
      <c r="BN53" s="415"/>
      <c r="BO53" s="415"/>
      <c r="BP53" s="415"/>
      <c r="BQ53" s="415"/>
      <c r="BR53" s="415"/>
      <c r="BS53" s="415"/>
      <c r="BT53" s="415"/>
      <c r="BU53" s="415"/>
      <c r="BV53" s="415"/>
      <c r="BW53" s="415"/>
      <c r="BX53" s="415"/>
      <c r="BY53" s="415"/>
      <c r="BZ53" s="415"/>
      <c r="CA53" s="415"/>
      <c r="CB53" s="415"/>
      <c r="CC53" s="415"/>
      <c r="CD53" s="415"/>
      <c r="CE53" s="415"/>
      <c r="CF53" s="415"/>
      <c r="CG53" s="415"/>
      <c r="CH53" s="415"/>
      <c r="CI53" s="415"/>
      <c r="CJ53" s="415"/>
      <c r="CK53" s="415"/>
      <c r="CL53" s="415"/>
      <c r="CM53" s="351"/>
      <c r="CN53" s="351"/>
      <c r="CO53" s="351"/>
      <c r="CP53" s="351"/>
      <c r="CQ53" s="351"/>
      <c r="CR53" s="351"/>
      <c r="CS53" s="351"/>
      <c r="CT53" s="351"/>
      <c r="CU53" s="351"/>
      <c r="CV53" s="351"/>
      <c r="CW53" s="351"/>
      <c r="CX53" s="351"/>
      <c r="CY53" s="351"/>
      <c r="CZ53" s="351"/>
      <c r="DA53" s="351"/>
      <c r="DB53" s="351"/>
      <c r="DC53" s="351"/>
      <c r="DD53" s="351"/>
      <c r="DE53" s="7"/>
    </row>
    <row r="54" spans="1:109" ht="15" customHeight="1">
      <c r="A54" s="3"/>
      <c r="B54" s="427"/>
      <c r="C54" s="428"/>
      <c r="D54" s="428"/>
      <c r="E54" s="428"/>
      <c r="F54" s="428"/>
      <c r="G54" s="428"/>
      <c r="H54" s="429"/>
      <c r="I54" s="415"/>
      <c r="J54" s="415"/>
      <c r="K54" s="415"/>
      <c r="L54" s="415"/>
      <c r="M54" s="415"/>
      <c r="N54" s="415"/>
      <c r="O54" s="415"/>
      <c r="P54" s="415"/>
      <c r="Q54" s="415"/>
      <c r="R54" s="415"/>
      <c r="S54" s="415"/>
      <c r="T54" s="415"/>
      <c r="U54" s="415"/>
      <c r="V54" s="415"/>
      <c r="W54" s="415"/>
      <c r="X54" s="415"/>
      <c r="Y54" s="415"/>
      <c r="Z54" s="415"/>
      <c r="AA54" s="415"/>
      <c r="AB54" s="415"/>
      <c r="AC54" s="415"/>
      <c r="AD54" s="415"/>
      <c r="AE54" s="415"/>
      <c r="AF54" s="415"/>
      <c r="AG54" s="415"/>
      <c r="AH54" s="415"/>
      <c r="AI54" s="415"/>
      <c r="AJ54" s="415"/>
      <c r="AK54" s="415"/>
      <c r="AL54" s="415"/>
      <c r="AM54" s="415"/>
      <c r="AN54" s="415"/>
      <c r="AO54" s="415"/>
      <c r="AP54" s="415"/>
      <c r="AQ54" s="415"/>
      <c r="AR54" s="415"/>
      <c r="AS54" s="415"/>
      <c r="AT54" s="415"/>
      <c r="AU54" s="415"/>
      <c r="AV54" s="415"/>
      <c r="AW54" s="415"/>
      <c r="AX54" s="415"/>
      <c r="AY54" s="415"/>
      <c r="AZ54" s="415"/>
      <c r="BA54" s="415"/>
      <c r="BB54" s="415"/>
      <c r="BC54" s="415"/>
      <c r="BD54" s="415"/>
      <c r="BE54" s="415"/>
      <c r="BF54" s="415"/>
      <c r="BG54" s="415"/>
      <c r="BH54" s="415"/>
      <c r="BI54" s="415"/>
      <c r="BJ54" s="415"/>
      <c r="BK54" s="415"/>
      <c r="BL54" s="415"/>
      <c r="BM54" s="415"/>
      <c r="BN54" s="415"/>
      <c r="BO54" s="415"/>
      <c r="BP54" s="415"/>
      <c r="BQ54" s="415"/>
      <c r="BR54" s="415"/>
      <c r="BS54" s="415"/>
      <c r="BT54" s="415"/>
      <c r="BU54" s="415"/>
      <c r="BV54" s="415"/>
      <c r="BW54" s="415"/>
      <c r="BX54" s="415"/>
      <c r="BY54" s="415"/>
      <c r="BZ54" s="415"/>
      <c r="CA54" s="415"/>
      <c r="CB54" s="415"/>
      <c r="CC54" s="415"/>
      <c r="CD54" s="415"/>
      <c r="CE54" s="415"/>
      <c r="CF54" s="415"/>
      <c r="CG54" s="415"/>
      <c r="CH54" s="415"/>
      <c r="CI54" s="415"/>
      <c r="CJ54" s="415"/>
      <c r="CK54" s="415"/>
      <c r="CL54" s="415"/>
      <c r="CM54" s="351"/>
      <c r="CN54" s="351"/>
      <c r="CO54" s="351"/>
      <c r="CP54" s="351"/>
      <c r="CQ54" s="351"/>
      <c r="CR54" s="351"/>
      <c r="CS54" s="351"/>
      <c r="CT54" s="351"/>
      <c r="CU54" s="351"/>
      <c r="CV54" s="351"/>
      <c r="CW54" s="351"/>
      <c r="CX54" s="351"/>
      <c r="CY54" s="351"/>
      <c r="CZ54" s="351"/>
      <c r="DA54" s="351"/>
      <c r="DB54" s="351"/>
      <c r="DC54" s="351"/>
      <c r="DD54" s="351"/>
      <c r="DE54" s="7"/>
    </row>
    <row r="55" spans="1:109" ht="15" customHeight="1" thickBot="1">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4"/>
    </row>
    <row r="56" spans="1:109" ht="15" customHeight="1">
      <c r="A56" s="388"/>
      <c r="B56" s="389"/>
      <c r="C56" s="389"/>
      <c r="D56" s="389"/>
      <c r="E56" s="389"/>
      <c r="F56" s="389"/>
      <c r="G56" s="389"/>
      <c r="H56" s="389"/>
      <c r="I56" s="389"/>
      <c r="J56" s="389"/>
      <c r="K56" s="389"/>
      <c r="L56" s="389"/>
      <c r="M56" s="389"/>
      <c r="N56" s="389"/>
      <c r="O56" s="389"/>
      <c r="P56" s="389"/>
      <c r="Q56" s="389"/>
      <c r="R56" s="389"/>
      <c r="S56" s="389"/>
      <c r="T56" s="389"/>
      <c r="U56" s="389"/>
      <c r="V56" s="389"/>
      <c r="W56" s="389"/>
      <c r="X56" s="389"/>
      <c r="Y56" s="389"/>
      <c r="Z56" s="389"/>
      <c r="AA56" s="389"/>
      <c r="AB56" s="389"/>
      <c r="AC56" s="389"/>
      <c r="AD56" s="389"/>
      <c r="AE56" s="389"/>
      <c r="AF56" s="389"/>
      <c r="AG56" s="389"/>
      <c r="AH56" s="389"/>
      <c r="AI56" s="389"/>
      <c r="AJ56" s="389"/>
      <c r="AK56" s="389"/>
      <c r="AL56" s="389"/>
      <c r="AM56" s="389"/>
      <c r="AN56" s="389"/>
      <c r="AO56" s="389"/>
      <c r="AP56" s="389"/>
      <c r="AQ56" s="389"/>
      <c r="AR56" s="389"/>
      <c r="AS56" s="389"/>
      <c r="AT56" s="389"/>
      <c r="AU56" s="389"/>
      <c r="AV56" s="389"/>
      <c r="AW56" s="389"/>
      <c r="AX56" s="389"/>
      <c r="AY56" s="389"/>
      <c r="AZ56" s="389"/>
      <c r="BA56" s="389"/>
      <c r="BB56" s="389"/>
      <c r="BC56" s="389"/>
      <c r="BD56" s="389"/>
      <c r="BE56" s="389"/>
      <c r="BF56" s="389"/>
      <c r="BG56" s="389"/>
      <c r="BH56" s="389"/>
      <c r="BI56" s="389"/>
      <c r="BJ56" s="389"/>
      <c r="BK56" s="389"/>
      <c r="BL56" s="389"/>
      <c r="BM56" s="389"/>
      <c r="BN56" s="389"/>
      <c r="BO56" s="389"/>
      <c r="BP56" s="389"/>
      <c r="BQ56" s="389"/>
      <c r="BR56" s="389"/>
      <c r="BS56" s="389"/>
      <c r="BT56" s="389"/>
      <c r="BU56" s="389"/>
      <c r="BV56" s="389"/>
      <c r="BW56" s="389"/>
      <c r="BX56" s="389"/>
      <c r="BY56" s="389"/>
      <c r="BZ56" s="389"/>
      <c r="CA56" s="389"/>
      <c r="CB56" s="389"/>
      <c r="CC56" s="389"/>
      <c r="CD56" s="389"/>
      <c r="CE56" s="389"/>
      <c r="CF56" s="389"/>
      <c r="CG56" s="389"/>
      <c r="CH56" s="389"/>
      <c r="CI56" s="389"/>
      <c r="CJ56" s="389"/>
      <c r="CK56" s="389"/>
      <c r="CL56" s="389"/>
      <c r="CM56" s="389"/>
      <c r="CN56" s="389"/>
      <c r="CO56" s="389"/>
      <c r="CP56" s="389"/>
      <c r="CQ56" s="389"/>
      <c r="CR56" s="389"/>
      <c r="CS56" s="389"/>
      <c r="CT56" s="389"/>
      <c r="CU56" s="389"/>
      <c r="CV56" s="361" t="s">
        <v>1</v>
      </c>
      <c r="CW56" s="361"/>
      <c r="CX56" s="361"/>
      <c r="CY56" s="361"/>
      <c r="CZ56" s="361"/>
      <c r="DA56" s="361"/>
      <c r="DB56" s="361"/>
      <c r="DC56" s="361"/>
      <c r="DD56" s="361"/>
      <c r="DE56" s="362"/>
    </row>
    <row r="57" spans="1:109" ht="15" customHeight="1">
      <c r="A57" s="390"/>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c r="BQ57" s="391"/>
      <c r="BR57" s="391"/>
      <c r="BS57" s="391"/>
      <c r="BT57" s="391"/>
      <c r="BU57" s="391"/>
      <c r="BV57" s="391"/>
      <c r="BW57" s="391"/>
      <c r="BX57" s="391"/>
      <c r="BY57" s="391"/>
      <c r="BZ57" s="391"/>
      <c r="CA57" s="391"/>
      <c r="CB57" s="391"/>
      <c r="CC57" s="391"/>
      <c r="CD57" s="391"/>
      <c r="CE57" s="391"/>
      <c r="CF57" s="391"/>
      <c r="CG57" s="391"/>
      <c r="CH57" s="391"/>
      <c r="CI57" s="391"/>
      <c r="CJ57" s="391"/>
      <c r="CK57" s="391"/>
      <c r="CL57" s="391"/>
      <c r="CM57" s="391"/>
      <c r="CN57" s="391"/>
      <c r="CO57" s="391"/>
      <c r="CP57" s="391"/>
      <c r="CQ57" s="391"/>
      <c r="CR57" s="391"/>
      <c r="CS57" s="391"/>
      <c r="CT57" s="391"/>
      <c r="CU57" s="391"/>
      <c r="CV57" s="363"/>
      <c r="CW57" s="363"/>
      <c r="CX57" s="363"/>
      <c r="CY57" s="363"/>
      <c r="CZ57" s="363"/>
      <c r="DA57" s="363"/>
      <c r="DB57" s="363"/>
      <c r="DC57" s="363"/>
      <c r="DD57" s="363"/>
      <c r="DE57" s="364"/>
    </row>
    <row r="58" spans="1:109" ht="15" customHeight="1">
      <c r="A58" s="390"/>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1"/>
      <c r="CG58" s="391"/>
      <c r="CH58" s="391"/>
      <c r="CI58" s="391"/>
      <c r="CJ58" s="391"/>
      <c r="CK58" s="391"/>
      <c r="CL58" s="391"/>
      <c r="CM58" s="391"/>
      <c r="CN58" s="391"/>
      <c r="CO58" s="391"/>
      <c r="CP58" s="391"/>
      <c r="CQ58" s="391"/>
      <c r="CR58" s="391"/>
      <c r="CS58" s="391"/>
      <c r="CT58" s="391"/>
      <c r="CU58" s="391"/>
      <c r="CV58" s="363"/>
      <c r="CW58" s="363"/>
      <c r="CX58" s="363"/>
      <c r="CY58" s="363"/>
      <c r="CZ58" s="363"/>
      <c r="DA58" s="363"/>
      <c r="DB58" s="363"/>
      <c r="DC58" s="363"/>
      <c r="DD58" s="363"/>
      <c r="DE58" s="364"/>
    </row>
    <row r="59" spans="1:109" ht="15" customHeight="1">
      <c r="A59" s="390"/>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391"/>
      <c r="BP59" s="391"/>
      <c r="BQ59" s="391"/>
      <c r="BR59" s="391"/>
      <c r="BS59" s="391"/>
      <c r="BT59" s="391"/>
      <c r="BU59" s="391"/>
      <c r="BV59" s="391"/>
      <c r="BW59" s="391"/>
      <c r="BX59" s="391"/>
      <c r="BY59" s="391"/>
      <c r="BZ59" s="391"/>
      <c r="CA59" s="391"/>
      <c r="CB59" s="391"/>
      <c r="CC59" s="391"/>
      <c r="CD59" s="391"/>
      <c r="CE59" s="391"/>
      <c r="CF59" s="391"/>
      <c r="CG59" s="391"/>
      <c r="CH59" s="391"/>
      <c r="CI59" s="391"/>
      <c r="CJ59" s="391"/>
      <c r="CK59" s="391"/>
      <c r="CL59" s="391"/>
      <c r="CM59" s="391"/>
      <c r="CN59" s="391"/>
      <c r="CO59" s="391"/>
      <c r="CP59" s="391"/>
      <c r="CQ59" s="391"/>
      <c r="CR59" s="391"/>
      <c r="CS59" s="391"/>
      <c r="CT59" s="391"/>
      <c r="CU59" s="391"/>
      <c r="CV59" s="363"/>
      <c r="CW59" s="363"/>
      <c r="CX59" s="363"/>
      <c r="CY59" s="363"/>
      <c r="CZ59" s="363"/>
      <c r="DA59" s="363"/>
      <c r="DB59" s="363"/>
      <c r="DC59" s="363"/>
      <c r="DD59" s="363"/>
      <c r="DE59" s="364"/>
    </row>
    <row r="60" spans="1:109" ht="15" customHeight="1">
      <c r="A60" s="390"/>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391"/>
      <c r="BC60" s="391"/>
      <c r="BD60" s="391"/>
      <c r="BE60" s="391"/>
      <c r="BF60" s="391"/>
      <c r="BG60" s="391"/>
      <c r="BH60" s="391"/>
      <c r="BI60" s="391"/>
      <c r="BJ60" s="391"/>
      <c r="BK60" s="391"/>
      <c r="BL60" s="391"/>
      <c r="BM60" s="391"/>
      <c r="BN60" s="391"/>
      <c r="BO60" s="391"/>
      <c r="BP60" s="391"/>
      <c r="BQ60" s="391"/>
      <c r="BR60" s="391"/>
      <c r="BS60" s="391"/>
      <c r="BT60" s="391"/>
      <c r="BU60" s="391"/>
      <c r="BV60" s="391"/>
      <c r="BW60" s="391"/>
      <c r="BX60" s="391"/>
      <c r="BY60" s="391"/>
      <c r="BZ60" s="391"/>
      <c r="CA60" s="391"/>
      <c r="CB60" s="391"/>
      <c r="CC60" s="391"/>
      <c r="CD60" s="391"/>
      <c r="CE60" s="391"/>
      <c r="CF60" s="391"/>
      <c r="CG60" s="391"/>
      <c r="CH60" s="391"/>
      <c r="CI60" s="391"/>
      <c r="CJ60" s="391"/>
      <c r="CK60" s="391"/>
      <c r="CL60" s="391"/>
      <c r="CM60" s="391"/>
      <c r="CN60" s="391"/>
      <c r="CO60" s="391"/>
      <c r="CP60" s="391"/>
      <c r="CQ60" s="391"/>
      <c r="CR60" s="391"/>
      <c r="CS60" s="391"/>
      <c r="CT60" s="391"/>
      <c r="CU60" s="391"/>
      <c r="CV60" s="363"/>
      <c r="CW60" s="363"/>
      <c r="CX60" s="363"/>
      <c r="CY60" s="363"/>
      <c r="CZ60" s="363"/>
      <c r="DA60" s="363"/>
      <c r="DB60" s="363"/>
      <c r="DC60" s="363"/>
      <c r="DD60" s="363"/>
      <c r="DE60" s="364"/>
    </row>
    <row r="61" spans="1:109" ht="15" customHeight="1" thickBot="1">
      <c r="A61" s="390"/>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1"/>
      <c r="CG61" s="391"/>
      <c r="CH61" s="391"/>
      <c r="CI61" s="391"/>
      <c r="CJ61" s="391"/>
      <c r="CK61" s="391"/>
      <c r="CL61" s="391"/>
      <c r="CM61" s="391"/>
      <c r="CN61" s="391"/>
      <c r="CO61" s="391"/>
      <c r="CP61" s="391"/>
      <c r="CQ61" s="391"/>
      <c r="CR61" s="391"/>
      <c r="CS61" s="391"/>
      <c r="CT61" s="391"/>
      <c r="CU61" s="391"/>
      <c r="CV61" s="365"/>
      <c r="CW61" s="365"/>
      <c r="CX61" s="365"/>
      <c r="CY61" s="365"/>
      <c r="CZ61" s="365"/>
      <c r="DA61" s="365"/>
      <c r="DB61" s="365"/>
      <c r="DC61" s="365"/>
      <c r="DD61" s="365"/>
      <c r="DE61" s="366"/>
    </row>
    <row r="62" spans="1:109" ht="15" customHeight="1">
      <c r="A62" s="392" t="s">
        <v>2</v>
      </c>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c r="BL62" s="393"/>
      <c r="BM62" s="393"/>
      <c r="BN62" s="393"/>
      <c r="BO62" s="393"/>
      <c r="BP62" s="393"/>
      <c r="BQ62" s="393"/>
      <c r="BR62" s="393"/>
      <c r="BS62" s="393"/>
      <c r="BT62" s="393"/>
      <c r="BU62" s="393"/>
      <c r="BV62" s="393"/>
      <c r="BW62" s="393"/>
      <c r="BX62" s="393"/>
      <c r="BY62" s="393"/>
      <c r="BZ62" s="393"/>
      <c r="CA62" s="393"/>
      <c r="CB62" s="393"/>
      <c r="CC62" s="393"/>
      <c r="CD62" s="393"/>
      <c r="CE62" s="393"/>
      <c r="CF62" s="393"/>
      <c r="CG62" s="393"/>
      <c r="CH62" s="393"/>
      <c r="CI62" s="393"/>
      <c r="CJ62" s="393"/>
      <c r="CK62" s="393"/>
      <c r="CL62" s="393"/>
      <c r="CM62" s="393"/>
      <c r="CN62" s="393"/>
      <c r="CO62" s="393"/>
      <c r="CP62" s="367" t="s">
        <v>3</v>
      </c>
      <c r="CQ62" s="367"/>
      <c r="CR62" s="367"/>
      <c r="CS62" s="367"/>
      <c r="CT62" s="367"/>
      <c r="CU62" s="367"/>
      <c r="CV62" s="367"/>
      <c r="CW62" s="367"/>
      <c r="CX62" s="367"/>
      <c r="CY62" s="367"/>
      <c r="CZ62" s="367"/>
      <c r="DA62" s="367"/>
      <c r="DB62" s="367"/>
      <c r="DC62" s="367"/>
      <c r="DD62" s="367"/>
      <c r="DE62" s="368"/>
    </row>
    <row r="63" spans="1:109" ht="15" customHeight="1">
      <c r="A63" s="392"/>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c r="BL63" s="393"/>
      <c r="BM63" s="393"/>
      <c r="BN63" s="393"/>
      <c r="BO63" s="393"/>
      <c r="BP63" s="393"/>
      <c r="BQ63" s="393"/>
      <c r="BR63" s="393"/>
      <c r="BS63" s="393"/>
      <c r="BT63" s="393"/>
      <c r="BU63" s="393"/>
      <c r="BV63" s="393"/>
      <c r="BW63" s="393"/>
      <c r="BX63" s="393"/>
      <c r="BY63" s="393"/>
      <c r="BZ63" s="393"/>
      <c r="CA63" s="393"/>
      <c r="CB63" s="393"/>
      <c r="CC63" s="393"/>
      <c r="CD63" s="393"/>
      <c r="CE63" s="393"/>
      <c r="CF63" s="393"/>
      <c r="CG63" s="393"/>
      <c r="CH63" s="393"/>
      <c r="CI63" s="393"/>
      <c r="CJ63" s="393"/>
      <c r="CK63" s="393"/>
      <c r="CL63" s="393"/>
      <c r="CM63" s="393"/>
      <c r="CN63" s="393"/>
      <c r="CO63" s="393"/>
      <c r="CP63" s="367"/>
      <c r="CQ63" s="367"/>
      <c r="CR63" s="367"/>
      <c r="CS63" s="367"/>
      <c r="CT63" s="367"/>
      <c r="CU63" s="367"/>
      <c r="CV63" s="367"/>
      <c r="CW63" s="367"/>
      <c r="CX63" s="367"/>
      <c r="CY63" s="367"/>
      <c r="CZ63" s="367"/>
      <c r="DA63" s="367"/>
      <c r="DB63" s="367"/>
      <c r="DC63" s="367"/>
      <c r="DD63" s="367"/>
      <c r="DE63" s="368"/>
    </row>
    <row r="64" spans="1:109" ht="15" customHeight="1">
      <c r="A64" s="375" t="s">
        <v>4</v>
      </c>
      <c r="B64" s="369"/>
      <c r="C64" s="369"/>
      <c r="D64" s="369"/>
      <c r="E64" s="369"/>
      <c r="F64" s="369"/>
      <c r="G64" s="369"/>
      <c r="H64" s="369"/>
      <c r="I64" s="369"/>
      <c r="J64" s="369"/>
      <c r="K64" s="369"/>
      <c r="L64" s="369"/>
      <c r="M64" s="369"/>
      <c r="N64" s="369"/>
      <c r="O64" s="369"/>
      <c r="P64" s="369"/>
      <c r="Q64" s="369"/>
      <c r="R64" s="369"/>
      <c r="S64" s="370">
        <v>559082</v>
      </c>
      <c r="T64" s="370"/>
      <c r="U64" s="370"/>
      <c r="V64" s="370"/>
      <c r="W64" s="370"/>
      <c r="X64" s="370"/>
      <c r="Y64" s="370"/>
      <c r="Z64" s="370"/>
      <c r="AA64" s="370"/>
      <c r="AB64" s="370"/>
      <c r="AC64" s="370"/>
      <c r="AD64" s="370"/>
      <c r="AE64" s="369" t="s">
        <v>5</v>
      </c>
      <c r="AF64" s="369"/>
      <c r="AG64" s="369"/>
      <c r="AH64" s="369"/>
      <c r="AI64" s="369"/>
      <c r="AJ64" s="369"/>
      <c r="AK64" s="369"/>
      <c r="AL64" s="369"/>
      <c r="AM64" s="369"/>
      <c r="AN64" s="369"/>
      <c r="AO64" s="369"/>
      <c r="AP64" s="369"/>
      <c r="AQ64" s="369"/>
      <c r="AR64" s="369"/>
      <c r="AS64" s="394">
        <v>45668</v>
      </c>
      <c r="AT64" s="394"/>
      <c r="AU64" s="394"/>
      <c r="AV64" s="394"/>
      <c r="AW64" s="394"/>
      <c r="AX64" s="394"/>
      <c r="AY64" s="394"/>
      <c r="AZ64" s="394"/>
      <c r="BA64" s="394"/>
      <c r="BB64" s="394"/>
      <c r="BC64" s="394"/>
      <c r="BD64" s="394"/>
      <c r="BE64" s="394"/>
      <c r="BF64" s="394"/>
      <c r="BG64" s="369" t="s">
        <v>6</v>
      </c>
      <c r="BH64" s="369"/>
      <c r="BI64" s="369"/>
      <c r="BJ64" s="369"/>
      <c r="BK64" s="369"/>
      <c r="BL64" s="369"/>
      <c r="BM64" s="369"/>
      <c r="BN64" s="369"/>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71" t="s">
        <v>7</v>
      </c>
      <c r="CO64" s="371"/>
      <c r="CP64" s="371"/>
      <c r="CQ64" s="372" t="s">
        <v>8</v>
      </c>
      <c r="CR64" s="372"/>
      <c r="CS64" s="372"/>
      <c r="CT64" s="372"/>
      <c r="CU64" s="372"/>
      <c r="CV64" s="372"/>
      <c r="CW64" s="372"/>
      <c r="CX64" s="372"/>
      <c r="CY64" s="372"/>
      <c r="CZ64" s="372"/>
      <c r="DA64" s="372"/>
      <c r="DB64" s="372"/>
      <c r="DC64" s="372"/>
      <c r="DD64" s="372"/>
      <c r="DE64" s="373"/>
    </row>
    <row r="65" spans="1:109" ht="15" customHeight="1">
      <c r="A65" s="375" t="s">
        <v>9</v>
      </c>
      <c r="B65" s="369"/>
      <c r="C65" s="369"/>
      <c r="D65" s="369"/>
      <c r="E65" s="369"/>
      <c r="F65" s="369"/>
      <c r="G65" s="369"/>
      <c r="H65" s="369"/>
      <c r="I65" s="369"/>
      <c r="J65" s="369"/>
      <c r="K65" s="369"/>
      <c r="L65" s="369"/>
      <c r="M65" s="369"/>
      <c r="N65" s="369"/>
      <c r="O65" s="369"/>
      <c r="P65" s="369"/>
      <c r="Q65" s="369"/>
      <c r="R65" s="369"/>
      <c r="S65" s="370" t="s">
        <v>10</v>
      </c>
      <c r="T65" s="370"/>
      <c r="U65" s="370"/>
      <c r="V65" s="370"/>
      <c r="W65" s="370"/>
      <c r="X65" s="370"/>
      <c r="Y65" s="370"/>
      <c r="Z65" s="370"/>
      <c r="AA65" s="370"/>
      <c r="AB65" s="370"/>
      <c r="AC65" s="370"/>
      <c r="AD65" s="370"/>
      <c r="AE65" s="369" t="s">
        <v>11</v>
      </c>
      <c r="AF65" s="369"/>
      <c r="AG65" s="369"/>
      <c r="AH65" s="369"/>
      <c r="AI65" s="369"/>
      <c r="AJ65" s="369"/>
      <c r="AK65" s="369"/>
      <c r="AL65" s="369"/>
      <c r="AM65" s="369"/>
      <c r="AN65" s="369"/>
      <c r="AO65" s="369"/>
      <c r="AP65" s="369"/>
      <c r="AQ65" s="369"/>
      <c r="AR65" s="369"/>
      <c r="AS65" s="370" t="s">
        <v>12</v>
      </c>
      <c r="AT65" s="370"/>
      <c r="AU65" s="370"/>
      <c r="AV65" s="370"/>
      <c r="AW65" s="370"/>
      <c r="AX65" s="370"/>
      <c r="AY65" s="370"/>
      <c r="AZ65" s="370"/>
      <c r="BA65" s="370"/>
      <c r="BB65" s="370"/>
      <c r="BC65" s="370"/>
      <c r="BD65" s="370"/>
      <c r="BE65" s="370"/>
      <c r="BF65" s="370"/>
      <c r="BG65" s="369"/>
      <c r="BH65" s="369"/>
      <c r="BI65" s="369"/>
      <c r="BJ65" s="369"/>
      <c r="BK65" s="369"/>
      <c r="BL65" s="369"/>
      <c r="BM65" s="369"/>
      <c r="BN65" s="369"/>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71"/>
      <c r="CO65" s="371"/>
      <c r="CP65" s="371"/>
      <c r="CQ65" s="372" t="s">
        <v>13</v>
      </c>
      <c r="CR65" s="372"/>
      <c r="CS65" s="372"/>
      <c r="CT65" s="372"/>
      <c r="CU65" s="372"/>
      <c r="CV65" s="372"/>
      <c r="CW65" s="372"/>
      <c r="CX65" s="372"/>
      <c r="CY65" s="372"/>
      <c r="CZ65" s="372"/>
      <c r="DA65" s="372"/>
      <c r="DB65" s="372"/>
      <c r="DC65" s="372"/>
      <c r="DD65" s="372"/>
      <c r="DE65" s="373"/>
    </row>
    <row r="66" spans="1:109" ht="15" customHeight="1">
      <c r="A66" s="375" t="s">
        <v>14</v>
      </c>
      <c r="B66" s="369"/>
      <c r="C66" s="369"/>
      <c r="D66" s="369"/>
      <c r="E66" s="369"/>
      <c r="F66" s="369"/>
      <c r="G66" s="369"/>
      <c r="H66" s="369"/>
      <c r="I66" s="369"/>
      <c r="J66" s="369"/>
      <c r="K66" s="369"/>
      <c r="L66" s="369"/>
      <c r="M66" s="369"/>
      <c r="N66" s="369"/>
      <c r="O66" s="369"/>
      <c r="P66" s="369"/>
      <c r="Q66" s="369"/>
      <c r="R66" s="369"/>
      <c r="S66" s="370" t="s">
        <v>15</v>
      </c>
      <c r="T66" s="370"/>
      <c r="U66" s="370"/>
      <c r="V66" s="370"/>
      <c r="W66" s="370"/>
      <c r="X66" s="370"/>
      <c r="Y66" s="370"/>
      <c r="Z66" s="370"/>
      <c r="AA66" s="370"/>
      <c r="AB66" s="370"/>
      <c r="AC66" s="370"/>
      <c r="AD66" s="370"/>
      <c r="AE66" s="369" t="s">
        <v>16</v>
      </c>
      <c r="AF66" s="369"/>
      <c r="AG66" s="369"/>
      <c r="AH66" s="369"/>
      <c r="AI66" s="369"/>
      <c r="AJ66" s="369"/>
      <c r="AK66" s="369"/>
      <c r="AL66" s="369"/>
      <c r="AM66" s="369"/>
      <c r="AN66" s="369"/>
      <c r="AO66" s="369"/>
      <c r="AP66" s="369"/>
      <c r="AQ66" s="369"/>
      <c r="AR66" s="369"/>
      <c r="AS66" s="370" t="s">
        <v>17</v>
      </c>
      <c r="AT66" s="370"/>
      <c r="AU66" s="370"/>
      <c r="AV66" s="370"/>
      <c r="AW66" s="370"/>
      <c r="AX66" s="370"/>
      <c r="AY66" s="370"/>
      <c r="AZ66" s="370"/>
      <c r="BA66" s="370"/>
      <c r="BB66" s="370"/>
      <c r="BC66" s="370"/>
      <c r="BD66" s="370"/>
      <c r="BE66" s="370"/>
      <c r="BF66" s="370"/>
      <c r="BG66" s="369"/>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71"/>
      <c r="CO66" s="371"/>
      <c r="CP66" s="371"/>
      <c r="CQ66" s="372" t="s">
        <v>18</v>
      </c>
      <c r="CR66" s="372"/>
      <c r="CS66" s="372"/>
      <c r="CT66" s="372"/>
      <c r="CU66" s="372"/>
      <c r="CV66" s="372"/>
      <c r="CW66" s="372"/>
      <c r="CX66" s="372"/>
      <c r="CY66" s="372"/>
      <c r="CZ66" s="372"/>
      <c r="DA66" s="372"/>
      <c r="DB66" s="372"/>
      <c r="DC66" s="372"/>
      <c r="DD66" s="372"/>
      <c r="DE66" s="373"/>
    </row>
    <row r="67" spans="1:109" ht="15" customHeight="1">
      <c r="A67" s="3"/>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CN67" s="4"/>
      <c r="CO67" s="4"/>
      <c r="CP67" s="4"/>
      <c r="CQ67" s="4"/>
      <c r="CR67" s="4"/>
      <c r="CS67" s="4"/>
      <c r="CT67" s="4"/>
      <c r="CU67" s="4"/>
      <c r="CV67" s="4"/>
      <c r="CW67" s="4"/>
      <c r="CX67" s="4"/>
      <c r="CY67" s="4"/>
      <c r="CZ67" s="4"/>
      <c r="DA67" s="4"/>
      <c r="DB67" s="4"/>
      <c r="DC67" s="4"/>
      <c r="DD67" s="4"/>
      <c r="DE67" s="23"/>
    </row>
    <row r="68" spans="1:109" ht="15" customHeight="1">
      <c r="A68" s="6"/>
      <c r="B68" s="376" t="s">
        <v>19</v>
      </c>
      <c r="C68" s="377"/>
      <c r="D68" s="377"/>
      <c r="E68" s="377"/>
      <c r="F68" s="377"/>
      <c r="G68" s="377"/>
      <c r="H68" s="378"/>
      <c r="I68" s="376" t="s">
        <v>20</v>
      </c>
      <c r="J68" s="377"/>
      <c r="K68" s="377"/>
      <c r="L68" s="377"/>
      <c r="M68" s="377"/>
      <c r="N68" s="377"/>
      <c r="O68" s="378"/>
      <c r="P68" s="376" t="s">
        <v>21</v>
      </c>
      <c r="Q68" s="377"/>
      <c r="R68" s="377"/>
      <c r="S68" s="377"/>
      <c r="T68" s="377"/>
      <c r="U68" s="377"/>
      <c r="V68" s="378"/>
      <c r="W68" s="376" t="s">
        <v>22</v>
      </c>
      <c r="X68" s="377"/>
      <c r="Y68" s="377"/>
      <c r="Z68" s="377"/>
      <c r="AA68" s="377"/>
      <c r="AB68" s="377"/>
      <c r="AC68" s="378"/>
      <c r="AD68" s="376" t="s">
        <v>23</v>
      </c>
      <c r="AE68" s="377"/>
      <c r="AF68" s="377"/>
      <c r="AG68" s="377"/>
      <c r="AH68" s="377"/>
      <c r="AI68" s="377"/>
      <c r="AJ68" s="378"/>
      <c r="AK68" s="376" t="s">
        <v>24</v>
      </c>
      <c r="AL68" s="377"/>
      <c r="AM68" s="377"/>
      <c r="AN68" s="377"/>
      <c r="AO68" s="377"/>
      <c r="AP68" s="377"/>
      <c r="AQ68" s="378"/>
      <c r="AR68" s="376" t="s">
        <v>25</v>
      </c>
      <c r="AS68" s="377"/>
      <c r="AT68" s="377"/>
      <c r="AU68" s="377"/>
      <c r="AV68" s="377"/>
      <c r="AW68" s="377"/>
      <c r="AX68" s="378"/>
      <c r="AY68" s="376" t="s">
        <v>26</v>
      </c>
      <c r="AZ68" s="377"/>
      <c r="BA68" s="377"/>
      <c r="BB68" s="377"/>
      <c r="BC68" s="377"/>
      <c r="BD68" s="377"/>
      <c r="BE68" s="378"/>
      <c r="BF68" s="376" t="s">
        <v>27</v>
      </c>
      <c r="BG68" s="377"/>
      <c r="BH68" s="377"/>
      <c r="BI68" s="377"/>
      <c r="BJ68" s="377"/>
      <c r="BK68" s="377"/>
      <c r="BL68" s="378"/>
      <c r="BM68" s="374" t="s">
        <v>28</v>
      </c>
      <c r="BN68" s="374"/>
      <c r="BO68" s="374"/>
      <c r="BP68" s="374"/>
      <c r="BQ68" s="374"/>
      <c r="BR68" s="374"/>
      <c r="BS68" s="374"/>
      <c r="BT68" s="374"/>
      <c r="BU68" s="374"/>
      <c r="BV68" s="374"/>
      <c r="BW68" s="374"/>
      <c r="BX68" s="374"/>
      <c r="BY68" s="374"/>
      <c r="BZ68" s="374"/>
      <c r="CA68" s="374"/>
      <c r="CB68" s="374"/>
      <c r="CC68" s="374"/>
      <c r="CD68" s="374"/>
      <c r="CE68" s="374"/>
      <c r="CF68" s="374"/>
      <c r="CG68" s="374"/>
      <c r="CH68" s="374"/>
      <c r="CI68" s="374"/>
      <c r="CJ68" s="374"/>
      <c r="CK68" s="374"/>
      <c r="CL68" s="374"/>
      <c r="CM68" s="374" t="s">
        <v>29</v>
      </c>
      <c r="CN68" s="374"/>
      <c r="CO68" s="374"/>
      <c r="CP68" s="374"/>
      <c r="CQ68" s="374"/>
      <c r="CR68" s="374" t="s">
        <v>30</v>
      </c>
      <c r="CS68" s="374"/>
      <c r="CT68" s="374"/>
      <c r="CU68" s="374"/>
      <c r="CV68" s="374"/>
      <c r="CW68" s="374"/>
      <c r="CX68" s="374"/>
      <c r="CY68" s="374"/>
      <c r="CZ68" s="374"/>
      <c r="DA68" s="374"/>
      <c r="DB68" s="374"/>
      <c r="DC68" s="374"/>
      <c r="DD68" s="374"/>
      <c r="DE68" s="7"/>
    </row>
    <row r="69" spans="1:109" ht="15" customHeight="1">
      <c r="A69" s="6"/>
      <c r="B69" s="379"/>
      <c r="C69" s="380"/>
      <c r="D69" s="380"/>
      <c r="E69" s="380"/>
      <c r="F69" s="380"/>
      <c r="G69" s="380"/>
      <c r="H69" s="381"/>
      <c r="I69" s="379"/>
      <c r="J69" s="380"/>
      <c r="K69" s="380"/>
      <c r="L69" s="380"/>
      <c r="M69" s="380"/>
      <c r="N69" s="380"/>
      <c r="O69" s="381"/>
      <c r="P69" s="379"/>
      <c r="Q69" s="380"/>
      <c r="R69" s="380"/>
      <c r="S69" s="380"/>
      <c r="T69" s="380"/>
      <c r="U69" s="380"/>
      <c r="V69" s="381"/>
      <c r="W69" s="379"/>
      <c r="X69" s="380"/>
      <c r="Y69" s="380"/>
      <c r="Z69" s="380"/>
      <c r="AA69" s="380"/>
      <c r="AB69" s="380"/>
      <c r="AC69" s="381"/>
      <c r="AD69" s="379"/>
      <c r="AE69" s="380"/>
      <c r="AF69" s="380"/>
      <c r="AG69" s="380"/>
      <c r="AH69" s="380"/>
      <c r="AI69" s="380"/>
      <c r="AJ69" s="381"/>
      <c r="AK69" s="379"/>
      <c r="AL69" s="380"/>
      <c r="AM69" s="380"/>
      <c r="AN69" s="380"/>
      <c r="AO69" s="380"/>
      <c r="AP69" s="380"/>
      <c r="AQ69" s="381"/>
      <c r="AR69" s="379"/>
      <c r="AS69" s="380"/>
      <c r="AT69" s="380"/>
      <c r="AU69" s="380"/>
      <c r="AV69" s="380"/>
      <c r="AW69" s="380"/>
      <c r="AX69" s="381"/>
      <c r="AY69" s="379"/>
      <c r="AZ69" s="380"/>
      <c r="BA69" s="380"/>
      <c r="BB69" s="380"/>
      <c r="BC69" s="380"/>
      <c r="BD69" s="380"/>
      <c r="BE69" s="381"/>
      <c r="BF69" s="379"/>
      <c r="BG69" s="380"/>
      <c r="BH69" s="380"/>
      <c r="BI69" s="380"/>
      <c r="BJ69" s="380"/>
      <c r="BK69" s="380"/>
      <c r="BL69" s="381"/>
      <c r="BM69" s="374"/>
      <c r="BN69" s="374"/>
      <c r="BO69" s="374"/>
      <c r="BP69" s="374"/>
      <c r="BQ69" s="374"/>
      <c r="BR69" s="374"/>
      <c r="BS69" s="374"/>
      <c r="BT69" s="374"/>
      <c r="BU69" s="374"/>
      <c r="BV69" s="374"/>
      <c r="BW69" s="374"/>
      <c r="BX69" s="374"/>
      <c r="BY69" s="374"/>
      <c r="BZ69" s="374"/>
      <c r="CA69" s="374"/>
      <c r="CB69" s="374"/>
      <c r="CC69" s="374"/>
      <c r="CD69" s="374"/>
      <c r="CE69" s="374"/>
      <c r="CF69" s="374"/>
      <c r="CG69" s="374"/>
      <c r="CH69" s="374"/>
      <c r="CI69" s="374"/>
      <c r="CJ69" s="374"/>
      <c r="CK69" s="374"/>
      <c r="CL69" s="374"/>
      <c r="CM69" s="374"/>
      <c r="CN69" s="374"/>
      <c r="CO69" s="374"/>
      <c r="CP69" s="374"/>
      <c r="CQ69" s="374"/>
      <c r="CR69" s="374"/>
      <c r="CS69" s="374"/>
      <c r="CT69" s="374"/>
      <c r="CU69" s="374"/>
      <c r="CV69" s="374"/>
      <c r="CW69" s="374"/>
      <c r="CX69" s="374"/>
      <c r="CY69" s="374"/>
      <c r="CZ69" s="374"/>
      <c r="DA69" s="374"/>
      <c r="DB69" s="374"/>
      <c r="DC69" s="374"/>
      <c r="DD69" s="374"/>
      <c r="DE69" s="7"/>
    </row>
    <row r="70" spans="1:109" ht="15" customHeight="1">
      <c r="A70" s="6"/>
      <c r="B70" s="353"/>
      <c r="C70" s="354"/>
      <c r="D70" s="354"/>
      <c r="E70" s="354"/>
      <c r="F70" s="354"/>
      <c r="G70" s="354"/>
      <c r="H70" s="355"/>
      <c r="I70" s="353"/>
      <c r="J70" s="354"/>
      <c r="K70" s="354"/>
      <c r="L70" s="354"/>
      <c r="M70" s="354"/>
      <c r="N70" s="354"/>
      <c r="O70" s="355"/>
      <c r="P70" s="353"/>
      <c r="Q70" s="354"/>
      <c r="R70" s="354"/>
      <c r="S70" s="354"/>
      <c r="T70" s="354"/>
      <c r="U70" s="354"/>
      <c r="V70" s="355"/>
      <c r="W70" s="353"/>
      <c r="X70" s="354"/>
      <c r="Y70" s="354"/>
      <c r="Z70" s="354"/>
      <c r="AA70" s="354"/>
      <c r="AB70" s="354"/>
      <c r="AC70" s="355"/>
      <c r="AD70" s="353"/>
      <c r="AE70" s="354"/>
      <c r="AF70" s="354"/>
      <c r="AG70" s="354"/>
      <c r="AH70" s="354"/>
      <c r="AI70" s="354"/>
      <c r="AJ70" s="355"/>
      <c r="AK70" s="353"/>
      <c r="AL70" s="354"/>
      <c r="AM70" s="354"/>
      <c r="AN70" s="354"/>
      <c r="AO70" s="354"/>
      <c r="AP70" s="354"/>
      <c r="AQ70" s="355"/>
      <c r="AR70" s="353"/>
      <c r="AS70" s="354"/>
      <c r="AT70" s="354"/>
      <c r="AU70" s="354"/>
      <c r="AV70" s="354"/>
      <c r="AW70" s="354"/>
      <c r="AX70" s="355"/>
      <c r="AY70" s="353"/>
      <c r="AZ70" s="354"/>
      <c r="BA70" s="354"/>
      <c r="BB70" s="354"/>
      <c r="BC70" s="354"/>
      <c r="BD70" s="354"/>
      <c r="BE70" s="355"/>
      <c r="BF70" s="353"/>
      <c r="BG70" s="354"/>
      <c r="BH70" s="354"/>
      <c r="BI70" s="354"/>
      <c r="BJ70" s="354"/>
      <c r="BK70" s="354"/>
      <c r="BL70" s="355"/>
      <c r="BM70" s="352"/>
      <c r="BN70" s="352"/>
      <c r="BO70" s="352"/>
      <c r="BP70" s="352"/>
      <c r="BQ70" s="352"/>
      <c r="BR70" s="352"/>
      <c r="BS70" s="352"/>
      <c r="BT70" s="352"/>
      <c r="BU70" s="352"/>
      <c r="BV70" s="352"/>
      <c r="BW70" s="352"/>
      <c r="BX70" s="352"/>
      <c r="BY70" s="352"/>
      <c r="BZ70" s="352"/>
      <c r="CA70" s="352"/>
      <c r="CB70" s="352"/>
      <c r="CC70" s="352"/>
      <c r="CD70" s="352"/>
      <c r="CE70" s="352"/>
      <c r="CF70" s="352"/>
      <c r="CG70" s="352"/>
      <c r="CH70" s="352"/>
      <c r="CI70" s="352"/>
      <c r="CJ70" s="352"/>
      <c r="CK70" s="352"/>
      <c r="CL70" s="352"/>
      <c r="CM70" s="352"/>
      <c r="CN70" s="352"/>
      <c r="CO70" s="352"/>
      <c r="CP70" s="352"/>
      <c r="CQ70" s="352"/>
      <c r="CR70" s="352"/>
      <c r="CS70" s="352"/>
      <c r="CT70" s="352"/>
      <c r="CU70" s="352"/>
      <c r="CV70" s="352"/>
      <c r="CW70" s="352"/>
      <c r="CX70" s="352"/>
      <c r="CY70" s="352"/>
      <c r="CZ70" s="352"/>
      <c r="DA70" s="352"/>
      <c r="DB70" s="352"/>
      <c r="DC70" s="352"/>
      <c r="DD70" s="352"/>
      <c r="DE70" s="7"/>
    </row>
    <row r="71" spans="1:109" ht="15" customHeight="1">
      <c r="A71" s="6"/>
      <c r="B71" s="356"/>
      <c r="C71" s="357"/>
      <c r="D71" s="357"/>
      <c r="E71" s="357"/>
      <c r="F71" s="357"/>
      <c r="G71" s="357"/>
      <c r="H71" s="358"/>
      <c r="I71" s="356"/>
      <c r="J71" s="357"/>
      <c r="K71" s="357"/>
      <c r="L71" s="357"/>
      <c r="M71" s="357"/>
      <c r="N71" s="357"/>
      <c r="O71" s="358"/>
      <c r="P71" s="356"/>
      <c r="Q71" s="357"/>
      <c r="R71" s="357"/>
      <c r="S71" s="357"/>
      <c r="T71" s="357"/>
      <c r="U71" s="357"/>
      <c r="V71" s="358"/>
      <c r="W71" s="356"/>
      <c r="X71" s="357"/>
      <c r="Y71" s="357"/>
      <c r="Z71" s="357"/>
      <c r="AA71" s="357"/>
      <c r="AB71" s="357"/>
      <c r="AC71" s="358"/>
      <c r="AD71" s="356"/>
      <c r="AE71" s="357"/>
      <c r="AF71" s="357"/>
      <c r="AG71" s="357"/>
      <c r="AH71" s="357"/>
      <c r="AI71" s="357"/>
      <c r="AJ71" s="358"/>
      <c r="AK71" s="356"/>
      <c r="AL71" s="357"/>
      <c r="AM71" s="357"/>
      <c r="AN71" s="357"/>
      <c r="AO71" s="357"/>
      <c r="AP71" s="357"/>
      <c r="AQ71" s="358"/>
      <c r="AR71" s="356"/>
      <c r="AS71" s="357"/>
      <c r="AT71" s="357"/>
      <c r="AU71" s="357"/>
      <c r="AV71" s="357"/>
      <c r="AW71" s="357"/>
      <c r="AX71" s="358"/>
      <c r="AY71" s="356"/>
      <c r="AZ71" s="357"/>
      <c r="BA71" s="357"/>
      <c r="BB71" s="357"/>
      <c r="BC71" s="357"/>
      <c r="BD71" s="357"/>
      <c r="BE71" s="358"/>
      <c r="BF71" s="356"/>
      <c r="BG71" s="357"/>
      <c r="BH71" s="357"/>
      <c r="BI71" s="357"/>
      <c r="BJ71" s="357"/>
      <c r="BK71" s="357"/>
      <c r="BL71" s="358"/>
      <c r="BM71" s="352"/>
      <c r="BN71" s="352"/>
      <c r="BO71" s="352"/>
      <c r="BP71" s="352"/>
      <c r="BQ71" s="352"/>
      <c r="BR71" s="352"/>
      <c r="BS71" s="352"/>
      <c r="BT71" s="352"/>
      <c r="BU71" s="352"/>
      <c r="BV71" s="352"/>
      <c r="BW71" s="352"/>
      <c r="BX71" s="352"/>
      <c r="BY71" s="352"/>
      <c r="BZ71" s="352"/>
      <c r="CA71" s="352"/>
      <c r="CB71" s="352"/>
      <c r="CC71" s="352"/>
      <c r="CD71" s="352"/>
      <c r="CE71" s="352"/>
      <c r="CF71" s="352"/>
      <c r="CG71" s="352"/>
      <c r="CH71" s="352"/>
      <c r="CI71" s="352"/>
      <c r="CJ71" s="352"/>
      <c r="CK71" s="352"/>
      <c r="CL71" s="352"/>
      <c r="CM71" s="352"/>
      <c r="CN71" s="352"/>
      <c r="CO71" s="352"/>
      <c r="CP71" s="352"/>
      <c r="CQ71" s="352"/>
      <c r="CR71" s="352"/>
      <c r="CS71" s="352"/>
      <c r="CT71" s="352"/>
      <c r="CU71" s="352"/>
      <c r="CV71" s="352"/>
      <c r="CW71" s="352"/>
      <c r="CX71" s="352"/>
      <c r="CY71" s="352"/>
      <c r="CZ71" s="352"/>
      <c r="DA71" s="352"/>
      <c r="DB71" s="352"/>
      <c r="DC71" s="352"/>
      <c r="DD71" s="352"/>
      <c r="DE71" s="7"/>
    </row>
    <row r="72" spans="1:109" ht="15" customHeight="1">
      <c r="A72" s="3"/>
      <c r="B72" s="382"/>
      <c r="C72" s="383"/>
      <c r="D72" s="383"/>
      <c r="E72" s="383"/>
      <c r="F72" s="383"/>
      <c r="G72" s="383"/>
      <c r="H72" s="384"/>
      <c r="I72" s="382"/>
      <c r="J72" s="383"/>
      <c r="K72" s="383"/>
      <c r="L72" s="383"/>
      <c r="M72" s="383"/>
      <c r="N72" s="383"/>
      <c r="O72" s="384"/>
      <c r="P72" s="382"/>
      <c r="Q72" s="383"/>
      <c r="R72" s="383"/>
      <c r="S72" s="383"/>
      <c r="T72" s="383"/>
      <c r="U72" s="383"/>
      <c r="V72" s="384"/>
      <c r="W72" s="382"/>
      <c r="X72" s="383"/>
      <c r="Y72" s="383"/>
      <c r="Z72" s="383"/>
      <c r="AA72" s="383"/>
      <c r="AB72" s="383"/>
      <c r="AC72" s="384"/>
      <c r="AD72" s="382"/>
      <c r="AE72" s="383"/>
      <c r="AF72" s="383"/>
      <c r="AG72" s="383"/>
      <c r="AH72" s="383"/>
      <c r="AI72" s="383"/>
      <c r="AJ72" s="384"/>
      <c r="AK72" s="382"/>
      <c r="AL72" s="383"/>
      <c r="AM72" s="383"/>
      <c r="AN72" s="383"/>
      <c r="AO72" s="383"/>
      <c r="AP72" s="383"/>
      <c r="AQ72" s="384"/>
      <c r="AR72" s="382"/>
      <c r="AS72" s="383"/>
      <c r="AT72" s="383"/>
      <c r="AU72" s="383"/>
      <c r="AV72" s="383"/>
      <c r="AW72" s="383"/>
      <c r="AX72" s="384"/>
      <c r="AY72" s="382"/>
      <c r="AZ72" s="383"/>
      <c r="BA72" s="383"/>
      <c r="BB72" s="383"/>
      <c r="BC72" s="383"/>
      <c r="BD72" s="383"/>
      <c r="BE72" s="384"/>
      <c r="BF72" s="382"/>
      <c r="BG72" s="383"/>
      <c r="BH72" s="383"/>
      <c r="BI72" s="383"/>
      <c r="BJ72" s="383"/>
      <c r="BK72" s="383"/>
      <c r="BL72" s="384"/>
      <c r="BM72" s="351"/>
      <c r="BN72" s="351"/>
      <c r="BO72" s="351"/>
      <c r="BP72" s="351"/>
      <c r="BQ72" s="351"/>
      <c r="BR72" s="351"/>
      <c r="BS72" s="351"/>
      <c r="BT72" s="351"/>
      <c r="BU72" s="351"/>
      <c r="BV72" s="351"/>
      <c r="BW72" s="351"/>
      <c r="BX72" s="351"/>
      <c r="BY72" s="351"/>
      <c r="BZ72" s="351"/>
      <c r="CA72" s="351"/>
      <c r="CB72" s="351"/>
      <c r="CC72" s="351"/>
      <c r="CD72" s="351"/>
      <c r="CE72" s="351"/>
      <c r="CF72" s="351"/>
      <c r="CG72" s="351"/>
      <c r="CH72" s="351"/>
      <c r="CI72" s="351"/>
      <c r="CJ72" s="351"/>
      <c r="CK72" s="351"/>
      <c r="CL72" s="351"/>
      <c r="CM72" s="351"/>
      <c r="CN72" s="351"/>
      <c r="CO72" s="351"/>
      <c r="CP72" s="351"/>
      <c r="CQ72" s="351"/>
      <c r="CR72" s="351"/>
      <c r="CS72" s="351"/>
      <c r="CT72" s="351"/>
      <c r="CU72" s="351"/>
      <c r="CV72" s="351"/>
      <c r="CW72" s="351"/>
      <c r="CX72" s="351"/>
      <c r="CY72" s="351"/>
      <c r="CZ72" s="351"/>
      <c r="DA72" s="351"/>
      <c r="DB72" s="351"/>
      <c r="DC72" s="351"/>
      <c r="DD72" s="351"/>
      <c r="DE72" s="7"/>
    </row>
    <row r="73" spans="1:109" ht="15" customHeight="1">
      <c r="A73" s="6"/>
      <c r="B73" s="385"/>
      <c r="C73" s="386"/>
      <c r="D73" s="386"/>
      <c r="E73" s="386"/>
      <c r="F73" s="386"/>
      <c r="G73" s="386"/>
      <c r="H73" s="387"/>
      <c r="I73" s="385"/>
      <c r="J73" s="386"/>
      <c r="K73" s="386"/>
      <c r="L73" s="386"/>
      <c r="M73" s="386"/>
      <c r="N73" s="386"/>
      <c r="O73" s="387"/>
      <c r="P73" s="385"/>
      <c r="Q73" s="386"/>
      <c r="R73" s="386"/>
      <c r="S73" s="386"/>
      <c r="T73" s="386"/>
      <c r="U73" s="386"/>
      <c r="V73" s="387"/>
      <c r="W73" s="385"/>
      <c r="X73" s="386"/>
      <c r="Y73" s="386"/>
      <c r="Z73" s="386"/>
      <c r="AA73" s="386"/>
      <c r="AB73" s="386"/>
      <c r="AC73" s="387"/>
      <c r="AD73" s="385"/>
      <c r="AE73" s="386"/>
      <c r="AF73" s="386"/>
      <c r="AG73" s="386"/>
      <c r="AH73" s="386"/>
      <c r="AI73" s="386"/>
      <c r="AJ73" s="387"/>
      <c r="AK73" s="385"/>
      <c r="AL73" s="386"/>
      <c r="AM73" s="386"/>
      <c r="AN73" s="386"/>
      <c r="AO73" s="386"/>
      <c r="AP73" s="386"/>
      <c r="AQ73" s="387"/>
      <c r="AR73" s="385"/>
      <c r="AS73" s="386"/>
      <c r="AT73" s="386"/>
      <c r="AU73" s="386"/>
      <c r="AV73" s="386"/>
      <c r="AW73" s="386"/>
      <c r="AX73" s="387"/>
      <c r="AY73" s="385"/>
      <c r="AZ73" s="386"/>
      <c r="BA73" s="386"/>
      <c r="BB73" s="386"/>
      <c r="BC73" s="386"/>
      <c r="BD73" s="386"/>
      <c r="BE73" s="387"/>
      <c r="BF73" s="385"/>
      <c r="BG73" s="386"/>
      <c r="BH73" s="386"/>
      <c r="BI73" s="386"/>
      <c r="BJ73" s="386"/>
      <c r="BK73" s="386"/>
      <c r="BL73" s="387"/>
      <c r="BM73" s="351"/>
      <c r="BN73" s="351"/>
      <c r="BO73" s="351"/>
      <c r="BP73" s="351"/>
      <c r="BQ73" s="351"/>
      <c r="BR73" s="351"/>
      <c r="BS73" s="351"/>
      <c r="BT73" s="351"/>
      <c r="BU73" s="351"/>
      <c r="BV73" s="351"/>
      <c r="BW73" s="351"/>
      <c r="BX73" s="351"/>
      <c r="BY73" s="351"/>
      <c r="BZ73" s="351"/>
      <c r="CA73" s="351"/>
      <c r="CB73" s="351"/>
      <c r="CC73" s="351"/>
      <c r="CD73" s="351"/>
      <c r="CE73" s="351"/>
      <c r="CF73" s="351"/>
      <c r="CG73" s="351"/>
      <c r="CH73" s="351"/>
      <c r="CI73" s="351"/>
      <c r="CJ73" s="351"/>
      <c r="CK73" s="351"/>
      <c r="CL73" s="351"/>
      <c r="CM73" s="351"/>
      <c r="CN73" s="351"/>
      <c r="CO73" s="351"/>
      <c r="CP73" s="351"/>
      <c r="CQ73" s="351"/>
      <c r="CR73" s="351"/>
      <c r="CS73" s="351"/>
      <c r="CT73" s="351"/>
      <c r="CU73" s="351"/>
      <c r="CV73" s="351"/>
      <c r="CW73" s="351"/>
      <c r="CX73" s="351"/>
      <c r="CY73" s="351"/>
      <c r="CZ73" s="351"/>
      <c r="DA73" s="351"/>
      <c r="DB73" s="351"/>
      <c r="DC73" s="351"/>
      <c r="DD73" s="351"/>
      <c r="DE73" s="7"/>
    </row>
    <row r="74" spans="1:109" ht="15" customHeight="1">
      <c r="A74" s="8"/>
      <c r="B74" s="353"/>
      <c r="C74" s="354"/>
      <c r="D74" s="354"/>
      <c r="E74" s="354"/>
      <c r="F74" s="354"/>
      <c r="G74" s="354"/>
      <c r="H74" s="355"/>
      <c r="I74" s="352"/>
      <c r="J74" s="352"/>
      <c r="K74" s="352"/>
      <c r="L74" s="352"/>
      <c r="M74" s="352"/>
      <c r="N74" s="352"/>
      <c r="O74" s="352"/>
      <c r="P74" s="352"/>
      <c r="Q74" s="352"/>
      <c r="R74" s="352"/>
      <c r="S74" s="352"/>
      <c r="T74" s="352"/>
      <c r="U74" s="352"/>
      <c r="V74" s="352"/>
      <c r="W74" s="352"/>
      <c r="X74" s="352"/>
      <c r="Y74" s="352"/>
      <c r="Z74" s="352"/>
      <c r="AA74" s="352"/>
      <c r="AB74" s="352"/>
      <c r="AC74" s="352"/>
      <c r="AD74" s="352"/>
      <c r="AE74" s="352"/>
      <c r="AF74" s="352"/>
      <c r="AG74" s="352"/>
      <c r="AH74" s="352"/>
      <c r="AI74" s="352"/>
      <c r="AJ74" s="352"/>
      <c r="AK74" s="352"/>
      <c r="AL74" s="352"/>
      <c r="AM74" s="352"/>
      <c r="AN74" s="352"/>
      <c r="AO74" s="352"/>
      <c r="AP74" s="352"/>
      <c r="AQ74" s="352"/>
      <c r="AR74" s="352"/>
      <c r="AS74" s="352"/>
      <c r="AT74" s="352"/>
      <c r="AU74" s="352"/>
      <c r="AV74" s="352"/>
      <c r="AW74" s="352"/>
      <c r="AX74" s="352"/>
      <c r="AY74" s="352"/>
      <c r="AZ74" s="352"/>
      <c r="BA74" s="352"/>
      <c r="BB74" s="352"/>
      <c r="BC74" s="352"/>
      <c r="BD74" s="352"/>
      <c r="BE74" s="352"/>
      <c r="BF74" s="352"/>
      <c r="BG74" s="352"/>
      <c r="BH74" s="352"/>
      <c r="BI74" s="352"/>
      <c r="BJ74" s="352"/>
      <c r="BK74" s="352"/>
      <c r="BL74" s="352"/>
      <c r="BM74" s="352"/>
      <c r="BN74" s="352"/>
      <c r="BO74" s="352"/>
      <c r="BP74" s="352"/>
      <c r="BQ74" s="352"/>
      <c r="BR74" s="352"/>
      <c r="BS74" s="352"/>
      <c r="BT74" s="352"/>
      <c r="BU74" s="352"/>
      <c r="BV74" s="352"/>
      <c r="BW74" s="352"/>
      <c r="BX74" s="352"/>
      <c r="BY74" s="352"/>
      <c r="BZ74" s="352"/>
      <c r="CA74" s="352"/>
      <c r="CB74" s="352"/>
      <c r="CC74" s="352"/>
      <c r="CD74" s="352"/>
      <c r="CE74" s="352"/>
      <c r="CF74" s="352"/>
      <c r="CG74" s="352"/>
      <c r="CH74" s="352"/>
      <c r="CI74" s="352"/>
      <c r="CJ74" s="352"/>
      <c r="CK74" s="352"/>
      <c r="CL74" s="352"/>
      <c r="CM74" s="352"/>
      <c r="CN74" s="352"/>
      <c r="CO74" s="352"/>
      <c r="CP74" s="352"/>
      <c r="CQ74" s="352"/>
      <c r="CR74" s="352"/>
      <c r="CS74" s="352"/>
      <c r="CT74" s="352"/>
      <c r="CU74" s="352"/>
      <c r="CV74" s="352"/>
      <c r="CW74" s="352"/>
      <c r="CX74" s="352"/>
      <c r="CY74" s="352"/>
      <c r="CZ74" s="352"/>
      <c r="DA74" s="352"/>
      <c r="DB74" s="352"/>
      <c r="DC74" s="352"/>
      <c r="DD74" s="352"/>
      <c r="DE74" s="7"/>
    </row>
    <row r="75" spans="1:109" ht="15" customHeight="1">
      <c r="A75" s="8"/>
      <c r="B75" s="356"/>
      <c r="C75" s="357"/>
      <c r="D75" s="357"/>
      <c r="E75" s="357"/>
      <c r="F75" s="357"/>
      <c r="G75" s="357"/>
      <c r="H75" s="358"/>
      <c r="I75" s="352"/>
      <c r="J75" s="352"/>
      <c r="K75" s="352"/>
      <c r="L75" s="352"/>
      <c r="M75" s="352"/>
      <c r="N75" s="352"/>
      <c r="O75" s="352"/>
      <c r="P75" s="352"/>
      <c r="Q75" s="352"/>
      <c r="R75" s="352"/>
      <c r="S75" s="352"/>
      <c r="T75" s="352"/>
      <c r="U75" s="352"/>
      <c r="V75" s="352"/>
      <c r="W75" s="352"/>
      <c r="X75" s="352"/>
      <c r="Y75" s="352"/>
      <c r="Z75" s="352"/>
      <c r="AA75" s="352"/>
      <c r="AB75" s="352"/>
      <c r="AC75" s="352"/>
      <c r="AD75" s="352"/>
      <c r="AE75" s="352"/>
      <c r="AF75" s="352"/>
      <c r="AG75" s="352"/>
      <c r="AH75" s="352"/>
      <c r="AI75" s="352"/>
      <c r="AJ75" s="352"/>
      <c r="AK75" s="352"/>
      <c r="AL75" s="352"/>
      <c r="AM75" s="352"/>
      <c r="AN75" s="352"/>
      <c r="AO75" s="352"/>
      <c r="AP75" s="352"/>
      <c r="AQ75" s="352"/>
      <c r="AR75" s="352"/>
      <c r="AS75" s="352"/>
      <c r="AT75" s="352"/>
      <c r="AU75" s="352"/>
      <c r="AV75" s="352"/>
      <c r="AW75" s="352"/>
      <c r="AX75" s="352"/>
      <c r="AY75" s="352"/>
      <c r="AZ75" s="352"/>
      <c r="BA75" s="352"/>
      <c r="BB75" s="352"/>
      <c r="BC75" s="352"/>
      <c r="BD75" s="352"/>
      <c r="BE75" s="352"/>
      <c r="BF75" s="352"/>
      <c r="BG75" s="352"/>
      <c r="BH75" s="352"/>
      <c r="BI75" s="352"/>
      <c r="BJ75" s="352"/>
      <c r="BK75" s="352"/>
      <c r="BL75" s="352"/>
      <c r="BM75" s="352"/>
      <c r="BN75" s="352"/>
      <c r="BO75" s="352"/>
      <c r="BP75" s="352"/>
      <c r="BQ75" s="352"/>
      <c r="BR75" s="352"/>
      <c r="BS75" s="352"/>
      <c r="BT75" s="352"/>
      <c r="BU75" s="352"/>
      <c r="BV75" s="352"/>
      <c r="BW75" s="352"/>
      <c r="BX75" s="352"/>
      <c r="BY75" s="352"/>
      <c r="BZ75" s="352"/>
      <c r="CA75" s="352"/>
      <c r="CB75" s="352"/>
      <c r="CC75" s="352"/>
      <c r="CD75" s="352"/>
      <c r="CE75" s="352"/>
      <c r="CF75" s="352"/>
      <c r="CG75" s="352"/>
      <c r="CH75" s="352"/>
      <c r="CI75" s="352"/>
      <c r="CJ75" s="352"/>
      <c r="CK75" s="352"/>
      <c r="CL75" s="352"/>
      <c r="CM75" s="352"/>
      <c r="CN75" s="352"/>
      <c r="CO75" s="352"/>
      <c r="CP75" s="352"/>
      <c r="CQ75" s="352"/>
      <c r="CR75" s="352"/>
      <c r="CS75" s="352"/>
      <c r="CT75" s="352"/>
      <c r="CU75" s="352"/>
      <c r="CV75" s="352"/>
      <c r="CW75" s="352"/>
      <c r="CX75" s="352"/>
      <c r="CY75" s="352"/>
      <c r="CZ75" s="352"/>
      <c r="DA75" s="352"/>
      <c r="DB75" s="352"/>
      <c r="DC75" s="352"/>
      <c r="DD75" s="352"/>
      <c r="DE75" s="7"/>
    </row>
    <row r="76" spans="1:109" ht="15" customHeight="1">
      <c r="A76" s="3"/>
      <c r="B76" s="382"/>
      <c r="C76" s="383"/>
      <c r="D76" s="383"/>
      <c r="E76" s="383"/>
      <c r="F76" s="383"/>
      <c r="G76" s="383"/>
      <c r="H76" s="384"/>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c r="BI76" s="351"/>
      <c r="BJ76" s="351"/>
      <c r="BK76" s="351"/>
      <c r="BL76" s="351"/>
      <c r="BM76" s="351"/>
      <c r="BN76" s="351"/>
      <c r="BO76" s="351"/>
      <c r="BP76" s="351"/>
      <c r="BQ76" s="351"/>
      <c r="BR76" s="351"/>
      <c r="BS76" s="351"/>
      <c r="BT76" s="351"/>
      <c r="BU76" s="351"/>
      <c r="BV76" s="351"/>
      <c r="BW76" s="351"/>
      <c r="BX76" s="351"/>
      <c r="BY76" s="351"/>
      <c r="BZ76" s="351"/>
      <c r="CA76" s="351"/>
      <c r="CB76" s="351"/>
      <c r="CC76" s="351"/>
      <c r="CD76" s="351"/>
      <c r="CE76" s="351"/>
      <c r="CF76" s="351"/>
      <c r="CG76" s="351"/>
      <c r="CH76" s="351"/>
      <c r="CI76" s="351"/>
      <c r="CJ76" s="351"/>
      <c r="CK76" s="351"/>
      <c r="CL76" s="351"/>
      <c r="CM76" s="351"/>
      <c r="CN76" s="351"/>
      <c r="CO76" s="351"/>
      <c r="CP76" s="351"/>
      <c r="CQ76" s="351"/>
      <c r="CR76" s="351"/>
      <c r="CS76" s="351"/>
      <c r="CT76" s="351"/>
      <c r="CU76" s="351"/>
      <c r="CV76" s="351"/>
      <c r="CW76" s="351"/>
      <c r="CX76" s="351"/>
      <c r="CY76" s="351"/>
      <c r="CZ76" s="351"/>
      <c r="DA76" s="351"/>
      <c r="DB76" s="351"/>
      <c r="DC76" s="351"/>
      <c r="DD76" s="351"/>
      <c r="DE76" s="7"/>
    </row>
    <row r="77" spans="1:109" ht="15" customHeight="1">
      <c r="A77" s="3"/>
      <c r="B77" s="385"/>
      <c r="C77" s="386"/>
      <c r="D77" s="386"/>
      <c r="E77" s="386"/>
      <c r="F77" s="386"/>
      <c r="G77" s="386"/>
      <c r="H77" s="387"/>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c r="BI77" s="351"/>
      <c r="BJ77" s="351"/>
      <c r="BK77" s="351"/>
      <c r="BL77" s="351"/>
      <c r="BM77" s="351"/>
      <c r="BN77" s="351"/>
      <c r="BO77" s="351"/>
      <c r="BP77" s="351"/>
      <c r="BQ77" s="351"/>
      <c r="BR77" s="351"/>
      <c r="BS77" s="351"/>
      <c r="BT77" s="351"/>
      <c r="BU77" s="351"/>
      <c r="BV77" s="351"/>
      <c r="BW77" s="351"/>
      <c r="BX77" s="351"/>
      <c r="BY77" s="351"/>
      <c r="BZ77" s="351"/>
      <c r="CA77" s="351"/>
      <c r="CB77" s="351"/>
      <c r="CC77" s="351"/>
      <c r="CD77" s="351"/>
      <c r="CE77" s="351"/>
      <c r="CF77" s="351"/>
      <c r="CG77" s="351"/>
      <c r="CH77" s="351"/>
      <c r="CI77" s="351"/>
      <c r="CJ77" s="351"/>
      <c r="CK77" s="351"/>
      <c r="CL77" s="351"/>
      <c r="CM77" s="351"/>
      <c r="CN77" s="351"/>
      <c r="CO77" s="351"/>
      <c r="CP77" s="351"/>
      <c r="CQ77" s="351"/>
      <c r="CR77" s="351"/>
      <c r="CS77" s="351"/>
      <c r="CT77" s="351"/>
      <c r="CU77" s="351"/>
      <c r="CV77" s="351"/>
      <c r="CW77" s="351"/>
      <c r="CX77" s="351"/>
      <c r="CY77" s="351"/>
      <c r="CZ77" s="351"/>
      <c r="DA77" s="351"/>
      <c r="DB77" s="351"/>
      <c r="DC77" s="351"/>
      <c r="DD77" s="351"/>
      <c r="DE77" s="7"/>
    </row>
    <row r="78" spans="1:109" ht="15" customHeight="1">
      <c r="A78" s="3"/>
      <c r="B78" s="352"/>
      <c r="C78" s="352"/>
      <c r="D78" s="352"/>
      <c r="E78" s="352"/>
      <c r="F78" s="352"/>
      <c r="G78" s="352"/>
      <c r="H78" s="352"/>
      <c r="I78" s="352"/>
      <c r="J78" s="352"/>
      <c r="K78" s="352"/>
      <c r="L78" s="352"/>
      <c r="M78" s="352"/>
      <c r="N78" s="352"/>
      <c r="O78" s="352"/>
      <c r="P78" s="352"/>
      <c r="Q78" s="352"/>
      <c r="R78" s="352"/>
      <c r="S78" s="352"/>
      <c r="T78" s="352"/>
      <c r="U78" s="352"/>
      <c r="V78" s="352"/>
      <c r="W78" s="352"/>
      <c r="X78" s="352"/>
      <c r="Y78" s="352"/>
      <c r="Z78" s="352"/>
      <c r="AA78" s="352"/>
      <c r="AB78" s="352"/>
      <c r="AC78" s="352"/>
      <c r="AD78" s="416"/>
      <c r="AE78" s="352"/>
      <c r="AF78" s="352"/>
      <c r="AG78" s="352"/>
      <c r="AH78" s="352"/>
      <c r="AI78" s="352"/>
      <c r="AJ78" s="352"/>
      <c r="AK78" s="416"/>
      <c r="AL78" s="352"/>
      <c r="AM78" s="352"/>
      <c r="AN78" s="352"/>
      <c r="AO78" s="352"/>
      <c r="AP78" s="352"/>
      <c r="AQ78" s="352"/>
      <c r="AR78" s="352"/>
      <c r="AS78" s="352"/>
      <c r="AT78" s="352"/>
      <c r="AU78" s="352"/>
      <c r="AV78" s="352"/>
      <c r="AW78" s="352"/>
      <c r="AX78" s="352"/>
      <c r="AY78" s="352"/>
      <c r="AZ78" s="352"/>
      <c r="BA78" s="352"/>
      <c r="BB78" s="352"/>
      <c r="BC78" s="352"/>
      <c r="BD78" s="352"/>
      <c r="BE78" s="352"/>
      <c r="BF78" s="416"/>
      <c r="BG78" s="352"/>
      <c r="BH78" s="352"/>
      <c r="BI78" s="352"/>
      <c r="BJ78" s="352"/>
      <c r="BK78" s="352"/>
      <c r="BL78" s="352"/>
      <c r="BM78" s="416"/>
      <c r="BN78" s="352"/>
      <c r="BO78" s="352"/>
      <c r="BP78" s="352"/>
      <c r="BQ78" s="352"/>
      <c r="BR78" s="352"/>
      <c r="BS78" s="352"/>
      <c r="BT78" s="352"/>
      <c r="BU78" s="352"/>
      <c r="BV78" s="352"/>
      <c r="BW78" s="352"/>
      <c r="BX78" s="352"/>
      <c r="BY78" s="352"/>
      <c r="BZ78" s="352"/>
      <c r="CA78" s="352"/>
      <c r="CB78" s="352"/>
      <c r="CC78" s="352"/>
      <c r="CD78" s="352"/>
      <c r="CE78" s="352"/>
      <c r="CF78" s="352"/>
      <c r="CG78" s="352"/>
      <c r="CH78" s="352"/>
      <c r="CI78" s="352"/>
      <c r="CJ78" s="352"/>
      <c r="CK78" s="352"/>
      <c r="CL78" s="352"/>
      <c r="CM78" s="352"/>
      <c r="CN78" s="352"/>
      <c r="CO78" s="352"/>
      <c r="CP78" s="352"/>
      <c r="CQ78" s="352"/>
      <c r="CR78" s="352"/>
      <c r="CS78" s="352"/>
      <c r="CT78" s="352"/>
      <c r="CU78" s="352"/>
      <c r="CV78" s="352"/>
      <c r="CW78" s="352"/>
      <c r="CX78" s="352"/>
      <c r="CY78" s="352"/>
      <c r="CZ78" s="352"/>
      <c r="DA78" s="352"/>
      <c r="DB78" s="352"/>
      <c r="DC78" s="352"/>
      <c r="DD78" s="352"/>
      <c r="DE78" s="24"/>
    </row>
    <row r="79" spans="1:109" ht="15" customHeight="1">
      <c r="A79" s="3"/>
      <c r="B79" s="352"/>
      <c r="C79" s="352"/>
      <c r="D79" s="352"/>
      <c r="E79" s="352"/>
      <c r="F79" s="352"/>
      <c r="G79" s="352"/>
      <c r="H79" s="352"/>
      <c r="I79" s="352"/>
      <c r="J79" s="352"/>
      <c r="K79" s="352"/>
      <c r="L79" s="352"/>
      <c r="M79" s="352"/>
      <c r="N79" s="352"/>
      <c r="O79" s="352"/>
      <c r="P79" s="352"/>
      <c r="Q79" s="352"/>
      <c r="R79" s="352"/>
      <c r="S79" s="352"/>
      <c r="T79" s="352"/>
      <c r="U79" s="352"/>
      <c r="V79" s="352"/>
      <c r="W79" s="352"/>
      <c r="X79" s="352"/>
      <c r="Y79" s="352"/>
      <c r="Z79" s="352"/>
      <c r="AA79" s="352"/>
      <c r="AB79" s="352"/>
      <c r="AC79" s="352"/>
      <c r="AD79" s="352"/>
      <c r="AE79" s="352"/>
      <c r="AF79" s="352"/>
      <c r="AG79" s="352"/>
      <c r="AH79" s="352"/>
      <c r="AI79" s="352"/>
      <c r="AJ79" s="352"/>
      <c r="AK79" s="352"/>
      <c r="AL79" s="352"/>
      <c r="AM79" s="352"/>
      <c r="AN79" s="352"/>
      <c r="AO79" s="352"/>
      <c r="AP79" s="352"/>
      <c r="AQ79" s="352"/>
      <c r="AR79" s="352"/>
      <c r="AS79" s="352"/>
      <c r="AT79" s="352"/>
      <c r="AU79" s="352"/>
      <c r="AV79" s="352"/>
      <c r="AW79" s="352"/>
      <c r="AX79" s="352"/>
      <c r="AY79" s="352"/>
      <c r="AZ79" s="352"/>
      <c r="BA79" s="352"/>
      <c r="BB79" s="352"/>
      <c r="BC79" s="352"/>
      <c r="BD79" s="352"/>
      <c r="BE79" s="352"/>
      <c r="BF79" s="352"/>
      <c r="BG79" s="352"/>
      <c r="BH79" s="352"/>
      <c r="BI79" s="352"/>
      <c r="BJ79" s="352"/>
      <c r="BK79" s="352"/>
      <c r="BL79" s="352"/>
      <c r="BM79" s="352"/>
      <c r="BN79" s="352"/>
      <c r="BO79" s="352"/>
      <c r="BP79" s="352"/>
      <c r="BQ79" s="352"/>
      <c r="BR79" s="352"/>
      <c r="BS79" s="352"/>
      <c r="BT79" s="352"/>
      <c r="BU79" s="352"/>
      <c r="BV79" s="352"/>
      <c r="BW79" s="352"/>
      <c r="BX79" s="352"/>
      <c r="BY79" s="352"/>
      <c r="BZ79" s="352"/>
      <c r="CA79" s="352"/>
      <c r="CB79" s="352"/>
      <c r="CC79" s="352"/>
      <c r="CD79" s="352"/>
      <c r="CE79" s="352"/>
      <c r="CF79" s="352"/>
      <c r="CG79" s="352"/>
      <c r="CH79" s="352"/>
      <c r="CI79" s="352"/>
      <c r="CJ79" s="352"/>
      <c r="CK79" s="352"/>
      <c r="CL79" s="352"/>
      <c r="CM79" s="352"/>
      <c r="CN79" s="352"/>
      <c r="CO79" s="352"/>
      <c r="CP79" s="352"/>
      <c r="CQ79" s="352"/>
      <c r="CR79" s="352"/>
      <c r="CS79" s="352"/>
      <c r="CT79" s="352"/>
      <c r="CU79" s="352"/>
      <c r="CV79" s="352"/>
      <c r="CW79" s="352"/>
      <c r="CX79" s="352"/>
      <c r="CY79" s="352"/>
      <c r="CZ79" s="352"/>
      <c r="DA79" s="352"/>
      <c r="DB79" s="352"/>
      <c r="DC79" s="352"/>
      <c r="DD79" s="352"/>
      <c r="DE79" s="7"/>
    </row>
    <row r="80" spans="1:109" ht="15" customHeight="1">
      <c r="A80" s="8"/>
      <c r="B80" s="351"/>
      <c r="C80" s="351"/>
      <c r="D80" s="351"/>
      <c r="E80" s="351"/>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c r="BI80" s="351"/>
      <c r="BJ80" s="351"/>
      <c r="BK80" s="351"/>
      <c r="BL80" s="351"/>
      <c r="BM80" s="351"/>
      <c r="BN80" s="351"/>
      <c r="BO80" s="351"/>
      <c r="BP80" s="351"/>
      <c r="BQ80" s="351"/>
      <c r="BR80" s="351"/>
      <c r="BS80" s="351"/>
      <c r="BT80" s="351"/>
      <c r="BU80" s="351"/>
      <c r="BV80" s="351"/>
      <c r="BW80" s="351"/>
      <c r="BX80" s="351"/>
      <c r="BY80" s="351"/>
      <c r="BZ80" s="351"/>
      <c r="CA80" s="351"/>
      <c r="CB80" s="351"/>
      <c r="CC80" s="351"/>
      <c r="CD80" s="351"/>
      <c r="CE80" s="351"/>
      <c r="CF80" s="351"/>
      <c r="CG80" s="351"/>
      <c r="CH80" s="351"/>
      <c r="CI80" s="351"/>
      <c r="CJ80" s="351"/>
      <c r="CK80" s="351"/>
      <c r="CL80" s="351"/>
      <c r="CM80" s="351"/>
      <c r="CN80" s="351"/>
      <c r="CO80" s="351"/>
      <c r="CP80" s="351"/>
      <c r="CQ80" s="351"/>
      <c r="CR80" s="351"/>
      <c r="CS80" s="351"/>
      <c r="CT80" s="351"/>
      <c r="CU80" s="351"/>
      <c r="CV80" s="351"/>
      <c r="CW80" s="351"/>
      <c r="CX80" s="351"/>
      <c r="CY80" s="351"/>
      <c r="CZ80" s="351"/>
      <c r="DA80" s="351"/>
      <c r="DB80" s="351"/>
      <c r="DC80" s="351"/>
      <c r="DD80" s="351"/>
      <c r="DE80" s="7"/>
    </row>
    <row r="81" spans="1:109" ht="15" customHeight="1">
      <c r="A81" s="6"/>
      <c r="B81" s="351"/>
      <c r="C81" s="351"/>
      <c r="D81" s="351"/>
      <c r="E81" s="351"/>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c r="BI81" s="351"/>
      <c r="BJ81" s="351"/>
      <c r="BK81" s="351"/>
      <c r="BL81" s="351"/>
      <c r="BM81" s="351"/>
      <c r="BN81" s="351"/>
      <c r="BO81" s="351"/>
      <c r="BP81" s="351"/>
      <c r="BQ81" s="351"/>
      <c r="BR81" s="351"/>
      <c r="BS81" s="351"/>
      <c r="BT81" s="351"/>
      <c r="BU81" s="351"/>
      <c r="BV81" s="351"/>
      <c r="BW81" s="351"/>
      <c r="BX81" s="351"/>
      <c r="BY81" s="351"/>
      <c r="BZ81" s="351"/>
      <c r="CA81" s="351"/>
      <c r="CB81" s="351"/>
      <c r="CC81" s="351"/>
      <c r="CD81" s="351"/>
      <c r="CE81" s="351"/>
      <c r="CF81" s="351"/>
      <c r="CG81" s="351"/>
      <c r="CH81" s="351"/>
      <c r="CI81" s="351"/>
      <c r="CJ81" s="351"/>
      <c r="CK81" s="351"/>
      <c r="CL81" s="351"/>
      <c r="CM81" s="351"/>
      <c r="CN81" s="351"/>
      <c r="CO81" s="351"/>
      <c r="CP81" s="351"/>
      <c r="CQ81" s="351"/>
      <c r="CR81" s="351"/>
      <c r="CS81" s="351"/>
      <c r="CT81" s="351"/>
      <c r="CU81" s="351"/>
      <c r="CV81" s="351"/>
      <c r="CW81" s="351"/>
      <c r="CX81" s="351"/>
      <c r="CY81" s="351"/>
      <c r="CZ81" s="351"/>
      <c r="DA81" s="351"/>
      <c r="DB81" s="351"/>
      <c r="DC81" s="351"/>
      <c r="DD81" s="351"/>
      <c r="DE81" s="7"/>
    </row>
    <row r="82" spans="1:109" ht="15" customHeight="1">
      <c r="A82" s="3"/>
      <c r="B82" s="353"/>
      <c r="C82" s="354"/>
      <c r="D82" s="354"/>
      <c r="E82" s="354"/>
      <c r="F82" s="354"/>
      <c r="G82" s="354"/>
      <c r="H82" s="355"/>
      <c r="I82" s="352"/>
      <c r="J82" s="352"/>
      <c r="K82" s="352"/>
      <c r="L82" s="352"/>
      <c r="M82" s="352"/>
      <c r="N82" s="352"/>
      <c r="O82" s="352"/>
      <c r="P82" s="352"/>
      <c r="Q82" s="352"/>
      <c r="R82" s="352"/>
      <c r="S82" s="352"/>
      <c r="T82" s="352"/>
      <c r="U82" s="352"/>
      <c r="V82" s="352"/>
      <c r="W82" s="352"/>
      <c r="X82" s="352"/>
      <c r="Y82" s="352"/>
      <c r="Z82" s="352"/>
      <c r="AA82" s="352"/>
      <c r="AB82" s="352"/>
      <c r="AC82" s="352"/>
      <c r="AD82" s="352"/>
      <c r="AE82" s="352"/>
      <c r="AF82" s="352"/>
      <c r="AG82" s="352"/>
      <c r="AH82" s="352"/>
      <c r="AI82" s="352"/>
      <c r="AJ82" s="352"/>
      <c r="AK82" s="352"/>
      <c r="AL82" s="352"/>
      <c r="AM82" s="352"/>
      <c r="AN82" s="352"/>
      <c r="AO82" s="352"/>
      <c r="AP82" s="352"/>
      <c r="AQ82" s="352"/>
      <c r="AR82" s="352"/>
      <c r="AS82" s="352"/>
      <c r="AT82" s="352"/>
      <c r="AU82" s="352"/>
      <c r="AV82" s="352"/>
      <c r="AW82" s="352"/>
      <c r="AX82" s="352"/>
      <c r="AY82" s="352"/>
      <c r="AZ82" s="352"/>
      <c r="BA82" s="352"/>
      <c r="BB82" s="352"/>
      <c r="BC82" s="352"/>
      <c r="BD82" s="352"/>
      <c r="BE82" s="352"/>
      <c r="BF82" s="352"/>
      <c r="BG82" s="352"/>
      <c r="BH82" s="352"/>
      <c r="BI82" s="352"/>
      <c r="BJ82" s="352"/>
      <c r="BK82" s="352"/>
      <c r="BL82" s="352"/>
      <c r="BM82" s="352"/>
      <c r="BN82" s="352"/>
      <c r="BO82" s="352"/>
      <c r="BP82" s="352"/>
      <c r="BQ82" s="352"/>
      <c r="BR82" s="352"/>
      <c r="BS82" s="352"/>
      <c r="BT82" s="352"/>
      <c r="BU82" s="352"/>
      <c r="BV82" s="352"/>
      <c r="BW82" s="352"/>
      <c r="BX82" s="352"/>
      <c r="BY82" s="352"/>
      <c r="BZ82" s="352"/>
      <c r="CA82" s="352"/>
      <c r="CB82" s="352"/>
      <c r="CC82" s="352"/>
      <c r="CD82" s="352"/>
      <c r="CE82" s="352"/>
      <c r="CF82" s="352"/>
      <c r="CG82" s="352"/>
      <c r="CH82" s="352"/>
      <c r="CI82" s="352"/>
      <c r="CJ82" s="352"/>
      <c r="CK82" s="352"/>
      <c r="CL82" s="352"/>
      <c r="CM82" s="352"/>
      <c r="CN82" s="352"/>
      <c r="CO82" s="352"/>
      <c r="CP82" s="352"/>
      <c r="CQ82" s="352"/>
      <c r="CR82" s="352"/>
      <c r="CS82" s="352"/>
      <c r="CT82" s="352"/>
      <c r="CU82" s="352"/>
      <c r="CV82" s="352"/>
      <c r="CW82" s="352"/>
      <c r="CX82" s="352"/>
      <c r="CY82" s="352"/>
      <c r="CZ82" s="352"/>
      <c r="DA82" s="352"/>
      <c r="DB82" s="352"/>
      <c r="DC82" s="352"/>
      <c r="DD82" s="352"/>
      <c r="DE82" s="7"/>
    </row>
    <row r="83" spans="1:109" ht="15" customHeight="1">
      <c r="A83" s="6"/>
      <c r="B83" s="356"/>
      <c r="C83" s="357"/>
      <c r="D83" s="357"/>
      <c r="E83" s="357"/>
      <c r="F83" s="357"/>
      <c r="G83" s="357"/>
      <c r="H83" s="358"/>
      <c r="I83" s="352"/>
      <c r="J83" s="352"/>
      <c r="K83" s="352"/>
      <c r="L83" s="352"/>
      <c r="M83" s="352"/>
      <c r="N83" s="352"/>
      <c r="O83" s="352"/>
      <c r="P83" s="352"/>
      <c r="Q83" s="352"/>
      <c r="R83" s="352"/>
      <c r="S83" s="352"/>
      <c r="T83" s="352"/>
      <c r="U83" s="352"/>
      <c r="V83" s="352"/>
      <c r="W83" s="352"/>
      <c r="X83" s="352"/>
      <c r="Y83" s="352"/>
      <c r="Z83" s="352"/>
      <c r="AA83" s="352"/>
      <c r="AB83" s="352"/>
      <c r="AC83" s="352"/>
      <c r="AD83" s="352"/>
      <c r="AE83" s="352"/>
      <c r="AF83" s="352"/>
      <c r="AG83" s="352"/>
      <c r="AH83" s="352"/>
      <c r="AI83" s="352"/>
      <c r="AJ83" s="352"/>
      <c r="AK83" s="352"/>
      <c r="AL83" s="352"/>
      <c r="AM83" s="352"/>
      <c r="AN83" s="352"/>
      <c r="AO83" s="352"/>
      <c r="AP83" s="352"/>
      <c r="AQ83" s="352"/>
      <c r="AR83" s="352"/>
      <c r="AS83" s="352"/>
      <c r="AT83" s="352"/>
      <c r="AU83" s="352"/>
      <c r="AV83" s="352"/>
      <c r="AW83" s="352"/>
      <c r="AX83" s="352"/>
      <c r="AY83" s="352"/>
      <c r="AZ83" s="352"/>
      <c r="BA83" s="352"/>
      <c r="BB83" s="352"/>
      <c r="BC83" s="352"/>
      <c r="BD83" s="352"/>
      <c r="BE83" s="352"/>
      <c r="BF83" s="352"/>
      <c r="BG83" s="352"/>
      <c r="BH83" s="352"/>
      <c r="BI83" s="352"/>
      <c r="BJ83" s="352"/>
      <c r="BK83" s="352"/>
      <c r="BL83" s="352"/>
      <c r="BM83" s="352"/>
      <c r="BN83" s="352"/>
      <c r="BO83" s="352"/>
      <c r="BP83" s="352"/>
      <c r="BQ83" s="352"/>
      <c r="BR83" s="352"/>
      <c r="BS83" s="352"/>
      <c r="BT83" s="352"/>
      <c r="BU83" s="352"/>
      <c r="BV83" s="352"/>
      <c r="BW83" s="352"/>
      <c r="BX83" s="352"/>
      <c r="BY83" s="352"/>
      <c r="BZ83" s="352"/>
      <c r="CA83" s="352"/>
      <c r="CB83" s="352"/>
      <c r="CC83" s="352"/>
      <c r="CD83" s="352"/>
      <c r="CE83" s="352"/>
      <c r="CF83" s="352"/>
      <c r="CG83" s="352"/>
      <c r="CH83" s="352"/>
      <c r="CI83" s="352"/>
      <c r="CJ83" s="352"/>
      <c r="CK83" s="352"/>
      <c r="CL83" s="352"/>
      <c r="CM83" s="352"/>
      <c r="CN83" s="352"/>
      <c r="CO83" s="352"/>
      <c r="CP83" s="352"/>
      <c r="CQ83" s="352"/>
      <c r="CR83" s="352"/>
      <c r="CS83" s="352"/>
      <c r="CT83" s="352"/>
      <c r="CU83" s="352"/>
      <c r="CV83" s="352"/>
      <c r="CW83" s="352"/>
      <c r="CX83" s="352"/>
      <c r="CY83" s="352"/>
      <c r="CZ83" s="352"/>
      <c r="DA83" s="352"/>
      <c r="DB83" s="352"/>
      <c r="DC83" s="352"/>
      <c r="DD83" s="352"/>
      <c r="DE83" s="7"/>
    </row>
    <row r="84" spans="1:109" ht="15" customHeight="1">
      <c r="A84" s="6"/>
      <c r="B84" s="382"/>
      <c r="C84" s="383"/>
      <c r="D84" s="383"/>
      <c r="E84" s="383"/>
      <c r="F84" s="383"/>
      <c r="G84" s="383"/>
      <c r="H84" s="384"/>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c r="BI84" s="351"/>
      <c r="BJ84" s="351"/>
      <c r="BK84" s="351"/>
      <c r="BL84" s="351"/>
      <c r="BM84" s="351"/>
      <c r="BN84" s="351"/>
      <c r="BO84" s="351"/>
      <c r="BP84" s="351"/>
      <c r="BQ84" s="351"/>
      <c r="BR84" s="351"/>
      <c r="BS84" s="351"/>
      <c r="BT84" s="351"/>
      <c r="BU84" s="351"/>
      <c r="BV84" s="351"/>
      <c r="BW84" s="351"/>
      <c r="BX84" s="351"/>
      <c r="BY84" s="351"/>
      <c r="BZ84" s="351"/>
      <c r="CA84" s="351"/>
      <c r="CB84" s="351"/>
      <c r="CC84" s="351"/>
      <c r="CD84" s="351"/>
      <c r="CE84" s="351"/>
      <c r="CF84" s="351"/>
      <c r="CG84" s="351"/>
      <c r="CH84" s="351"/>
      <c r="CI84" s="351"/>
      <c r="CJ84" s="351"/>
      <c r="CK84" s="351"/>
      <c r="CL84" s="351"/>
      <c r="CM84" s="351"/>
      <c r="CN84" s="351"/>
      <c r="CO84" s="351"/>
      <c r="CP84" s="351"/>
      <c r="CQ84" s="351"/>
      <c r="CR84" s="351"/>
      <c r="CS84" s="351"/>
      <c r="CT84" s="351"/>
      <c r="CU84" s="351"/>
      <c r="CV84" s="351"/>
      <c r="CW84" s="351"/>
      <c r="CX84" s="351"/>
      <c r="CY84" s="351"/>
      <c r="CZ84" s="351"/>
      <c r="DA84" s="351"/>
      <c r="DB84" s="351"/>
      <c r="DC84" s="351"/>
      <c r="DD84" s="351"/>
      <c r="DE84" s="7"/>
    </row>
    <row r="85" spans="1:109" ht="15" customHeight="1">
      <c r="A85" s="3"/>
      <c r="B85" s="385"/>
      <c r="C85" s="386"/>
      <c r="D85" s="386"/>
      <c r="E85" s="386"/>
      <c r="F85" s="386"/>
      <c r="G85" s="386"/>
      <c r="H85" s="387"/>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c r="BI85" s="351"/>
      <c r="BJ85" s="351"/>
      <c r="BK85" s="351"/>
      <c r="BL85" s="351"/>
      <c r="BM85" s="351"/>
      <c r="BN85" s="351"/>
      <c r="BO85" s="351"/>
      <c r="BP85" s="351"/>
      <c r="BQ85" s="351"/>
      <c r="BR85" s="351"/>
      <c r="BS85" s="351"/>
      <c r="BT85" s="351"/>
      <c r="BU85" s="351"/>
      <c r="BV85" s="351"/>
      <c r="BW85" s="351"/>
      <c r="BX85" s="351"/>
      <c r="BY85" s="351"/>
      <c r="BZ85" s="351"/>
      <c r="CA85" s="351"/>
      <c r="CB85" s="351"/>
      <c r="CC85" s="351"/>
      <c r="CD85" s="351"/>
      <c r="CE85" s="351"/>
      <c r="CF85" s="351"/>
      <c r="CG85" s="351"/>
      <c r="CH85" s="351"/>
      <c r="CI85" s="351"/>
      <c r="CJ85" s="351"/>
      <c r="CK85" s="351"/>
      <c r="CL85" s="351"/>
      <c r="CM85" s="351"/>
      <c r="CN85" s="351"/>
      <c r="CO85" s="351"/>
      <c r="CP85" s="351"/>
      <c r="CQ85" s="351"/>
      <c r="CR85" s="351"/>
      <c r="CS85" s="351"/>
      <c r="CT85" s="351"/>
      <c r="CU85" s="351"/>
      <c r="CV85" s="351"/>
      <c r="CW85" s="351"/>
      <c r="CX85" s="351"/>
      <c r="CY85" s="351"/>
      <c r="CZ85" s="351"/>
      <c r="DA85" s="351"/>
      <c r="DB85" s="351"/>
      <c r="DC85" s="351"/>
      <c r="DD85" s="351"/>
      <c r="DE85" s="7"/>
    </row>
    <row r="86" spans="1:109" ht="15" customHeight="1">
      <c r="A86" s="6"/>
      <c r="B86" s="353"/>
      <c r="C86" s="354"/>
      <c r="D86" s="354"/>
      <c r="E86" s="354"/>
      <c r="F86" s="354"/>
      <c r="G86" s="354"/>
      <c r="H86" s="355"/>
      <c r="I86" s="352"/>
      <c r="J86" s="352"/>
      <c r="K86" s="352"/>
      <c r="L86" s="352"/>
      <c r="M86" s="352"/>
      <c r="N86" s="352"/>
      <c r="O86" s="352"/>
      <c r="P86" s="352"/>
      <c r="Q86" s="352"/>
      <c r="R86" s="352"/>
      <c r="S86" s="352"/>
      <c r="T86" s="352"/>
      <c r="U86" s="352"/>
      <c r="V86" s="352"/>
      <c r="W86" s="352"/>
      <c r="X86" s="352"/>
      <c r="Y86" s="352"/>
      <c r="Z86" s="352"/>
      <c r="AA86" s="352"/>
      <c r="AB86" s="352"/>
      <c r="AC86" s="352"/>
      <c r="AD86" s="352"/>
      <c r="AE86" s="352"/>
      <c r="AF86" s="352"/>
      <c r="AG86" s="352"/>
      <c r="AH86" s="352"/>
      <c r="AI86" s="352"/>
      <c r="AJ86" s="352"/>
      <c r="AK86" s="352"/>
      <c r="AL86" s="352"/>
      <c r="AM86" s="352"/>
      <c r="AN86" s="352"/>
      <c r="AO86" s="352"/>
      <c r="AP86" s="352"/>
      <c r="AQ86" s="352"/>
      <c r="AR86" s="352"/>
      <c r="AS86" s="352"/>
      <c r="AT86" s="352"/>
      <c r="AU86" s="352"/>
      <c r="AV86" s="352"/>
      <c r="AW86" s="352"/>
      <c r="AX86" s="352"/>
      <c r="AY86" s="352"/>
      <c r="AZ86" s="352"/>
      <c r="BA86" s="352"/>
      <c r="BB86" s="352"/>
      <c r="BC86" s="352"/>
      <c r="BD86" s="352"/>
      <c r="BE86" s="352"/>
      <c r="BF86" s="352"/>
      <c r="BG86" s="352"/>
      <c r="BH86" s="352"/>
      <c r="BI86" s="352"/>
      <c r="BJ86" s="352"/>
      <c r="BK86" s="352"/>
      <c r="BL86" s="352"/>
      <c r="BM86" s="352"/>
      <c r="BN86" s="352"/>
      <c r="BO86" s="352"/>
      <c r="BP86" s="352"/>
      <c r="BQ86" s="352"/>
      <c r="BR86" s="352"/>
      <c r="BS86" s="352"/>
      <c r="BT86" s="352"/>
      <c r="BU86" s="352"/>
      <c r="BV86" s="352"/>
      <c r="BW86" s="352"/>
      <c r="BX86" s="352"/>
      <c r="BY86" s="352"/>
      <c r="BZ86" s="352"/>
      <c r="CA86" s="352"/>
      <c r="CB86" s="352"/>
      <c r="CC86" s="352"/>
      <c r="CD86" s="352"/>
      <c r="CE86" s="352"/>
      <c r="CF86" s="352"/>
      <c r="CG86" s="352"/>
      <c r="CH86" s="352"/>
      <c r="CI86" s="352"/>
      <c r="CJ86" s="352"/>
      <c r="CK86" s="352"/>
      <c r="CL86" s="352"/>
      <c r="CM86" s="352"/>
      <c r="CN86" s="352"/>
      <c r="CO86" s="352"/>
      <c r="CP86" s="352"/>
      <c r="CQ86" s="352"/>
      <c r="CR86" s="352"/>
      <c r="CS86" s="352"/>
      <c r="CT86" s="352"/>
      <c r="CU86" s="352"/>
      <c r="CV86" s="352"/>
      <c r="CW86" s="352"/>
      <c r="CX86" s="352"/>
      <c r="CY86" s="352"/>
      <c r="CZ86" s="352"/>
      <c r="DA86" s="352"/>
      <c r="DB86" s="352"/>
      <c r="DC86" s="352"/>
      <c r="DD86" s="352"/>
      <c r="DE86" s="7"/>
    </row>
    <row r="87" spans="1:109" ht="15" customHeight="1">
      <c r="A87" s="8"/>
      <c r="B87" s="356"/>
      <c r="C87" s="357"/>
      <c r="D87" s="357"/>
      <c r="E87" s="357"/>
      <c r="F87" s="357"/>
      <c r="G87" s="357"/>
      <c r="H87" s="358"/>
      <c r="I87" s="352"/>
      <c r="J87" s="352"/>
      <c r="K87" s="352"/>
      <c r="L87" s="352"/>
      <c r="M87" s="352"/>
      <c r="N87" s="352"/>
      <c r="O87" s="352"/>
      <c r="P87" s="352"/>
      <c r="Q87" s="352"/>
      <c r="R87" s="352"/>
      <c r="S87" s="352"/>
      <c r="T87" s="352"/>
      <c r="U87" s="352"/>
      <c r="V87" s="352"/>
      <c r="W87" s="352"/>
      <c r="X87" s="352"/>
      <c r="Y87" s="352"/>
      <c r="Z87" s="352"/>
      <c r="AA87" s="352"/>
      <c r="AB87" s="352"/>
      <c r="AC87" s="352"/>
      <c r="AD87" s="352"/>
      <c r="AE87" s="352"/>
      <c r="AF87" s="352"/>
      <c r="AG87" s="352"/>
      <c r="AH87" s="352"/>
      <c r="AI87" s="352"/>
      <c r="AJ87" s="352"/>
      <c r="AK87" s="352"/>
      <c r="AL87" s="352"/>
      <c r="AM87" s="352"/>
      <c r="AN87" s="352"/>
      <c r="AO87" s="352"/>
      <c r="AP87" s="352"/>
      <c r="AQ87" s="352"/>
      <c r="AR87" s="352"/>
      <c r="AS87" s="352"/>
      <c r="AT87" s="352"/>
      <c r="AU87" s="352"/>
      <c r="AV87" s="352"/>
      <c r="AW87" s="352"/>
      <c r="AX87" s="352"/>
      <c r="AY87" s="352"/>
      <c r="AZ87" s="352"/>
      <c r="BA87" s="352"/>
      <c r="BB87" s="352"/>
      <c r="BC87" s="352"/>
      <c r="BD87" s="352"/>
      <c r="BE87" s="352"/>
      <c r="BF87" s="352"/>
      <c r="BG87" s="352"/>
      <c r="BH87" s="352"/>
      <c r="BI87" s="352"/>
      <c r="BJ87" s="352"/>
      <c r="BK87" s="352"/>
      <c r="BL87" s="352"/>
      <c r="BM87" s="352"/>
      <c r="BN87" s="352"/>
      <c r="BO87" s="352"/>
      <c r="BP87" s="352"/>
      <c r="BQ87" s="352"/>
      <c r="BR87" s="352"/>
      <c r="BS87" s="352"/>
      <c r="BT87" s="352"/>
      <c r="BU87" s="352"/>
      <c r="BV87" s="352"/>
      <c r="BW87" s="352"/>
      <c r="BX87" s="352"/>
      <c r="BY87" s="352"/>
      <c r="BZ87" s="352"/>
      <c r="CA87" s="352"/>
      <c r="CB87" s="352"/>
      <c r="CC87" s="352"/>
      <c r="CD87" s="352"/>
      <c r="CE87" s="352"/>
      <c r="CF87" s="352"/>
      <c r="CG87" s="352"/>
      <c r="CH87" s="352"/>
      <c r="CI87" s="352"/>
      <c r="CJ87" s="352"/>
      <c r="CK87" s="352"/>
      <c r="CL87" s="352"/>
      <c r="CM87" s="352"/>
      <c r="CN87" s="352"/>
      <c r="CO87" s="352"/>
      <c r="CP87" s="352"/>
      <c r="CQ87" s="352"/>
      <c r="CR87" s="352"/>
      <c r="CS87" s="352"/>
      <c r="CT87" s="352"/>
      <c r="CU87" s="352"/>
      <c r="CV87" s="352"/>
      <c r="CW87" s="352"/>
      <c r="CX87" s="352"/>
      <c r="CY87" s="352"/>
      <c r="CZ87" s="352"/>
      <c r="DA87" s="352"/>
      <c r="DB87" s="352"/>
      <c r="DC87" s="352"/>
      <c r="DD87" s="352"/>
      <c r="DE87" s="7"/>
    </row>
    <row r="88" spans="1:109" ht="15" customHeight="1">
      <c r="A88" s="8"/>
      <c r="B88" s="382"/>
      <c r="C88" s="383"/>
      <c r="D88" s="383"/>
      <c r="E88" s="383"/>
      <c r="F88" s="383"/>
      <c r="G88" s="383"/>
      <c r="H88" s="384"/>
      <c r="I88" s="351"/>
      <c r="J88" s="351"/>
      <c r="K88" s="351"/>
      <c r="L88" s="351"/>
      <c r="M88" s="351"/>
      <c r="N88" s="351"/>
      <c r="O88" s="351"/>
      <c r="P88" s="351"/>
      <c r="Q88" s="351"/>
      <c r="R88" s="351"/>
      <c r="S88" s="351"/>
      <c r="T88" s="351"/>
      <c r="U88" s="351"/>
      <c r="V88" s="351"/>
      <c r="W88" s="351"/>
      <c r="X88" s="351"/>
      <c r="Y88" s="351"/>
      <c r="Z88" s="351"/>
      <c r="AA88" s="351"/>
      <c r="AB88" s="351"/>
      <c r="AC88" s="351"/>
      <c r="AD88" s="417"/>
      <c r="AE88" s="351"/>
      <c r="AF88" s="351"/>
      <c r="AG88" s="351"/>
      <c r="AH88" s="351"/>
      <c r="AI88" s="351"/>
      <c r="AJ88" s="351"/>
      <c r="AK88" s="417"/>
      <c r="AL88" s="351"/>
      <c r="AM88" s="351"/>
      <c r="AN88" s="351"/>
      <c r="AO88" s="351"/>
      <c r="AP88" s="351"/>
      <c r="AQ88" s="351"/>
      <c r="AR88" s="351"/>
      <c r="AS88" s="351"/>
      <c r="AT88" s="351"/>
      <c r="AU88" s="351"/>
      <c r="AV88" s="351"/>
      <c r="AW88" s="351"/>
      <c r="AX88" s="351"/>
      <c r="AY88" s="351"/>
      <c r="AZ88" s="351"/>
      <c r="BA88" s="351"/>
      <c r="BB88" s="351"/>
      <c r="BC88" s="351"/>
      <c r="BD88" s="351"/>
      <c r="BE88" s="351"/>
      <c r="BF88" s="382"/>
      <c r="BG88" s="383"/>
      <c r="BH88" s="383"/>
      <c r="BI88" s="383"/>
      <c r="BJ88" s="383"/>
      <c r="BK88" s="383"/>
      <c r="BL88" s="384"/>
      <c r="BM88" s="351"/>
      <c r="BN88" s="351"/>
      <c r="BO88" s="351"/>
      <c r="BP88" s="351"/>
      <c r="BQ88" s="351"/>
      <c r="BR88" s="351"/>
      <c r="BS88" s="351"/>
      <c r="BT88" s="351"/>
      <c r="BU88" s="351"/>
      <c r="BV88" s="351"/>
      <c r="BW88" s="351"/>
      <c r="BX88" s="351"/>
      <c r="BY88" s="351"/>
      <c r="BZ88" s="351"/>
      <c r="CA88" s="351"/>
      <c r="CB88" s="351"/>
      <c r="CC88" s="351"/>
      <c r="CD88" s="351"/>
      <c r="CE88" s="351"/>
      <c r="CF88" s="351"/>
      <c r="CG88" s="351"/>
      <c r="CH88" s="351"/>
      <c r="CI88" s="351"/>
      <c r="CJ88" s="351"/>
      <c r="CK88" s="351"/>
      <c r="CL88" s="351"/>
      <c r="CM88" s="351"/>
      <c r="CN88" s="351"/>
      <c r="CO88" s="351"/>
      <c r="CP88" s="351"/>
      <c r="CQ88" s="351"/>
      <c r="CR88" s="351"/>
      <c r="CS88" s="351"/>
      <c r="CT88" s="351"/>
      <c r="CU88" s="351"/>
      <c r="CV88" s="351"/>
      <c r="CW88" s="351"/>
      <c r="CX88" s="351"/>
      <c r="CY88" s="351"/>
      <c r="CZ88" s="351"/>
      <c r="DA88" s="351"/>
      <c r="DB88" s="351"/>
      <c r="DC88" s="351"/>
      <c r="DD88" s="351"/>
      <c r="DE88" s="7"/>
    </row>
    <row r="89" spans="1:109" ht="15" customHeight="1">
      <c r="A89" s="3"/>
      <c r="B89" s="385"/>
      <c r="C89" s="386"/>
      <c r="D89" s="386"/>
      <c r="E89" s="386"/>
      <c r="F89" s="386"/>
      <c r="G89" s="386"/>
      <c r="H89" s="387"/>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85"/>
      <c r="BG89" s="386"/>
      <c r="BH89" s="386"/>
      <c r="BI89" s="386"/>
      <c r="BJ89" s="386"/>
      <c r="BK89" s="386"/>
      <c r="BL89" s="387"/>
      <c r="BM89" s="351"/>
      <c r="BN89" s="351"/>
      <c r="BO89" s="351"/>
      <c r="BP89" s="351"/>
      <c r="BQ89" s="351"/>
      <c r="BR89" s="351"/>
      <c r="BS89" s="351"/>
      <c r="BT89" s="351"/>
      <c r="BU89" s="351"/>
      <c r="BV89" s="351"/>
      <c r="BW89" s="351"/>
      <c r="BX89" s="351"/>
      <c r="BY89" s="351"/>
      <c r="BZ89" s="351"/>
      <c r="CA89" s="351"/>
      <c r="CB89" s="351"/>
      <c r="CC89" s="351"/>
      <c r="CD89" s="351"/>
      <c r="CE89" s="351"/>
      <c r="CF89" s="351"/>
      <c r="CG89" s="351"/>
      <c r="CH89" s="351"/>
      <c r="CI89" s="351"/>
      <c r="CJ89" s="351"/>
      <c r="CK89" s="351"/>
      <c r="CL89" s="351"/>
      <c r="CM89" s="351"/>
      <c r="CN89" s="351"/>
      <c r="CO89" s="351"/>
      <c r="CP89" s="351"/>
      <c r="CQ89" s="351"/>
      <c r="CR89" s="351"/>
      <c r="CS89" s="351"/>
      <c r="CT89" s="351"/>
      <c r="CU89" s="351"/>
      <c r="CV89" s="351"/>
      <c r="CW89" s="351"/>
      <c r="CX89" s="351"/>
      <c r="CY89" s="351"/>
      <c r="CZ89" s="351"/>
      <c r="DA89" s="351"/>
      <c r="DB89" s="351"/>
      <c r="DC89" s="351"/>
      <c r="DD89" s="351"/>
      <c r="DE89" s="7"/>
    </row>
    <row r="90" spans="1:109" ht="15" customHeight="1">
      <c r="A90" s="3"/>
      <c r="B90" s="352"/>
      <c r="C90" s="352"/>
      <c r="D90" s="352"/>
      <c r="E90" s="352"/>
      <c r="F90" s="352"/>
      <c r="G90" s="352"/>
      <c r="H90" s="352"/>
      <c r="I90" s="352"/>
      <c r="J90" s="352"/>
      <c r="K90" s="352"/>
      <c r="L90" s="352"/>
      <c r="M90" s="352"/>
      <c r="N90" s="352"/>
      <c r="O90" s="352"/>
      <c r="P90" s="352"/>
      <c r="Q90" s="352"/>
      <c r="R90" s="352"/>
      <c r="S90" s="352"/>
      <c r="T90" s="352"/>
      <c r="U90" s="352"/>
      <c r="V90" s="352"/>
      <c r="W90" s="352"/>
      <c r="X90" s="352"/>
      <c r="Y90" s="352"/>
      <c r="Z90" s="352"/>
      <c r="AA90" s="352"/>
      <c r="AB90" s="352"/>
      <c r="AC90" s="352"/>
      <c r="AD90" s="352"/>
      <c r="AE90" s="352"/>
      <c r="AF90" s="352"/>
      <c r="AG90" s="352"/>
      <c r="AH90" s="352"/>
      <c r="AI90" s="352"/>
      <c r="AJ90" s="352"/>
      <c r="AK90" s="352"/>
      <c r="AL90" s="352"/>
      <c r="AM90" s="352"/>
      <c r="AN90" s="352"/>
      <c r="AO90" s="352"/>
      <c r="AP90" s="352"/>
      <c r="AQ90" s="352"/>
      <c r="AR90" s="352"/>
      <c r="AS90" s="352"/>
      <c r="AT90" s="352"/>
      <c r="AU90" s="352"/>
      <c r="AV90" s="352"/>
      <c r="AW90" s="352"/>
      <c r="AX90" s="352"/>
      <c r="AY90" s="352"/>
      <c r="AZ90" s="352"/>
      <c r="BA90" s="352"/>
      <c r="BB90" s="352"/>
      <c r="BC90" s="352"/>
      <c r="BD90" s="352"/>
      <c r="BE90" s="352"/>
      <c r="BF90" s="352"/>
      <c r="BG90" s="352"/>
      <c r="BH90" s="352"/>
      <c r="BI90" s="352"/>
      <c r="BJ90" s="352"/>
      <c r="BK90" s="352"/>
      <c r="BL90" s="352"/>
      <c r="BM90" s="352"/>
      <c r="BN90" s="352"/>
      <c r="BO90" s="352"/>
      <c r="BP90" s="352"/>
      <c r="BQ90" s="352"/>
      <c r="BR90" s="352"/>
      <c r="BS90" s="352"/>
      <c r="BT90" s="352"/>
      <c r="BU90" s="352"/>
      <c r="BV90" s="352"/>
      <c r="BW90" s="352"/>
      <c r="BX90" s="352"/>
      <c r="BY90" s="352"/>
      <c r="BZ90" s="352"/>
      <c r="CA90" s="352"/>
      <c r="CB90" s="352"/>
      <c r="CC90" s="352"/>
      <c r="CD90" s="352"/>
      <c r="CE90" s="352"/>
      <c r="CF90" s="352"/>
      <c r="CG90" s="352"/>
      <c r="CH90" s="352"/>
      <c r="CI90" s="352"/>
      <c r="CJ90" s="352"/>
      <c r="CK90" s="352"/>
      <c r="CL90" s="352"/>
      <c r="CM90" s="352"/>
      <c r="CN90" s="352"/>
      <c r="CO90" s="352"/>
      <c r="CP90" s="352"/>
      <c r="CQ90" s="352"/>
      <c r="CR90" s="352"/>
      <c r="CS90" s="352"/>
      <c r="CT90" s="352"/>
      <c r="CU90" s="352"/>
      <c r="CV90" s="352"/>
      <c r="CW90" s="352"/>
      <c r="CX90" s="352"/>
      <c r="CY90" s="352"/>
      <c r="CZ90" s="352"/>
      <c r="DA90" s="352"/>
      <c r="DB90" s="352"/>
      <c r="DC90" s="352"/>
      <c r="DD90" s="352"/>
      <c r="DE90" s="7"/>
    </row>
    <row r="91" spans="1:109" ht="15" customHeight="1">
      <c r="A91" s="6"/>
      <c r="B91" s="352"/>
      <c r="C91" s="352"/>
      <c r="D91" s="352"/>
      <c r="E91" s="352"/>
      <c r="F91" s="352"/>
      <c r="G91" s="352"/>
      <c r="H91" s="352"/>
      <c r="I91" s="352"/>
      <c r="J91" s="352"/>
      <c r="K91" s="352"/>
      <c r="L91" s="352"/>
      <c r="M91" s="352"/>
      <c r="N91" s="352"/>
      <c r="O91" s="352"/>
      <c r="P91" s="352"/>
      <c r="Q91" s="352"/>
      <c r="R91" s="352"/>
      <c r="S91" s="352"/>
      <c r="T91" s="352"/>
      <c r="U91" s="352"/>
      <c r="V91" s="352"/>
      <c r="W91" s="352"/>
      <c r="X91" s="352"/>
      <c r="Y91" s="352"/>
      <c r="Z91" s="352"/>
      <c r="AA91" s="352"/>
      <c r="AB91" s="352"/>
      <c r="AC91" s="352"/>
      <c r="AD91" s="352"/>
      <c r="AE91" s="352"/>
      <c r="AF91" s="352"/>
      <c r="AG91" s="352"/>
      <c r="AH91" s="352"/>
      <c r="AI91" s="352"/>
      <c r="AJ91" s="352"/>
      <c r="AK91" s="352"/>
      <c r="AL91" s="352"/>
      <c r="AM91" s="352"/>
      <c r="AN91" s="352"/>
      <c r="AO91" s="352"/>
      <c r="AP91" s="352"/>
      <c r="AQ91" s="352"/>
      <c r="AR91" s="352"/>
      <c r="AS91" s="352"/>
      <c r="AT91" s="352"/>
      <c r="AU91" s="352"/>
      <c r="AV91" s="352"/>
      <c r="AW91" s="352"/>
      <c r="AX91" s="352"/>
      <c r="AY91" s="352"/>
      <c r="AZ91" s="352"/>
      <c r="BA91" s="352"/>
      <c r="BB91" s="352"/>
      <c r="BC91" s="352"/>
      <c r="BD91" s="352"/>
      <c r="BE91" s="352"/>
      <c r="BF91" s="352"/>
      <c r="BG91" s="352"/>
      <c r="BH91" s="352"/>
      <c r="BI91" s="352"/>
      <c r="BJ91" s="352"/>
      <c r="BK91" s="352"/>
      <c r="BL91" s="352"/>
      <c r="BM91" s="352"/>
      <c r="BN91" s="352"/>
      <c r="BO91" s="352"/>
      <c r="BP91" s="352"/>
      <c r="BQ91" s="352"/>
      <c r="BR91" s="352"/>
      <c r="BS91" s="352"/>
      <c r="BT91" s="352"/>
      <c r="BU91" s="352"/>
      <c r="BV91" s="352"/>
      <c r="BW91" s="352"/>
      <c r="BX91" s="352"/>
      <c r="BY91" s="352"/>
      <c r="BZ91" s="352"/>
      <c r="CA91" s="352"/>
      <c r="CB91" s="352"/>
      <c r="CC91" s="352"/>
      <c r="CD91" s="352"/>
      <c r="CE91" s="352"/>
      <c r="CF91" s="352"/>
      <c r="CG91" s="352"/>
      <c r="CH91" s="352"/>
      <c r="CI91" s="352"/>
      <c r="CJ91" s="352"/>
      <c r="CK91" s="352"/>
      <c r="CL91" s="352"/>
      <c r="CM91" s="352"/>
      <c r="CN91" s="352"/>
      <c r="CO91" s="352"/>
      <c r="CP91" s="352"/>
      <c r="CQ91" s="352"/>
      <c r="CR91" s="352"/>
      <c r="CS91" s="352"/>
      <c r="CT91" s="352"/>
      <c r="CU91" s="352"/>
      <c r="CV91" s="352"/>
      <c r="CW91" s="352"/>
      <c r="CX91" s="352"/>
      <c r="CY91" s="352"/>
      <c r="CZ91" s="352"/>
      <c r="DA91" s="352"/>
      <c r="DB91" s="352"/>
      <c r="DC91" s="352"/>
      <c r="DD91" s="352"/>
      <c r="DE91" s="7"/>
    </row>
    <row r="92" spans="1:109" ht="15" customHeight="1">
      <c r="A92" s="8"/>
      <c r="B92" s="382"/>
      <c r="C92" s="383"/>
      <c r="D92" s="383"/>
      <c r="E92" s="383"/>
      <c r="F92" s="383"/>
      <c r="G92" s="383"/>
      <c r="H92" s="384"/>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c r="BI92" s="351"/>
      <c r="BJ92" s="351"/>
      <c r="BK92" s="351"/>
      <c r="BL92" s="351"/>
      <c r="BM92" s="351"/>
      <c r="BN92" s="351"/>
      <c r="BO92" s="351"/>
      <c r="BP92" s="351"/>
      <c r="BQ92" s="351"/>
      <c r="BR92" s="351"/>
      <c r="BS92" s="351"/>
      <c r="BT92" s="351"/>
      <c r="BU92" s="351"/>
      <c r="BV92" s="351"/>
      <c r="BW92" s="351"/>
      <c r="BX92" s="351"/>
      <c r="BY92" s="351"/>
      <c r="BZ92" s="351"/>
      <c r="CA92" s="351"/>
      <c r="CB92" s="351"/>
      <c r="CC92" s="351"/>
      <c r="CD92" s="351"/>
      <c r="CE92" s="351"/>
      <c r="CF92" s="351"/>
      <c r="CG92" s="351"/>
      <c r="CH92" s="351"/>
      <c r="CI92" s="351"/>
      <c r="CJ92" s="351"/>
      <c r="CK92" s="351"/>
      <c r="CL92" s="351"/>
      <c r="CM92" s="351"/>
      <c r="CN92" s="351"/>
      <c r="CO92" s="351"/>
      <c r="CP92" s="351"/>
      <c r="CQ92" s="351"/>
      <c r="CR92" s="351"/>
      <c r="CS92" s="351"/>
      <c r="CT92" s="351"/>
      <c r="CU92" s="351"/>
      <c r="CV92" s="351"/>
      <c r="CW92" s="351"/>
      <c r="CX92" s="351"/>
      <c r="CY92" s="351"/>
      <c r="CZ92" s="351"/>
      <c r="DA92" s="351"/>
      <c r="DB92" s="351"/>
      <c r="DC92" s="351"/>
      <c r="DD92" s="351"/>
      <c r="DE92" s="7"/>
    </row>
    <row r="93" spans="1:109" ht="15" customHeight="1">
      <c r="A93" s="3"/>
      <c r="B93" s="385"/>
      <c r="C93" s="386"/>
      <c r="D93" s="386"/>
      <c r="E93" s="386"/>
      <c r="F93" s="386"/>
      <c r="G93" s="386"/>
      <c r="H93" s="387"/>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c r="BI93" s="351"/>
      <c r="BJ93" s="351"/>
      <c r="BK93" s="351"/>
      <c r="BL93" s="351"/>
      <c r="BM93" s="351"/>
      <c r="BN93" s="351"/>
      <c r="BO93" s="351"/>
      <c r="BP93" s="351"/>
      <c r="BQ93" s="351"/>
      <c r="BR93" s="351"/>
      <c r="BS93" s="351"/>
      <c r="BT93" s="351"/>
      <c r="BU93" s="351"/>
      <c r="BV93" s="351"/>
      <c r="BW93" s="351"/>
      <c r="BX93" s="351"/>
      <c r="BY93" s="351"/>
      <c r="BZ93" s="351"/>
      <c r="CA93" s="351"/>
      <c r="CB93" s="351"/>
      <c r="CC93" s="351"/>
      <c r="CD93" s="351"/>
      <c r="CE93" s="351"/>
      <c r="CF93" s="351"/>
      <c r="CG93" s="351"/>
      <c r="CH93" s="351"/>
      <c r="CI93" s="351"/>
      <c r="CJ93" s="351"/>
      <c r="CK93" s="351"/>
      <c r="CL93" s="351"/>
      <c r="CM93" s="351"/>
      <c r="CN93" s="351"/>
      <c r="CO93" s="351"/>
      <c r="CP93" s="351"/>
      <c r="CQ93" s="351"/>
      <c r="CR93" s="351"/>
      <c r="CS93" s="351"/>
      <c r="CT93" s="351"/>
      <c r="CU93" s="351"/>
      <c r="CV93" s="351"/>
      <c r="CW93" s="351"/>
      <c r="CX93" s="351"/>
      <c r="CY93" s="351"/>
      <c r="CZ93" s="351"/>
      <c r="DA93" s="351"/>
      <c r="DB93" s="351"/>
      <c r="DC93" s="351"/>
      <c r="DD93" s="351"/>
      <c r="DE93" s="7"/>
    </row>
    <row r="94" spans="1:109" ht="15" customHeight="1">
      <c r="A94" s="3"/>
      <c r="B94" s="353"/>
      <c r="C94" s="354"/>
      <c r="D94" s="354"/>
      <c r="E94" s="354"/>
      <c r="F94" s="354"/>
      <c r="G94" s="354"/>
      <c r="H94" s="355"/>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2"/>
      <c r="BL94" s="352"/>
      <c r="BM94" s="352"/>
      <c r="BN94" s="352"/>
      <c r="BO94" s="352"/>
      <c r="BP94" s="352"/>
      <c r="BQ94" s="352"/>
      <c r="BR94" s="352"/>
      <c r="BS94" s="352"/>
      <c r="BT94" s="352"/>
      <c r="BU94" s="352"/>
      <c r="BV94" s="352"/>
      <c r="BW94" s="352"/>
      <c r="BX94" s="352"/>
      <c r="BY94" s="352"/>
      <c r="BZ94" s="352"/>
      <c r="CA94" s="352"/>
      <c r="CB94" s="352"/>
      <c r="CC94" s="352"/>
      <c r="CD94" s="352"/>
      <c r="CE94" s="352"/>
      <c r="CF94" s="352"/>
      <c r="CG94" s="352"/>
      <c r="CH94" s="352"/>
      <c r="CI94" s="352"/>
      <c r="CJ94" s="352"/>
      <c r="CK94" s="352"/>
      <c r="CL94" s="352"/>
      <c r="CM94" s="352"/>
      <c r="CN94" s="352"/>
      <c r="CO94" s="352"/>
      <c r="CP94" s="352"/>
      <c r="CQ94" s="352"/>
      <c r="CR94" s="352"/>
      <c r="CS94" s="352"/>
      <c r="CT94" s="352"/>
      <c r="CU94" s="352"/>
      <c r="CV94" s="352"/>
      <c r="CW94" s="352"/>
      <c r="CX94" s="352"/>
      <c r="CY94" s="352"/>
      <c r="CZ94" s="352"/>
      <c r="DA94" s="352"/>
      <c r="DB94" s="352"/>
      <c r="DC94" s="352"/>
      <c r="DD94" s="352"/>
      <c r="DE94" s="7"/>
    </row>
    <row r="95" spans="1:109" ht="15" customHeight="1">
      <c r="A95" s="3"/>
      <c r="B95" s="356"/>
      <c r="C95" s="357"/>
      <c r="D95" s="357"/>
      <c r="E95" s="357"/>
      <c r="F95" s="357"/>
      <c r="G95" s="357"/>
      <c r="H95" s="358"/>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2"/>
      <c r="BL95" s="352"/>
      <c r="BM95" s="352"/>
      <c r="BN95" s="352"/>
      <c r="BO95" s="352"/>
      <c r="BP95" s="352"/>
      <c r="BQ95" s="352"/>
      <c r="BR95" s="352"/>
      <c r="BS95" s="352"/>
      <c r="BT95" s="352"/>
      <c r="BU95" s="352"/>
      <c r="BV95" s="352"/>
      <c r="BW95" s="352"/>
      <c r="BX95" s="352"/>
      <c r="BY95" s="352"/>
      <c r="BZ95" s="352"/>
      <c r="CA95" s="352"/>
      <c r="CB95" s="352"/>
      <c r="CC95" s="352"/>
      <c r="CD95" s="352"/>
      <c r="CE95" s="352"/>
      <c r="CF95" s="352"/>
      <c r="CG95" s="352"/>
      <c r="CH95" s="352"/>
      <c r="CI95" s="352"/>
      <c r="CJ95" s="352"/>
      <c r="CK95" s="352"/>
      <c r="CL95" s="352"/>
      <c r="CM95" s="352"/>
      <c r="CN95" s="352"/>
      <c r="CO95" s="352"/>
      <c r="CP95" s="352"/>
      <c r="CQ95" s="352"/>
      <c r="CR95" s="352"/>
      <c r="CS95" s="352"/>
      <c r="CT95" s="352"/>
      <c r="CU95" s="352"/>
      <c r="CV95" s="352"/>
      <c r="CW95" s="352"/>
      <c r="CX95" s="352"/>
      <c r="CY95" s="352"/>
      <c r="CZ95" s="352"/>
      <c r="DA95" s="352"/>
      <c r="DB95" s="352"/>
      <c r="DC95" s="352"/>
      <c r="DD95" s="352"/>
      <c r="DE95" s="7"/>
    </row>
    <row r="96" spans="1:109" ht="15" customHeight="1">
      <c r="A96" s="6"/>
      <c r="B96" s="382"/>
      <c r="C96" s="383"/>
      <c r="D96" s="383"/>
      <c r="E96" s="383"/>
      <c r="F96" s="383"/>
      <c r="G96" s="383"/>
      <c r="H96" s="384"/>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c r="BI96" s="351"/>
      <c r="BJ96" s="351"/>
      <c r="BK96" s="351"/>
      <c r="BL96" s="351"/>
      <c r="BM96" s="351"/>
      <c r="BN96" s="351"/>
      <c r="BO96" s="351"/>
      <c r="BP96" s="351"/>
      <c r="BQ96" s="351"/>
      <c r="BR96" s="351"/>
      <c r="BS96" s="351"/>
      <c r="BT96" s="351"/>
      <c r="BU96" s="351"/>
      <c r="BV96" s="351"/>
      <c r="BW96" s="351"/>
      <c r="BX96" s="351"/>
      <c r="BY96" s="351"/>
      <c r="BZ96" s="351"/>
      <c r="CA96" s="351"/>
      <c r="CB96" s="351"/>
      <c r="CC96" s="351"/>
      <c r="CD96" s="351"/>
      <c r="CE96" s="351"/>
      <c r="CF96" s="351"/>
      <c r="CG96" s="351"/>
      <c r="CH96" s="351"/>
      <c r="CI96" s="351"/>
      <c r="CJ96" s="351"/>
      <c r="CK96" s="351"/>
      <c r="CL96" s="351"/>
      <c r="CM96" s="351"/>
      <c r="CN96" s="351"/>
      <c r="CO96" s="351"/>
      <c r="CP96" s="351"/>
      <c r="CQ96" s="351"/>
      <c r="CR96" s="351"/>
      <c r="CS96" s="351"/>
      <c r="CT96" s="351"/>
      <c r="CU96" s="351"/>
      <c r="CV96" s="351"/>
      <c r="CW96" s="351"/>
      <c r="CX96" s="351"/>
      <c r="CY96" s="351"/>
      <c r="CZ96" s="351"/>
      <c r="DA96" s="351"/>
      <c r="DB96" s="351"/>
      <c r="DC96" s="351"/>
      <c r="DD96" s="351"/>
      <c r="DE96" s="7"/>
    </row>
    <row r="97" spans="1:109" ht="15" customHeight="1">
      <c r="A97" s="8"/>
      <c r="B97" s="385"/>
      <c r="C97" s="386"/>
      <c r="D97" s="386"/>
      <c r="E97" s="386"/>
      <c r="F97" s="386"/>
      <c r="G97" s="386"/>
      <c r="H97" s="387"/>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c r="BT97" s="351"/>
      <c r="BU97" s="351"/>
      <c r="BV97" s="351"/>
      <c r="BW97" s="351"/>
      <c r="BX97" s="351"/>
      <c r="BY97" s="351"/>
      <c r="BZ97" s="351"/>
      <c r="CA97" s="351"/>
      <c r="CB97" s="351"/>
      <c r="CC97" s="351"/>
      <c r="CD97" s="351"/>
      <c r="CE97" s="351"/>
      <c r="CF97" s="351"/>
      <c r="CG97" s="351"/>
      <c r="CH97" s="351"/>
      <c r="CI97" s="351"/>
      <c r="CJ97" s="351"/>
      <c r="CK97" s="351"/>
      <c r="CL97" s="351"/>
      <c r="CM97" s="351"/>
      <c r="CN97" s="351"/>
      <c r="CO97" s="351"/>
      <c r="CP97" s="351"/>
      <c r="CQ97" s="351"/>
      <c r="CR97" s="351"/>
      <c r="CS97" s="351"/>
      <c r="CT97" s="351"/>
      <c r="CU97" s="351"/>
      <c r="CV97" s="351"/>
      <c r="CW97" s="351"/>
      <c r="CX97" s="351"/>
      <c r="CY97" s="351"/>
      <c r="CZ97" s="351"/>
      <c r="DA97" s="351"/>
      <c r="DB97" s="351"/>
      <c r="DC97" s="351"/>
      <c r="DD97" s="351"/>
      <c r="DE97" s="7"/>
    </row>
    <row r="98" spans="1:109" ht="15" customHeight="1">
      <c r="A98" s="8"/>
      <c r="B98" s="353"/>
      <c r="C98" s="354"/>
      <c r="D98" s="354"/>
      <c r="E98" s="354"/>
      <c r="F98" s="354"/>
      <c r="G98" s="354"/>
      <c r="H98" s="355"/>
      <c r="I98" s="352"/>
      <c r="J98" s="352"/>
      <c r="K98" s="352"/>
      <c r="L98" s="352"/>
      <c r="M98" s="352"/>
      <c r="N98" s="352"/>
      <c r="O98" s="352"/>
      <c r="P98" s="352"/>
      <c r="Q98" s="352"/>
      <c r="R98" s="352"/>
      <c r="S98" s="352"/>
      <c r="T98" s="352"/>
      <c r="U98" s="352"/>
      <c r="V98" s="352"/>
      <c r="W98" s="352"/>
      <c r="X98" s="352"/>
      <c r="Y98" s="352"/>
      <c r="Z98" s="352"/>
      <c r="AA98" s="352"/>
      <c r="AB98" s="352"/>
      <c r="AC98" s="352"/>
      <c r="AD98" s="352"/>
      <c r="AE98" s="352"/>
      <c r="AF98" s="352"/>
      <c r="AG98" s="352"/>
      <c r="AH98" s="352"/>
      <c r="AI98" s="352"/>
      <c r="AJ98" s="352"/>
      <c r="AK98" s="352"/>
      <c r="AL98" s="352"/>
      <c r="AM98" s="352"/>
      <c r="AN98" s="352"/>
      <c r="AO98" s="352"/>
      <c r="AP98" s="352"/>
      <c r="AQ98" s="352"/>
      <c r="AR98" s="352"/>
      <c r="AS98" s="352"/>
      <c r="AT98" s="352"/>
      <c r="AU98" s="352"/>
      <c r="AV98" s="352"/>
      <c r="AW98" s="352"/>
      <c r="AX98" s="352"/>
      <c r="AY98" s="352"/>
      <c r="AZ98" s="352"/>
      <c r="BA98" s="352"/>
      <c r="BB98" s="352"/>
      <c r="BC98" s="352"/>
      <c r="BD98" s="352"/>
      <c r="BE98" s="352"/>
      <c r="BF98" s="352"/>
      <c r="BG98" s="352"/>
      <c r="BH98" s="352"/>
      <c r="BI98" s="352"/>
      <c r="BJ98" s="352"/>
      <c r="BK98" s="352"/>
      <c r="BL98" s="352"/>
      <c r="BM98" s="352"/>
      <c r="BN98" s="352"/>
      <c r="BO98" s="352"/>
      <c r="BP98" s="352"/>
      <c r="BQ98" s="352"/>
      <c r="BR98" s="352"/>
      <c r="BS98" s="352"/>
      <c r="BT98" s="352"/>
      <c r="BU98" s="352"/>
      <c r="BV98" s="352"/>
      <c r="BW98" s="352"/>
      <c r="BX98" s="352"/>
      <c r="BY98" s="352"/>
      <c r="BZ98" s="352"/>
      <c r="CA98" s="352"/>
      <c r="CB98" s="352"/>
      <c r="CC98" s="352"/>
      <c r="CD98" s="352"/>
      <c r="CE98" s="352"/>
      <c r="CF98" s="352"/>
      <c r="CG98" s="352"/>
      <c r="CH98" s="352"/>
      <c r="CI98" s="352"/>
      <c r="CJ98" s="352"/>
      <c r="CK98" s="352"/>
      <c r="CL98" s="352"/>
      <c r="CM98" s="352"/>
      <c r="CN98" s="352"/>
      <c r="CO98" s="352"/>
      <c r="CP98" s="352"/>
      <c r="CQ98" s="352"/>
      <c r="CR98" s="352"/>
      <c r="CS98" s="352"/>
      <c r="CT98" s="352"/>
      <c r="CU98" s="352"/>
      <c r="CV98" s="352"/>
      <c r="CW98" s="352"/>
      <c r="CX98" s="352"/>
      <c r="CY98" s="352"/>
      <c r="CZ98" s="352"/>
      <c r="DA98" s="352"/>
      <c r="DB98" s="352"/>
      <c r="DC98" s="352"/>
      <c r="DD98" s="352"/>
      <c r="DE98" s="7"/>
    </row>
    <row r="99" spans="1:109" ht="15" customHeight="1">
      <c r="A99" s="8"/>
      <c r="B99" s="356"/>
      <c r="C99" s="357"/>
      <c r="D99" s="357"/>
      <c r="E99" s="357"/>
      <c r="F99" s="357"/>
      <c r="G99" s="357"/>
      <c r="H99" s="358"/>
      <c r="I99" s="352"/>
      <c r="J99" s="352"/>
      <c r="K99" s="352"/>
      <c r="L99" s="352"/>
      <c r="M99" s="352"/>
      <c r="N99" s="352"/>
      <c r="O99" s="352"/>
      <c r="P99" s="352"/>
      <c r="Q99" s="352"/>
      <c r="R99" s="352"/>
      <c r="S99" s="352"/>
      <c r="T99" s="352"/>
      <c r="U99" s="352"/>
      <c r="V99" s="352"/>
      <c r="W99" s="352"/>
      <c r="X99" s="352"/>
      <c r="Y99" s="352"/>
      <c r="Z99" s="352"/>
      <c r="AA99" s="352"/>
      <c r="AB99" s="352"/>
      <c r="AC99" s="352"/>
      <c r="AD99" s="352"/>
      <c r="AE99" s="352"/>
      <c r="AF99" s="352"/>
      <c r="AG99" s="352"/>
      <c r="AH99" s="352"/>
      <c r="AI99" s="352"/>
      <c r="AJ99" s="352"/>
      <c r="AK99" s="352"/>
      <c r="AL99" s="352"/>
      <c r="AM99" s="352"/>
      <c r="AN99" s="352"/>
      <c r="AO99" s="352"/>
      <c r="AP99" s="352"/>
      <c r="AQ99" s="352"/>
      <c r="AR99" s="352"/>
      <c r="AS99" s="352"/>
      <c r="AT99" s="352"/>
      <c r="AU99" s="352"/>
      <c r="AV99" s="352"/>
      <c r="AW99" s="352"/>
      <c r="AX99" s="352"/>
      <c r="AY99" s="352"/>
      <c r="AZ99" s="352"/>
      <c r="BA99" s="352"/>
      <c r="BB99" s="352"/>
      <c r="BC99" s="352"/>
      <c r="BD99" s="352"/>
      <c r="BE99" s="352"/>
      <c r="BF99" s="352"/>
      <c r="BG99" s="352"/>
      <c r="BH99" s="352"/>
      <c r="BI99" s="352"/>
      <c r="BJ99" s="352"/>
      <c r="BK99" s="352"/>
      <c r="BL99" s="352"/>
      <c r="BM99" s="352"/>
      <c r="BN99" s="352"/>
      <c r="BO99" s="352"/>
      <c r="BP99" s="352"/>
      <c r="BQ99" s="352"/>
      <c r="BR99" s="352"/>
      <c r="BS99" s="352"/>
      <c r="BT99" s="352"/>
      <c r="BU99" s="352"/>
      <c r="BV99" s="352"/>
      <c r="BW99" s="352"/>
      <c r="BX99" s="352"/>
      <c r="BY99" s="352"/>
      <c r="BZ99" s="352"/>
      <c r="CA99" s="352"/>
      <c r="CB99" s="352"/>
      <c r="CC99" s="352"/>
      <c r="CD99" s="352"/>
      <c r="CE99" s="352"/>
      <c r="CF99" s="352"/>
      <c r="CG99" s="352"/>
      <c r="CH99" s="352"/>
      <c r="CI99" s="352"/>
      <c r="CJ99" s="352"/>
      <c r="CK99" s="352"/>
      <c r="CL99" s="352"/>
      <c r="CM99" s="352"/>
      <c r="CN99" s="352"/>
      <c r="CO99" s="352"/>
      <c r="CP99" s="352"/>
      <c r="CQ99" s="352"/>
      <c r="CR99" s="352"/>
      <c r="CS99" s="352"/>
      <c r="CT99" s="352"/>
      <c r="CU99" s="352"/>
      <c r="CV99" s="352"/>
      <c r="CW99" s="352"/>
      <c r="CX99" s="352"/>
      <c r="CY99" s="352"/>
      <c r="CZ99" s="352"/>
      <c r="DA99" s="352"/>
      <c r="DB99" s="352"/>
      <c r="DC99" s="352"/>
      <c r="DD99" s="352"/>
      <c r="DE99" s="7"/>
    </row>
    <row r="100" spans="1:109" ht="15" customHeight="1">
      <c r="A100" s="3"/>
      <c r="B100" s="382"/>
      <c r="C100" s="383"/>
      <c r="D100" s="383"/>
      <c r="E100" s="383"/>
      <c r="F100" s="383"/>
      <c r="G100" s="383"/>
      <c r="H100" s="384"/>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c r="BI100" s="351"/>
      <c r="BJ100" s="351"/>
      <c r="BK100" s="351"/>
      <c r="BL100" s="351"/>
      <c r="BM100" s="351"/>
      <c r="BN100" s="351"/>
      <c r="BO100" s="351"/>
      <c r="BP100" s="351"/>
      <c r="BQ100" s="351"/>
      <c r="BR100" s="351"/>
      <c r="BS100" s="351"/>
      <c r="BT100" s="351"/>
      <c r="BU100" s="351"/>
      <c r="BV100" s="351"/>
      <c r="BW100" s="351"/>
      <c r="BX100" s="351"/>
      <c r="BY100" s="351"/>
      <c r="BZ100" s="351"/>
      <c r="CA100" s="351"/>
      <c r="CB100" s="351"/>
      <c r="CC100" s="351"/>
      <c r="CD100" s="351"/>
      <c r="CE100" s="351"/>
      <c r="CF100" s="351"/>
      <c r="CG100" s="351"/>
      <c r="CH100" s="351"/>
      <c r="CI100" s="351"/>
      <c r="CJ100" s="351"/>
      <c r="CK100" s="351"/>
      <c r="CL100" s="351"/>
      <c r="CM100" s="351"/>
      <c r="CN100" s="351"/>
      <c r="CO100" s="351"/>
      <c r="CP100" s="351"/>
      <c r="CQ100" s="351"/>
      <c r="CR100" s="351"/>
      <c r="CS100" s="351"/>
      <c r="CT100" s="351"/>
      <c r="CU100" s="351"/>
      <c r="CV100" s="351"/>
      <c r="CW100" s="351"/>
      <c r="CX100" s="351"/>
      <c r="CY100" s="351"/>
      <c r="CZ100" s="351"/>
      <c r="DA100" s="351"/>
      <c r="DB100" s="351"/>
      <c r="DC100" s="351"/>
      <c r="DD100" s="351"/>
      <c r="DE100" s="7"/>
    </row>
    <row r="101" spans="1:109" ht="15" customHeight="1">
      <c r="A101" s="3"/>
      <c r="B101" s="385"/>
      <c r="C101" s="386"/>
      <c r="D101" s="386"/>
      <c r="E101" s="386"/>
      <c r="F101" s="386"/>
      <c r="G101" s="386"/>
      <c r="H101" s="387"/>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1"/>
      <c r="BO101" s="351"/>
      <c r="BP101" s="351"/>
      <c r="BQ101" s="351"/>
      <c r="BR101" s="351"/>
      <c r="BS101" s="351"/>
      <c r="BT101" s="351"/>
      <c r="BU101" s="351"/>
      <c r="BV101" s="351"/>
      <c r="BW101" s="351"/>
      <c r="BX101" s="351"/>
      <c r="BY101" s="351"/>
      <c r="BZ101" s="351"/>
      <c r="CA101" s="351"/>
      <c r="CB101" s="351"/>
      <c r="CC101" s="351"/>
      <c r="CD101" s="351"/>
      <c r="CE101" s="351"/>
      <c r="CF101" s="351"/>
      <c r="CG101" s="351"/>
      <c r="CH101" s="351"/>
      <c r="CI101" s="351"/>
      <c r="CJ101" s="351"/>
      <c r="CK101" s="351"/>
      <c r="CL101" s="351"/>
      <c r="CM101" s="351"/>
      <c r="CN101" s="351"/>
      <c r="CO101" s="351"/>
      <c r="CP101" s="351"/>
      <c r="CQ101" s="351"/>
      <c r="CR101" s="351"/>
      <c r="CS101" s="351"/>
      <c r="CT101" s="351"/>
      <c r="CU101" s="351"/>
      <c r="CV101" s="351"/>
      <c r="CW101" s="351"/>
      <c r="CX101" s="351"/>
      <c r="CY101" s="351"/>
      <c r="CZ101" s="351"/>
      <c r="DA101" s="351"/>
      <c r="DB101" s="351"/>
      <c r="DC101" s="351"/>
      <c r="DD101" s="351"/>
      <c r="DE101" s="7"/>
    </row>
    <row r="102" spans="1:109" ht="15" customHeight="1">
      <c r="A102" s="3"/>
      <c r="B102" s="353"/>
      <c r="C102" s="354"/>
      <c r="D102" s="354"/>
      <c r="E102" s="354"/>
      <c r="F102" s="354"/>
      <c r="G102" s="354"/>
      <c r="H102" s="355"/>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c r="AX102" s="352"/>
      <c r="AY102" s="352"/>
      <c r="AZ102" s="352"/>
      <c r="BA102" s="352"/>
      <c r="BB102" s="352"/>
      <c r="BC102" s="352"/>
      <c r="BD102" s="352"/>
      <c r="BE102" s="352"/>
      <c r="BF102" s="352"/>
      <c r="BG102" s="352"/>
      <c r="BH102" s="352"/>
      <c r="BI102" s="352"/>
      <c r="BJ102" s="352"/>
      <c r="BK102" s="352"/>
      <c r="BL102" s="352"/>
      <c r="BM102" s="352"/>
      <c r="BN102" s="352"/>
      <c r="BO102" s="352"/>
      <c r="BP102" s="352"/>
      <c r="BQ102" s="352"/>
      <c r="BR102" s="352"/>
      <c r="BS102" s="352"/>
      <c r="BT102" s="352"/>
      <c r="BU102" s="352"/>
      <c r="BV102" s="352"/>
      <c r="BW102" s="352"/>
      <c r="BX102" s="352"/>
      <c r="BY102" s="352"/>
      <c r="BZ102" s="352"/>
      <c r="CA102" s="352"/>
      <c r="CB102" s="352"/>
      <c r="CC102" s="352"/>
      <c r="CD102" s="352"/>
      <c r="CE102" s="352"/>
      <c r="CF102" s="352"/>
      <c r="CG102" s="352"/>
      <c r="CH102" s="352"/>
      <c r="CI102" s="352"/>
      <c r="CJ102" s="352"/>
      <c r="CK102" s="352"/>
      <c r="CL102" s="352"/>
      <c r="CM102" s="352"/>
      <c r="CN102" s="352"/>
      <c r="CO102" s="352"/>
      <c r="CP102" s="352"/>
      <c r="CQ102" s="352"/>
      <c r="CR102" s="352"/>
      <c r="CS102" s="352"/>
      <c r="CT102" s="352"/>
      <c r="CU102" s="352"/>
      <c r="CV102" s="352"/>
      <c r="CW102" s="352"/>
      <c r="CX102" s="352"/>
      <c r="CY102" s="352"/>
      <c r="CZ102" s="352"/>
      <c r="DA102" s="352"/>
      <c r="DB102" s="352"/>
      <c r="DC102" s="352"/>
      <c r="DD102" s="352"/>
      <c r="DE102" s="24"/>
    </row>
    <row r="103" spans="1:109" ht="15" customHeight="1">
      <c r="A103" s="3"/>
      <c r="B103" s="356"/>
      <c r="C103" s="357"/>
      <c r="D103" s="357"/>
      <c r="E103" s="357"/>
      <c r="F103" s="357"/>
      <c r="G103" s="357"/>
      <c r="H103" s="358"/>
      <c r="I103" s="352"/>
      <c r="J103" s="352"/>
      <c r="K103" s="352"/>
      <c r="L103" s="352"/>
      <c r="M103" s="352"/>
      <c r="N103" s="352"/>
      <c r="O103" s="352"/>
      <c r="P103" s="352"/>
      <c r="Q103" s="352"/>
      <c r="R103" s="352"/>
      <c r="S103" s="352"/>
      <c r="T103" s="352"/>
      <c r="U103" s="352"/>
      <c r="V103" s="352"/>
      <c r="W103" s="352"/>
      <c r="X103" s="352"/>
      <c r="Y103" s="352"/>
      <c r="Z103" s="352"/>
      <c r="AA103" s="352"/>
      <c r="AB103" s="352"/>
      <c r="AC103" s="352"/>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c r="AX103" s="352"/>
      <c r="AY103" s="352"/>
      <c r="AZ103" s="352"/>
      <c r="BA103" s="352"/>
      <c r="BB103" s="352"/>
      <c r="BC103" s="352"/>
      <c r="BD103" s="352"/>
      <c r="BE103" s="352"/>
      <c r="BF103" s="352"/>
      <c r="BG103" s="352"/>
      <c r="BH103" s="352"/>
      <c r="BI103" s="352"/>
      <c r="BJ103" s="352"/>
      <c r="BK103" s="352"/>
      <c r="BL103" s="352"/>
      <c r="BM103" s="352"/>
      <c r="BN103" s="352"/>
      <c r="BO103" s="352"/>
      <c r="BP103" s="352"/>
      <c r="BQ103" s="352"/>
      <c r="BR103" s="352"/>
      <c r="BS103" s="352"/>
      <c r="BT103" s="352"/>
      <c r="BU103" s="352"/>
      <c r="BV103" s="352"/>
      <c r="BW103" s="352"/>
      <c r="BX103" s="352"/>
      <c r="BY103" s="352"/>
      <c r="BZ103" s="352"/>
      <c r="CA103" s="352"/>
      <c r="CB103" s="352"/>
      <c r="CC103" s="352"/>
      <c r="CD103" s="352"/>
      <c r="CE103" s="352"/>
      <c r="CF103" s="352"/>
      <c r="CG103" s="352"/>
      <c r="CH103" s="352"/>
      <c r="CI103" s="352"/>
      <c r="CJ103" s="352"/>
      <c r="CK103" s="352"/>
      <c r="CL103" s="352"/>
      <c r="CM103" s="352"/>
      <c r="CN103" s="352"/>
      <c r="CO103" s="352"/>
      <c r="CP103" s="352"/>
      <c r="CQ103" s="352"/>
      <c r="CR103" s="352"/>
      <c r="CS103" s="352"/>
      <c r="CT103" s="352"/>
      <c r="CU103" s="352"/>
      <c r="CV103" s="352"/>
      <c r="CW103" s="352"/>
      <c r="CX103" s="352"/>
      <c r="CY103" s="352"/>
      <c r="CZ103" s="352"/>
      <c r="DA103" s="352"/>
      <c r="DB103" s="352"/>
      <c r="DC103" s="352"/>
      <c r="DD103" s="352"/>
      <c r="DE103" s="7"/>
    </row>
    <row r="104" spans="1:109" ht="15" customHeight="1">
      <c r="A104" s="3"/>
      <c r="B104" s="382"/>
      <c r="C104" s="383"/>
      <c r="D104" s="383"/>
      <c r="E104" s="383"/>
      <c r="F104" s="383"/>
      <c r="G104" s="383"/>
      <c r="H104" s="384"/>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c r="BI104" s="351"/>
      <c r="BJ104" s="351"/>
      <c r="BK104" s="351"/>
      <c r="BL104" s="351"/>
      <c r="BM104" s="351"/>
      <c r="BN104" s="351"/>
      <c r="BO104" s="351"/>
      <c r="BP104" s="351"/>
      <c r="BQ104" s="351"/>
      <c r="BR104" s="351"/>
      <c r="BS104" s="351"/>
      <c r="BT104" s="351"/>
      <c r="BU104" s="351"/>
      <c r="BV104" s="351"/>
      <c r="BW104" s="351"/>
      <c r="BX104" s="351"/>
      <c r="BY104" s="351"/>
      <c r="BZ104" s="351"/>
      <c r="CA104" s="351"/>
      <c r="CB104" s="351"/>
      <c r="CC104" s="351"/>
      <c r="CD104" s="351"/>
      <c r="CE104" s="351"/>
      <c r="CF104" s="351"/>
      <c r="CG104" s="351"/>
      <c r="CH104" s="351"/>
      <c r="CI104" s="351"/>
      <c r="CJ104" s="351"/>
      <c r="CK104" s="351"/>
      <c r="CL104" s="351"/>
      <c r="CM104" s="351"/>
      <c r="CN104" s="351"/>
      <c r="CO104" s="351"/>
      <c r="CP104" s="351"/>
      <c r="CQ104" s="351"/>
      <c r="CR104" s="351"/>
      <c r="CS104" s="351"/>
      <c r="CT104" s="351"/>
      <c r="CU104" s="351"/>
      <c r="CV104" s="351"/>
      <c r="CW104" s="351"/>
      <c r="CX104" s="351"/>
      <c r="CY104" s="351"/>
      <c r="CZ104" s="351"/>
      <c r="DA104" s="351"/>
      <c r="DB104" s="351"/>
      <c r="DC104" s="351"/>
      <c r="DD104" s="351"/>
      <c r="DE104" s="7"/>
    </row>
    <row r="105" spans="1:109" ht="15" customHeight="1">
      <c r="A105" s="6"/>
      <c r="B105" s="385"/>
      <c r="C105" s="386"/>
      <c r="D105" s="386"/>
      <c r="E105" s="386"/>
      <c r="F105" s="386"/>
      <c r="G105" s="386"/>
      <c r="H105" s="387"/>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c r="BI105" s="351"/>
      <c r="BJ105" s="351"/>
      <c r="BK105" s="351"/>
      <c r="BL105" s="351"/>
      <c r="BM105" s="351"/>
      <c r="BN105" s="351"/>
      <c r="BO105" s="351"/>
      <c r="BP105" s="351"/>
      <c r="BQ105" s="351"/>
      <c r="BR105" s="351"/>
      <c r="BS105" s="351"/>
      <c r="BT105" s="351"/>
      <c r="BU105" s="351"/>
      <c r="BV105" s="351"/>
      <c r="BW105" s="351"/>
      <c r="BX105" s="351"/>
      <c r="BY105" s="351"/>
      <c r="BZ105" s="351"/>
      <c r="CA105" s="351"/>
      <c r="CB105" s="351"/>
      <c r="CC105" s="351"/>
      <c r="CD105" s="351"/>
      <c r="CE105" s="351"/>
      <c r="CF105" s="351"/>
      <c r="CG105" s="351"/>
      <c r="CH105" s="351"/>
      <c r="CI105" s="351"/>
      <c r="CJ105" s="351"/>
      <c r="CK105" s="351"/>
      <c r="CL105" s="351"/>
      <c r="CM105" s="351"/>
      <c r="CN105" s="351"/>
      <c r="CO105" s="351"/>
      <c r="CP105" s="351"/>
      <c r="CQ105" s="351"/>
      <c r="CR105" s="351"/>
      <c r="CS105" s="351"/>
      <c r="CT105" s="351"/>
      <c r="CU105" s="351"/>
      <c r="CV105" s="351"/>
      <c r="CW105" s="351"/>
      <c r="CX105" s="351"/>
      <c r="CY105" s="351"/>
      <c r="CZ105" s="351"/>
      <c r="DA105" s="351"/>
      <c r="DB105" s="351"/>
      <c r="DC105" s="351"/>
      <c r="DD105" s="351"/>
      <c r="DE105" s="7"/>
    </row>
    <row r="106" spans="1:109" ht="15" customHeight="1">
      <c r="A106" s="8"/>
      <c r="B106" s="418"/>
      <c r="C106" s="419"/>
      <c r="D106" s="419"/>
      <c r="E106" s="419"/>
      <c r="F106" s="419"/>
      <c r="G106" s="419"/>
      <c r="H106" s="420"/>
      <c r="I106" s="414"/>
      <c r="J106" s="414"/>
      <c r="K106" s="414"/>
      <c r="L106" s="414"/>
      <c r="M106" s="414"/>
      <c r="N106" s="414"/>
      <c r="O106" s="414"/>
      <c r="P106" s="414"/>
      <c r="Q106" s="414"/>
      <c r="R106" s="414"/>
      <c r="S106" s="414"/>
      <c r="T106" s="414"/>
      <c r="U106" s="414"/>
      <c r="V106" s="414"/>
      <c r="W106" s="414"/>
      <c r="X106" s="414"/>
      <c r="Y106" s="414"/>
      <c r="Z106" s="414"/>
      <c r="AA106" s="414"/>
      <c r="AB106" s="414"/>
      <c r="AC106" s="414"/>
      <c r="AD106" s="414"/>
      <c r="AE106" s="414"/>
      <c r="AF106" s="414"/>
      <c r="AG106" s="414"/>
      <c r="AH106" s="414"/>
      <c r="AI106" s="414"/>
      <c r="AJ106" s="414"/>
      <c r="AK106" s="414"/>
      <c r="AL106" s="414"/>
      <c r="AM106" s="414"/>
      <c r="AN106" s="414"/>
      <c r="AO106" s="414"/>
      <c r="AP106" s="414"/>
      <c r="AQ106" s="414"/>
      <c r="AR106" s="414"/>
      <c r="AS106" s="414"/>
      <c r="AT106" s="414"/>
      <c r="AU106" s="414"/>
      <c r="AV106" s="414"/>
      <c r="AW106" s="414"/>
      <c r="AX106" s="414"/>
      <c r="AY106" s="414"/>
      <c r="AZ106" s="414"/>
      <c r="BA106" s="414"/>
      <c r="BB106" s="414"/>
      <c r="BC106" s="414"/>
      <c r="BD106" s="414"/>
      <c r="BE106" s="414"/>
      <c r="BF106" s="414"/>
      <c r="BG106" s="414"/>
      <c r="BH106" s="414"/>
      <c r="BI106" s="414"/>
      <c r="BJ106" s="414"/>
      <c r="BK106" s="414"/>
      <c r="BL106" s="414"/>
      <c r="BM106" s="414"/>
      <c r="BN106" s="414"/>
      <c r="BO106" s="414"/>
      <c r="BP106" s="414"/>
      <c r="BQ106" s="414"/>
      <c r="BR106" s="414"/>
      <c r="BS106" s="414"/>
      <c r="BT106" s="414"/>
      <c r="BU106" s="414"/>
      <c r="BV106" s="414"/>
      <c r="BW106" s="414"/>
      <c r="BX106" s="414"/>
      <c r="BY106" s="414"/>
      <c r="BZ106" s="414"/>
      <c r="CA106" s="414"/>
      <c r="CB106" s="414"/>
      <c r="CC106" s="414"/>
      <c r="CD106" s="414"/>
      <c r="CE106" s="414"/>
      <c r="CF106" s="414"/>
      <c r="CG106" s="414"/>
      <c r="CH106" s="414"/>
      <c r="CI106" s="414"/>
      <c r="CJ106" s="414"/>
      <c r="CK106" s="414"/>
      <c r="CL106" s="414"/>
      <c r="CM106" s="352"/>
      <c r="CN106" s="352"/>
      <c r="CO106" s="352"/>
      <c r="CP106" s="352"/>
      <c r="CQ106" s="352"/>
      <c r="CR106" s="352"/>
      <c r="CS106" s="352"/>
      <c r="CT106" s="352"/>
      <c r="CU106" s="352"/>
      <c r="CV106" s="352"/>
      <c r="CW106" s="352"/>
      <c r="CX106" s="352"/>
      <c r="CY106" s="352"/>
      <c r="CZ106" s="352"/>
      <c r="DA106" s="352"/>
      <c r="DB106" s="352"/>
      <c r="DC106" s="352"/>
      <c r="DD106" s="352"/>
      <c r="DE106" s="7"/>
    </row>
    <row r="107" spans="1:109" ht="15" customHeight="1">
      <c r="A107" s="8"/>
      <c r="B107" s="421"/>
      <c r="C107" s="422"/>
      <c r="D107" s="422"/>
      <c r="E107" s="422"/>
      <c r="F107" s="422"/>
      <c r="G107" s="422"/>
      <c r="H107" s="423"/>
      <c r="I107" s="414"/>
      <c r="J107" s="414"/>
      <c r="K107" s="414"/>
      <c r="L107" s="414"/>
      <c r="M107" s="414"/>
      <c r="N107" s="414"/>
      <c r="O107" s="414"/>
      <c r="P107" s="414"/>
      <c r="Q107" s="414"/>
      <c r="R107" s="414"/>
      <c r="S107" s="414"/>
      <c r="T107" s="414"/>
      <c r="U107" s="414"/>
      <c r="V107" s="414"/>
      <c r="W107" s="414"/>
      <c r="X107" s="414"/>
      <c r="Y107" s="414"/>
      <c r="Z107" s="414"/>
      <c r="AA107" s="414"/>
      <c r="AB107" s="414"/>
      <c r="AC107" s="414"/>
      <c r="AD107" s="414"/>
      <c r="AE107" s="414"/>
      <c r="AF107" s="414"/>
      <c r="AG107" s="414"/>
      <c r="AH107" s="414"/>
      <c r="AI107" s="414"/>
      <c r="AJ107" s="414"/>
      <c r="AK107" s="414"/>
      <c r="AL107" s="414"/>
      <c r="AM107" s="414"/>
      <c r="AN107" s="414"/>
      <c r="AO107" s="414"/>
      <c r="AP107" s="414"/>
      <c r="AQ107" s="414"/>
      <c r="AR107" s="414"/>
      <c r="AS107" s="414"/>
      <c r="AT107" s="414"/>
      <c r="AU107" s="414"/>
      <c r="AV107" s="414"/>
      <c r="AW107" s="414"/>
      <c r="AX107" s="414"/>
      <c r="AY107" s="414"/>
      <c r="AZ107" s="414"/>
      <c r="BA107" s="414"/>
      <c r="BB107" s="414"/>
      <c r="BC107" s="414"/>
      <c r="BD107" s="414"/>
      <c r="BE107" s="414"/>
      <c r="BF107" s="414"/>
      <c r="BG107" s="414"/>
      <c r="BH107" s="414"/>
      <c r="BI107" s="414"/>
      <c r="BJ107" s="414"/>
      <c r="BK107" s="414"/>
      <c r="BL107" s="414"/>
      <c r="BM107" s="414"/>
      <c r="BN107" s="414"/>
      <c r="BO107" s="414"/>
      <c r="BP107" s="414"/>
      <c r="BQ107" s="414"/>
      <c r="BR107" s="414"/>
      <c r="BS107" s="414"/>
      <c r="BT107" s="414"/>
      <c r="BU107" s="414"/>
      <c r="BV107" s="414"/>
      <c r="BW107" s="414"/>
      <c r="BX107" s="414"/>
      <c r="BY107" s="414"/>
      <c r="BZ107" s="414"/>
      <c r="CA107" s="414"/>
      <c r="CB107" s="414"/>
      <c r="CC107" s="414"/>
      <c r="CD107" s="414"/>
      <c r="CE107" s="414"/>
      <c r="CF107" s="414"/>
      <c r="CG107" s="414"/>
      <c r="CH107" s="414"/>
      <c r="CI107" s="414"/>
      <c r="CJ107" s="414"/>
      <c r="CK107" s="414"/>
      <c r="CL107" s="414"/>
      <c r="CM107" s="352"/>
      <c r="CN107" s="352"/>
      <c r="CO107" s="352"/>
      <c r="CP107" s="352"/>
      <c r="CQ107" s="352"/>
      <c r="CR107" s="352"/>
      <c r="CS107" s="352"/>
      <c r="CT107" s="352"/>
      <c r="CU107" s="352"/>
      <c r="CV107" s="352"/>
      <c r="CW107" s="352"/>
      <c r="CX107" s="352"/>
      <c r="CY107" s="352"/>
      <c r="CZ107" s="352"/>
      <c r="DA107" s="352"/>
      <c r="DB107" s="352"/>
      <c r="DC107" s="352"/>
      <c r="DD107" s="352"/>
      <c r="DE107" s="7"/>
    </row>
    <row r="108" spans="1:109" ht="15" customHeight="1">
      <c r="A108" s="3"/>
      <c r="B108" s="424"/>
      <c r="C108" s="425"/>
      <c r="D108" s="425"/>
      <c r="E108" s="425"/>
      <c r="F108" s="425"/>
      <c r="G108" s="425"/>
      <c r="H108" s="426"/>
      <c r="I108" s="415"/>
      <c r="J108" s="415"/>
      <c r="K108" s="415"/>
      <c r="L108" s="415"/>
      <c r="M108" s="415"/>
      <c r="N108" s="415"/>
      <c r="O108" s="415"/>
      <c r="P108" s="415"/>
      <c r="Q108" s="415"/>
      <c r="R108" s="415"/>
      <c r="S108" s="415"/>
      <c r="T108" s="415"/>
      <c r="U108" s="415"/>
      <c r="V108" s="415"/>
      <c r="W108" s="415"/>
      <c r="X108" s="415"/>
      <c r="Y108" s="415"/>
      <c r="Z108" s="415"/>
      <c r="AA108" s="415"/>
      <c r="AB108" s="415"/>
      <c r="AC108" s="415"/>
      <c r="AD108" s="415"/>
      <c r="AE108" s="415"/>
      <c r="AF108" s="415"/>
      <c r="AG108" s="415"/>
      <c r="AH108" s="415"/>
      <c r="AI108" s="415"/>
      <c r="AJ108" s="415"/>
      <c r="AK108" s="415"/>
      <c r="AL108" s="415"/>
      <c r="AM108" s="415"/>
      <c r="AN108" s="415"/>
      <c r="AO108" s="415"/>
      <c r="AP108" s="415"/>
      <c r="AQ108" s="415"/>
      <c r="AR108" s="415"/>
      <c r="AS108" s="415"/>
      <c r="AT108" s="415"/>
      <c r="AU108" s="415"/>
      <c r="AV108" s="415"/>
      <c r="AW108" s="415"/>
      <c r="AX108" s="415"/>
      <c r="AY108" s="415"/>
      <c r="AZ108" s="415"/>
      <c r="BA108" s="415"/>
      <c r="BB108" s="415"/>
      <c r="BC108" s="415"/>
      <c r="BD108" s="415"/>
      <c r="BE108" s="415"/>
      <c r="BF108" s="415"/>
      <c r="BG108" s="415"/>
      <c r="BH108" s="415"/>
      <c r="BI108" s="415"/>
      <c r="BJ108" s="415"/>
      <c r="BK108" s="415"/>
      <c r="BL108" s="415"/>
      <c r="BM108" s="415"/>
      <c r="BN108" s="415"/>
      <c r="BO108" s="415"/>
      <c r="BP108" s="415"/>
      <c r="BQ108" s="415"/>
      <c r="BR108" s="415"/>
      <c r="BS108" s="415"/>
      <c r="BT108" s="415"/>
      <c r="BU108" s="415"/>
      <c r="BV108" s="415"/>
      <c r="BW108" s="415"/>
      <c r="BX108" s="415"/>
      <c r="BY108" s="415"/>
      <c r="BZ108" s="415"/>
      <c r="CA108" s="415"/>
      <c r="CB108" s="415"/>
      <c r="CC108" s="415"/>
      <c r="CD108" s="415"/>
      <c r="CE108" s="415"/>
      <c r="CF108" s="415"/>
      <c r="CG108" s="415"/>
      <c r="CH108" s="415"/>
      <c r="CI108" s="415"/>
      <c r="CJ108" s="415"/>
      <c r="CK108" s="415"/>
      <c r="CL108" s="415"/>
      <c r="CM108" s="351"/>
      <c r="CN108" s="351"/>
      <c r="CO108" s="351"/>
      <c r="CP108" s="351"/>
      <c r="CQ108" s="351"/>
      <c r="CR108" s="351"/>
      <c r="CS108" s="351"/>
      <c r="CT108" s="351"/>
      <c r="CU108" s="351"/>
      <c r="CV108" s="351"/>
      <c r="CW108" s="351"/>
      <c r="CX108" s="351"/>
      <c r="CY108" s="351"/>
      <c r="CZ108" s="351"/>
      <c r="DA108" s="351"/>
      <c r="DB108" s="351"/>
      <c r="DC108" s="351"/>
      <c r="DD108" s="351"/>
      <c r="DE108" s="7"/>
    </row>
    <row r="109" spans="1:109" ht="15" customHeight="1">
      <c r="A109" s="3"/>
      <c r="B109" s="427"/>
      <c r="C109" s="428"/>
      <c r="D109" s="428"/>
      <c r="E109" s="428"/>
      <c r="F109" s="428"/>
      <c r="G109" s="428"/>
      <c r="H109" s="429"/>
      <c r="I109" s="415"/>
      <c r="J109" s="415"/>
      <c r="K109" s="415"/>
      <c r="L109" s="415"/>
      <c r="M109" s="415"/>
      <c r="N109" s="415"/>
      <c r="O109" s="415"/>
      <c r="P109" s="415"/>
      <c r="Q109" s="415"/>
      <c r="R109" s="415"/>
      <c r="S109" s="415"/>
      <c r="T109" s="415"/>
      <c r="U109" s="415"/>
      <c r="V109" s="415"/>
      <c r="W109" s="415"/>
      <c r="X109" s="415"/>
      <c r="Y109" s="415"/>
      <c r="Z109" s="415"/>
      <c r="AA109" s="415"/>
      <c r="AB109" s="415"/>
      <c r="AC109" s="415"/>
      <c r="AD109" s="415"/>
      <c r="AE109" s="415"/>
      <c r="AF109" s="415"/>
      <c r="AG109" s="415"/>
      <c r="AH109" s="415"/>
      <c r="AI109" s="415"/>
      <c r="AJ109" s="415"/>
      <c r="AK109" s="415"/>
      <c r="AL109" s="415"/>
      <c r="AM109" s="415"/>
      <c r="AN109" s="415"/>
      <c r="AO109" s="415"/>
      <c r="AP109" s="415"/>
      <c r="AQ109" s="415"/>
      <c r="AR109" s="415"/>
      <c r="AS109" s="415"/>
      <c r="AT109" s="415"/>
      <c r="AU109" s="415"/>
      <c r="AV109" s="415"/>
      <c r="AW109" s="415"/>
      <c r="AX109" s="415"/>
      <c r="AY109" s="415"/>
      <c r="AZ109" s="415"/>
      <c r="BA109" s="415"/>
      <c r="BB109" s="415"/>
      <c r="BC109" s="415"/>
      <c r="BD109" s="415"/>
      <c r="BE109" s="415"/>
      <c r="BF109" s="415"/>
      <c r="BG109" s="415"/>
      <c r="BH109" s="415"/>
      <c r="BI109" s="415"/>
      <c r="BJ109" s="415"/>
      <c r="BK109" s="415"/>
      <c r="BL109" s="415"/>
      <c r="BM109" s="415"/>
      <c r="BN109" s="415"/>
      <c r="BO109" s="415"/>
      <c r="BP109" s="415"/>
      <c r="BQ109" s="415"/>
      <c r="BR109" s="415"/>
      <c r="BS109" s="415"/>
      <c r="BT109" s="415"/>
      <c r="BU109" s="415"/>
      <c r="BV109" s="415"/>
      <c r="BW109" s="415"/>
      <c r="BX109" s="415"/>
      <c r="BY109" s="415"/>
      <c r="BZ109" s="415"/>
      <c r="CA109" s="415"/>
      <c r="CB109" s="415"/>
      <c r="CC109" s="415"/>
      <c r="CD109" s="415"/>
      <c r="CE109" s="415"/>
      <c r="CF109" s="415"/>
      <c r="CG109" s="415"/>
      <c r="CH109" s="415"/>
      <c r="CI109" s="415"/>
      <c r="CJ109" s="415"/>
      <c r="CK109" s="415"/>
      <c r="CL109" s="415"/>
      <c r="CM109" s="351"/>
      <c r="CN109" s="351"/>
      <c r="CO109" s="351"/>
      <c r="CP109" s="351"/>
      <c r="CQ109" s="351"/>
      <c r="CR109" s="351"/>
      <c r="CS109" s="351"/>
      <c r="CT109" s="351"/>
      <c r="CU109" s="351"/>
      <c r="CV109" s="351"/>
      <c r="CW109" s="351"/>
      <c r="CX109" s="351"/>
      <c r="CY109" s="351"/>
      <c r="CZ109" s="351"/>
      <c r="DA109" s="351"/>
      <c r="DB109" s="351"/>
      <c r="DC109" s="351"/>
      <c r="DD109" s="351"/>
      <c r="DE109" s="7"/>
    </row>
    <row r="110" spans="1:109" ht="15" customHeight="1" thickBot="1">
      <c r="A110" s="2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4"/>
    </row>
    <row r="111" spans="1:109" ht="15" customHeight="1">
      <c r="A111" s="3"/>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109" ht="15" customHeight="1">
      <c r="A112" s="8"/>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109" ht="15" customHeight="1">
      <c r="A113" s="17"/>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CJ113" s="9"/>
      <c r="CK113" s="9"/>
      <c r="CL113" s="9"/>
      <c r="CM113" s="9"/>
      <c r="CN113" s="10"/>
      <c r="CO113" s="10"/>
      <c r="CP113" s="10"/>
      <c r="CQ113" s="10"/>
      <c r="CR113" s="10"/>
      <c r="CS113" s="10"/>
      <c r="CT113" s="10"/>
      <c r="CU113" s="10"/>
      <c r="CV113" s="10"/>
      <c r="CW113" s="10"/>
      <c r="CX113" s="10"/>
      <c r="CY113" s="10"/>
      <c r="CZ113" s="10"/>
      <c r="DA113" s="10"/>
      <c r="DB113" s="10"/>
      <c r="DC113" s="10"/>
      <c r="DD113" s="10"/>
      <c r="DE113" s="10"/>
    </row>
    <row r="114" spans="1:109" ht="15" customHeight="1">
      <c r="A114" s="1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15"/>
      <c r="AV114" s="15"/>
    </row>
    <row r="115" spans="1:109" ht="15" customHeight="1">
      <c r="A115" s="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W115" s="16"/>
      <c r="AX115" s="16"/>
      <c r="AY115" s="16"/>
      <c r="AZ115" s="16"/>
      <c r="BA115" s="16"/>
      <c r="BB115" s="16"/>
      <c r="BC115" s="16"/>
      <c r="BD115" s="16"/>
      <c r="BE115" s="16"/>
      <c r="BF115" s="16"/>
      <c r="BG115" s="16"/>
      <c r="BH115" s="16"/>
      <c r="BI115" s="16"/>
      <c r="BJ115" s="16"/>
      <c r="BK115" s="16"/>
      <c r="BL115" s="16"/>
      <c r="BM115" s="16"/>
    </row>
    <row r="116" spans="1:109" ht="15" customHeight="1">
      <c r="A116" s="1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15"/>
      <c r="AV116" s="17"/>
    </row>
    <row r="117" spans="1:109" ht="1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5"/>
      <c r="AV117" s="5"/>
      <c r="AW117" s="5"/>
      <c r="AX117" s="5"/>
      <c r="AY117" s="5"/>
      <c r="AZ117" s="5"/>
      <c r="BA117" s="5"/>
      <c r="BB117" s="5"/>
      <c r="BC117" s="5"/>
      <c r="BD117" s="5"/>
      <c r="BE117" s="5"/>
      <c r="BF117" s="5"/>
      <c r="BG117" s="5"/>
      <c r="BH117" s="5"/>
      <c r="BI117" s="5"/>
      <c r="BJ117" s="5"/>
      <c r="BK117" s="5"/>
      <c r="BL117" s="5"/>
      <c r="BM117" s="5"/>
    </row>
    <row r="118" spans="1:109" ht="15" customHeight="1">
      <c r="A118" s="17"/>
      <c r="B118" s="16"/>
      <c r="C118" s="16"/>
      <c r="D118" s="16"/>
      <c r="E118" s="5"/>
      <c r="F118" s="5"/>
      <c r="G118" s="5"/>
      <c r="H118" s="5"/>
      <c r="I118" s="5"/>
      <c r="J118" s="5"/>
      <c r="K118" s="5"/>
      <c r="L118" s="5"/>
      <c r="M118" s="5"/>
      <c r="N118" s="5"/>
      <c r="O118" s="5"/>
      <c r="P118" s="5"/>
      <c r="Q118" s="16"/>
      <c r="R118" s="16"/>
      <c r="S118" s="16"/>
      <c r="T118" s="16"/>
      <c r="U118" s="16"/>
      <c r="V118" s="16"/>
      <c r="W118" s="16"/>
      <c r="X118" s="21"/>
      <c r="Y118" s="21"/>
      <c r="Z118" s="21"/>
      <c r="AA118" s="21"/>
      <c r="AE118" s="16"/>
      <c r="AF118" s="16"/>
      <c r="AG118" s="16"/>
      <c r="AH118" s="16"/>
      <c r="AI118" s="16"/>
      <c r="AJ118" s="16"/>
      <c r="AK118" s="16"/>
      <c r="AL118" s="16"/>
      <c r="AM118" s="16"/>
      <c r="AN118" s="16"/>
      <c r="AO118" s="16"/>
      <c r="AP118" s="16"/>
      <c r="AQ118" s="16"/>
      <c r="AR118" s="16"/>
      <c r="AS118" s="16"/>
      <c r="AU118" s="16"/>
      <c r="AV118" s="16"/>
      <c r="AW118" s="16"/>
      <c r="AX118" s="16"/>
      <c r="AY118" s="16"/>
      <c r="AZ118" s="16"/>
      <c r="BA118" s="16"/>
      <c r="BB118" s="16"/>
      <c r="BC118" s="16"/>
      <c r="BD118" s="16"/>
      <c r="BE118" s="16"/>
      <c r="BF118" s="16"/>
      <c r="BG118" s="16"/>
      <c r="BH118" s="16"/>
      <c r="BI118" s="16"/>
      <c r="BJ118" s="16"/>
      <c r="BK118" s="16"/>
      <c r="BL118" s="16"/>
      <c r="BM118" s="16"/>
      <c r="BN118" s="16"/>
      <c r="BO118" s="11"/>
      <c r="BP118" s="11"/>
      <c r="BQ118" s="11"/>
      <c r="BR118" s="11"/>
      <c r="BS118" s="11"/>
      <c r="BT118" s="11"/>
      <c r="BU118" s="11"/>
      <c r="BV118" s="11"/>
      <c r="BW118" s="11"/>
      <c r="BX118" s="11"/>
      <c r="BY118" s="11"/>
      <c r="BZ118" s="11"/>
      <c r="CA118" s="11"/>
      <c r="CB118" s="11"/>
      <c r="CC118" s="11"/>
      <c r="CD118" s="11"/>
      <c r="CE118" s="11"/>
      <c r="CF118" s="11"/>
      <c r="CG118" s="11"/>
      <c r="CH118" s="11"/>
      <c r="CI118" s="11"/>
    </row>
    <row r="119" spans="1:109" ht="15" customHeight="1">
      <c r="A119" s="17"/>
      <c r="AU119" s="22"/>
      <c r="AV119" s="22"/>
      <c r="AW119" s="19"/>
      <c r="AX119" s="19"/>
      <c r="AY119" s="22"/>
      <c r="AZ119" s="22"/>
      <c r="BA119" s="19"/>
      <c r="BB119" s="19"/>
      <c r="BC119" s="5"/>
      <c r="BD119" s="5"/>
      <c r="BE119" s="5"/>
      <c r="BF119" s="5"/>
      <c r="BG119" s="5"/>
      <c r="BH119" s="5"/>
      <c r="BI119" s="5"/>
      <c r="BJ119" s="5"/>
      <c r="BK119" s="5"/>
      <c r="BL119" s="5"/>
      <c r="BM119" s="5"/>
      <c r="BN119" s="5"/>
      <c r="BO119" s="11"/>
      <c r="BP119" s="11"/>
      <c r="BQ119" s="11"/>
      <c r="BR119" s="11"/>
      <c r="BS119" s="11"/>
      <c r="BT119" s="11"/>
      <c r="BU119" s="11"/>
      <c r="BV119" s="11"/>
      <c r="BW119" s="11"/>
      <c r="BX119" s="11"/>
      <c r="BY119" s="11"/>
      <c r="BZ119" s="11"/>
      <c r="CA119" s="11"/>
      <c r="CB119" s="11"/>
      <c r="CC119" s="11"/>
      <c r="CD119" s="11"/>
      <c r="CE119" s="11"/>
      <c r="CF119" s="11"/>
      <c r="CG119" s="11"/>
      <c r="CH119" s="11"/>
      <c r="CI119" s="11"/>
    </row>
    <row r="120" spans="1:109" ht="15" customHeight="1">
      <c r="A120" s="15"/>
      <c r="B120" s="16"/>
      <c r="C120" s="16"/>
      <c r="D120" s="16"/>
      <c r="E120" s="16"/>
      <c r="F120" s="16"/>
      <c r="G120" s="16"/>
      <c r="H120" s="16"/>
      <c r="I120" s="16"/>
      <c r="J120" s="16"/>
      <c r="K120" s="16"/>
      <c r="L120" s="16"/>
      <c r="M120" s="16"/>
      <c r="N120" s="16"/>
      <c r="O120" s="16"/>
      <c r="P120" s="16"/>
      <c r="Q120" s="16"/>
      <c r="R120" s="16"/>
      <c r="S120" s="16"/>
      <c r="T120" s="5"/>
      <c r="U120" s="5"/>
      <c r="V120" s="5"/>
      <c r="W120" s="5"/>
      <c r="X120" s="5"/>
      <c r="Y120" s="5"/>
      <c r="Z120" s="5"/>
      <c r="AA120" s="5"/>
      <c r="AB120" s="5"/>
      <c r="AC120" s="5"/>
      <c r="AD120" s="5"/>
      <c r="AE120" s="5"/>
      <c r="AF120" s="5"/>
      <c r="AG120" s="5"/>
      <c r="AH120" s="5"/>
      <c r="AI120" s="16"/>
      <c r="AJ120" s="16"/>
      <c r="AK120" s="16"/>
      <c r="AL120" s="16"/>
      <c r="AM120" s="16"/>
      <c r="AN120" s="16"/>
      <c r="AO120" s="5"/>
      <c r="AP120" s="5"/>
      <c r="AQ120" s="5"/>
      <c r="AR120" s="5"/>
      <c r="AS120" s="5"/>
      <c r="AT120" s="5"/>
      <c r="AU120" s="18"/>
      <c r="AV120" s="18"/>
      <c r="AW120" s="18"/>
      <c r="AX120" s="18"/>
      <c r="AY120" s="18"/>
      <c r="AZ120" s="5"/>
      <c r="BA120" s="5"/>
      <c r="BB120" s="5"/>
      <c r="BC120" s="5"/>
      <c r="BD120" s="5"/>
      <c r="BE120" s="5"/>
      <c r="BF120" s="5"/>
      <c r="BG120" s="5"/>
      <c r="BH120" s="5"/>
      <c r="BI120" s="5"/>
      <c r="BJ120" s="5"/>
      <c r="BK120" s="5"/>
      <c r="BL120" s="5"/>
      <c r="BM120" s="5"/>
      <c r="BN120" s="5"/>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109" ht="1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9"/>
      <c r="AV121" s="19"/>
      <c r="AW121" s="19"/>
      <c r="AX121" s="19"/>
      <c r="AY121" s="19"/>
      <c r="AZ121" s="19"/>
      <c r="BA121" s="19"/>
      <c r="BB121" s="19"/>
      <c r="BC121" s="19"/>
      <c r="BD121" s="19"/>
      <c r="BE121" s="19"/>
      <c r="BF121" s="19"/>
      <c r="BG121" s="19"/>
      <c r="BH121" s="19"/>
      <c r="BI121" s="19"/>
      <c r="BJ121" s="19"/>
      <c r="BK121" s="19"/>
      <c r="BL121" s="19"/>
      <c r="BM121" s="19"/>
      <c r="BN121" s="19"/>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109" ht="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18"/>
      <c r="AN122" s="18"/>
      <c r="AO122" s="18"/>
      <c r="AP122" s="19"/>
      <c r="AQ122" s="19"/>
      <c r="AR122" s="19"/>
      <c r="AS122" s="19"/>
      <c r="AT122" s="19"/>
      <c r="AU122" s="20"/>
      <c r="AV122" s="20"/>
      <c r="AW122" s="20"/>
      <c r="AX122" s="20"/>
      <c r="AY122" s="20"/>
      <c r="AZ122" s="20"/>
      <c r="BA122" s="20"/>
      <c r="BB122" s="20"/>
      <c r="BC122" s="20"/>
      <c r="BD122" s="20"/>
      <c r="BE122" s="20"/>
      <c r="BF122" s="20"/>
      <c r="BG122" s="20"/>
      <c r="BH122" s="20"/>
      <c r="BI122" s="20"/>
      <c r="BJ122" s="20"/>
      <c r="BK122" s="20"/>
      <c r="BL122" s="20"/>
      <c r="BM122" s="20"/>
      <c r="BN122" s="20"/>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109" ht="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18"/>
      <c r="AN123" s="18"/>
      <c r="AO123" s="18"/>
      <c r="AP123" s="18"/>
      <c r="AQ123" s="18"/>
      <c r="AR123" s="18"/>
      <c r="AS123" s="18"/>
      <c r="AT123" s="18"/>
      <c r="AU123" s="20"/>
      <c r="AV123" s="20"/>
      <c r="AW123" s="20"/>
      <c r="AX123" s="20"/>
      <c r="AY123" s="20"/>
      <c r="AZ123" s="20"/>
      <c r="BA123" s="20"/>
      <c r="BB123" s="20"/>
      <c r="BC123" s="20"/>
      <c r="BD123" s="20"/>
      <c r="BE123" s="20"/>
      <c r="BF123" s="20"/>
      <c r="BG123" s="20"/>
      <c r="BH123" s="20"/>
      <c r="BI123" s="20"/>
      <c r="BJ123" s="20"/>
      <c r="BK123" s="20"/>
      <c r="BL123" s="20"/>
      <c r="BM123" s="20"/>
      <c r="BN123" s="20"/>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109" ht="1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20"/>
      <c r="AV124" s="20"/>
      <c r="AW124" s="20"/>
      <c r="AX124" s="20"/>
      <c r="AY124" s="20"/>
      <c r="AZ124" s="20"/>
      <c r="BA124" s="20"/>
      <c r="BB124" s="20"/>
      <c r="BC124" s="20"/>
      <c r="BD124" s="20"/>
      <c r="BE124" s="20"/>
      <c r="BF124" s="20"/>
      <c r="BG124" s="20"/>
      <c r="BH124" s="20"/>
      <c r="BI124" s="20"/>
      <c r="BJ124" s="20"/>
      <c r="BK124" s="20"/>
      <c r="BL124" s="20"/>
      <c r="BM124" s="20"/>
      <c r="BN124" s="20"/>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109" ht="1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109" ht="1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109" ht="1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109" ht="1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66" ht="1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BM129" s="12"/>
      <c r="BN129" s="12"/>
    </row>
    <row r="130" spans="1:66" ht="1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row>
    <row r="131" spans="1:66" ht="1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row>
  </sheetData>
  <sheetProtection formatCells="0"/>
  <mergeCells count="550">
    <mergeCell ref="B53:H54"/>
    <mergeCell ref="I53:O54"/>
    <mergeCell ref="P53:V54"/>
    <mergeCell ref="W53:AC54"/>
    <mergeCell ref="AD53:AJ54"/>
    <mergeCell ref="AK53:AQ54"/>
    <mergeCell ref="AR53:AX54"/>
    <mergeCell ref="AY53:BE54"/>
    <mergeCell ref="BF53:BL54"/>
    <mergeCell ref="BM108:CL109"/>
    <mergeCell ref="B70:H71"/>
    <mergeCell ref="I70:O71"/>
    <mergeCell ref="P70:V71"/>
    <mergeCell ref="W70:AC71"/>
    <mergeCell ref="AD70:AJ71"/>
    <mergeCell ref="AK70:AQ71"/>
    <mergeCell ref="AR70:AX71"/>
    <mergeCell ref="AY70:BE71"/>
    <mergeCell ref="BF70:BL71"/>
    <mergeCell ref="BM70:CL71"/>
    <mergeCell ref="B72:H73"/>
    <mergeCell ref="I72:O73"/>
    <mergeCell ref="P72:V73"/>
    <mergeCell ref="W72:AC73"/>
    <mergeCell ref="AD72:AJ73"/>
    <mergeCell ref="AK72:AQ73"/>
    <mergeCell ref="AR72:AX73"/>
    <mergeCell ref="AY72:BE73"/>
    <mergeCell ref="BF72:BL73"/>
    <mergeCell ref="BM72:CL73"/>
    <mergeCell ref="B108:H109"/>
    <mergeCell ref="I108:O109"/>
    <mergeCell ref="P108:V109"/>
    <mergeCell ref="B51:H52"/>
    <mergeCell ref="I51:O52"/>
    <mergeCell ref="P51:V52"/>
    <mergeCell ref="W51:AC52"/>
    <mergeCell ref="AD51:AJ52"/>
    <mergeCell ref="AK51:AQ52"/>
    <mergeCell ref="AR51:AX52"/>
    <mergeCell ref="AY51:BE52"/>
    <mergeCell ref="BF51:BL52"/>
    <mergeCell ref="B43:H44"/>
    <mergeCell ref="I43:O44"/>
    <mergeCell ref="P43:V44"/>
    <mergeCell ref="W43:AC44"/>
    <mergeCell ref="AD43:AJ44"/>
    <mergeCell ref="AK43:AQ44"/>
    <mergeCell ref="AR43:AX44"/>
    <mergeCell ref="AY43:BE44"/>
    <mergeCell ref="BF43:BL44"/>
    <mergeCell ref="P21:V22"/>
    <mergeCell ref="W21:AC22"/>
    <mergeCell ref="AD21:AJ22"/>
    <mergeCell ref="AR21:AX22"/>
    <mergeCell ref="AY21:BE22"/>
    <mergeCell ref="BF21:BL22"/>
    <mergeCell ref="B31:H32"/>
    <mergeCell ref="I31:O32"/>
    <mergeCell ref="P31:V32"/>
    <mergeCell ref="W31:AC32"/>
    <mergeCell ref="AD31:AJ32"/>
    <mergeCell ref="AK31:AQ32"/>
    <mergeCell ref="AR31:AX32"/>
    <mergeCell ref="AY31:BE32"/>
    <mergeCell ref="BF31:BL32"/>
    <mergeCell ref="B23:H24"/>
    <mergeCell ref="I23:O24"/>
    <mergeCell ref="P23:V24"/>
    <mergeCell ref="W23:AC24"/>
    <mergeCell ref="AD23:AJ24"/>
    <mergeCell ref="AK23:AQ24"/>
    <mergeCell ref="AR23:AX24"/>
    <mergeCell ref="AY23:BE24"/>
    <mergeCell ref="BF23:BL24"/>
    <mergeCell ref="CR68:DD69"/>
    <mergeCell ref="CM70:CQ71"/>
    <mergeCell ref="CR70:DD71"/>
    <mergeCell ref="BM15:CL16"/>
    <mergeCell ref="B17:H18"/>
    <mergeCell ref="I17:O18"/>
    <mergeCell ref="P17:V18"/>
    <mergeCell ref="W17:AC18"/>
    <mergeCell ref="AD17:AJ18"/>
    <mergeCell ref="AK17:AQ18"/>
    <mergeCell ref="AR17:AX18"/>
    <mergeCell ref="AY17:BE18"/>
    <mergeCell ref="BF17:BL18"/>
    <mergeCell ref="BM17:CL18"/>
    <mergeCell ref="B15:H16"/>
    <mergeCell ref="I15:O16"/>
    <mergeCell ref="P15:V16"/>
    <mergeCell ref="W15:AC16"/>
    <mergeCell ref="AD15:AJ16"/>
    <mergeCell ref="AK15:AQ16"/>
    <mergeCell ref="AR15:AX16"/>
    <mergeCell ref="AY15:BE16"/>
    <mergeCell ref="BF15:BL16"/>
    <mergeCell ref="AK21:AQ22"/>
    <mergeCell ref="B47:H48"/>
    <mergeCell ref="I47:O48"/>
    <mergeCell ref="P47:V48"/>
    <mergeCell ref="W47:AC48"/>
    <mergeCell ref="AD47:AJ48"/>
    <mergeCell ref="AK47:AQ48"/>
    <mergeCell ref="AR47:AX48"/>
    <mergeCell ref="AY47:BE48"/>
    <mergeCell ref="B49:H50"/>
    <mergeCell ref="I49:O50"/>
    <mergeCell ref="P49:V50"/>
    <mergeCell ref="W49:AC50"/>
    <mergeCell ref="AD49:AJ50"/>
    <mergeCell ref="AK49:AQ50"/>
    <mergeCell ref="AR49:AX50"/>
    <mergeCell ref="B45:H46"/>
    <mergeCell ref="I45:O46"/>
    <mergeCell ref="P45:V46"/>
    <mergeCell ref="W45:AC46"/>
    <mergeCell ref="AD45:AJ46"/>
    <mergeCell ref="AK45:AQ46"/>
    <mergeCell ref="AR45:AX46"/>
    <mergeCell ref="AY45:BE46"/>
    <mergeCell ref="BF45:BL46"/>
    <mergeCell ref="W108:AC109"/>
    <mergeCell ref="AD108:AJ109"/>
    <mergeCell ref="AK108:AQ109"/>
    <mergeCell ref="AR108:AX109"/>
    <mergeCell ref="AY108:BE109"/>
    <mergeCell ref="BF108:BL109"/>
    <mergeCell ref="BM106:CL107"/>
    <mergeCell ref="B104:H105"/>
    <mergeCell ref="I104:O105"/>
    <mergeCell ref="P104:V105"/>
    <mergeCell ref="W104:AC105"/>
    <mergeCell ref="AD104:AJ105"/>
    <mergeCell ref="AK104:AQ105"/>
    <mergeCell ref="AR104:AX105"/>
    <mergeCell ref="AY104:BE105"/>
    <mergeCell ref="BF104:BL105"/>
    <mergeCell ref="BM104:CL105"/>
    <mergeCell ref="B106:H107"/>
    <mergeCell ref="I106:O107"/>
    <mergeCell ref="P106:V107"/>
    <mergeCell ref="W106:AC107"/>
    <mergeCell ref="AD106:AJ107"/>
    <mergeCell ref="AK106:AQ107"/>
    <mergeCell ref="AR106:AX107"/>
    <mergeCell ref="AY106:BE107"/>
    <mergeCell ref="BF106:BL107"/>
    <mergeCell ref="CM96:CQ97"/>
    <mergeCell ref="CR96:DD97"/>
    <mergeCell ref="BM102:CL103"/>
    <mergeCell ref="B100:H101"/>
    <mergeCell ref="I100:O101"/>
    <mergeCell ref="P100:V101"/>
    <mergeCell ref="W100:AC101"/>
    <mergeCell ref="AD100:AJ101"/>
    <mergeCell ref="AK100:AQ101"/>
    <mergeCell ref="AR100:AX101"/>
    <mergeCell ref="AY100:BE101"/>
    <mergeCell ref="BF100:BL101"/>
    <mergeCell ref="BM100:CL101"/>
    <mergeCell ref="B102:H103"/>
    <mergeCell ref="I102:O103"/>
    <mergeCell ref="P102:V103"/>
    <mergeCell ref="W102:AC103"/>
    <mergeCell ref="AD102:AJ103"/>
    <mergeCell ref="AK102:AQ103"/>
    <mergeCell ref="AR102:AX103"/>
    <mergeCell ref="AY102:BE103"/>
    <mergeCell ref="BF102:BL103"/>
    <mergeCell ref="BM98:CL99"/>
    <mergeCell ref="B96:H97"/>
    <mergeCell ref="I96:O97"/>
    <mergeCell ref="P96:V97"/>
    <mergeCell ref="W96:AC97"/>
    <mergeCell ref="AD96:AJ97"/>
    <mergeCell ref="AK96:AQ97"/>
    <mergeCell ref="AR96:AX97"/>
    <mergeCell ref="AY96:BE97"/>
    <mergeCell ref="BF96:BL97"/>
    <mergeCell ref="BM96:CL97"/>
    <mergeCell ref="B98:H99"/>
    <mergeCell ref="I98:O99"/>
    <mergeCell ref="P98:V99"/>
    <mergeCell ref="W98:AC99"/>
    <mergeCell ref="AD98:AJ99"/>
    <mergeCell ref="AK98:AQ99"/>
    <mergeCell ref="AR98:AX99"/>
    <mergeCell ref="AY98:BE99"/>
    <mergeCell ref="BF98:BL99"/>
    <mergeCell ref="BM94:CL95"/>
    <mergeCell ref="B92:H93"/>
    <mergeCell ref="I92:O93"/>
    <mergeCell ref="P92:V93"/>
    <mergeCell ref="W92:AC93"/>
    <mergeCell ref="AD92:AJ93"/>
    <mergeCell ref="AK92:AQ93"/>
    <mergeCell ref="AR92:AX93"/>
    <mergeCell ref="AY92:BE93"/>
    <mergeCell ref="BF92:BL93"/>
    <mergeCell ref="BM92:CL93"/>
    <mergeCell ref="B94:H95"/>
    <mergeCell ref="I94:O95"/>
    <mergeCell ref="P94:V95"/>
    <mergeCell ref="W94:AC95"/>
    <mergeCell ref="AD94:AJ95"/>
    <mergeCell ref="AK94:AQ95"/>
    <mergeCell ref="AR94:AX95"/>
    <mergeCell ref="AY94:BE95"/>
    <mergeCell ref="BF94:BL95"/>
    <mergeCell ref="BM90:CL91"/>
    <mergeCell ref="B88:H89"/>
    <mergeCell ref="I88:O89"/>
    <mergeCell ref="P88:V89"/>
    <mergeCell ref="W88:AC89"/>
    <mergeCell ref="AD88:AJ89"/>
    <mergeCell ref="AK88:AQ89"/>
    <mergeCell ref="AR88:AX89"/>
    <mergeCell ref="AY88:BE89"/>
    <mergeCell ref="BF88:BL89"/>
    <mergeCell ref="BM88:CL89"/>
    <mergeCell ref="B90:H91"/>
    <mergeCell ref="I90:O91"/>
    <mergeCell ref="P90:V91"/>
    <mergeCell ref="W90:AC91"/>
    <mergeCell ref="AD90:AJ91"/>
    <mergeCell ref="AK90:AQ91"/>
    <mergeCell ref="AR90:AX91"/>
    <mergeCell ref="AY90:BE91"/>
    <mergeCell ref="BF90:BL91"/>
    <mergeCell ref="BM86:CL87"/>
    <mergeCell ref="B84:H85"/>
    <mergeCell ref="I84:O85"/>
    <mergeCell ref="P84:V85"/>
    <mergeCell ref="W84:AC85"/>
    <mergeCell ref="AD84:AJ85"/>
    <mergeCell ref="AK84:AQ85"/>
    <mergeCell ref="AR84:AX85"/>
    <mergeCell ref="AY84:BE85"/>
    <mergeCell ref="BF84:BL85"/>
    <mergeCell ref="BM84:CL85"/>
    <mergeCell ref="B86:H87"/>
    <mergeCell ref="I86:O87"/>
    <mergeCell ref="P86:V87"/>
    <mergeCell ref="W86:AC87"/>
    <mergeCell ref="AD86:AJ87"/>
    <mergeCell ref="AK86:AQ87"/>
    <mergeCell ref="AR86:AX87"/>
    <mergeCell ref="AY86:BE87"/>
    <mergeCell ref="BF86:BL87"/>
    <mergeCell ref="BM82:CL83"/>
    <mergeCell ref="B80:H81"/>
    <mergeCell ref="I80:O81"/>
    <mergeCell ref="P80:V81"/>
    <mergeCell ref="W80:AC81"/>
    <mergeCell ref="AD80:AJ81"/>
    <mergeCell ref="AK80:AQ81"/>
    <mergeCell ref="AR80:AX81"/>
    <mergeCell ref="AY80:BE81"/>
    <mergeCell ref="BF80:BL81"/>
    <mergeCell ref="BM80:CL81"/>
    <mergeCell ref="B82:H83"/>
    <mergeCell ref="I82:O83"/>
    <mergeCell ref="P82:V83"/>
    <mergeCell ref="W82:AC83"/>
    <mergeCell ref="AD82:AJ83"/>
    <mergeCell ref="AK82:AQ83"/>
    <mergeCell ref="AR82:AX83"/>
    <mergeCell ref="AY82:BE83"/>
    <mergeCell ref="BF82:BL83"/>
    <mergeCell ref="AK74:AQ75"/>
    <mergeCell ref="AR74:AX75"/>
    <mergeCell ref="AY74:BE75"/>
    <mergeCell ref="BF74:BL75"/>
    <mergeCell ref="BM78:CL79"/>
    <mergeCell ref="B76:H77"/>
    <mergeCell ref="I76:O77"/>
    <mergeCell ref="P76:V77"/>
    <mergeCell ref="W76:AC77"/>
    <mergeCell ref="AD76:AJ77"/>
    <mergeCell ref="AK76:AQ77"/>
    <mergeCell ref="AR76:AX77"/>
    <mergeCell ref="AY76:BE77"/>
    <mergeCell ref="BF76:BL77"/>
    <mergeCell ref="BM76:CL77"/>
    <mergeCell ref="B78:H79"/>
    <mergeCell ref="I78:O79"/>
    <mergeCell ref="P78:V79"/>
    <mergeCell ref="W78:AC79"/>
    <mergeCell ref="AD78:AJ79"/>
    <mergeCell ref="AK78:AQ79"/>
    <mergeCell ref="AR78:AX79"/>
    <mergeCell ref="AY78:BE79"/>
    <mergeCell ref="BF78:BL79"/>
    <mergeCell ref="B41:H42"/>
    <mergeCell ref="BM74:CL75"/>
    <mergeCell ref="B37:H38"/>
    <mergeCell ref="I37:O38"/>
    <mergeCell ref="P37:V38"/>
    <mergeCell ref="W37:AC38"/>
    <mergeCell ref="AD37:AJ38"/>
    <mergeCell ref="AK37:AQ38"/>
    <mergeCell ref="AR37:AX38"/>
    <mergeCell ref="AY37:BE38"/>
    <mergeCell ref="BF37:BL38"/>
    <mergeCell ref="BF47:BL48"/>
    <mergeCell ref="BM47:CL48"/>
    <mergeCell ref="AY49:BE50"/>
    <mergeCell ref="BF49:BL50"/>
    <mergeCell ref="BM49:CL50"/>
    <mergeCell ref="BM51:CL52"/>
    <mergeCell ref="BM53:CL54"/>
    <mergeCell ref="S66:AD66"/>
    <mergeCell ref="B74:H75"/>
    <mergeCell ref="I74:O75"/>
    <mergeCell ref="P74:V75"/>
    <mergeCell ref="W74:AC75"/>
    <mergeCell ref="AD74:AJ75"/>
    <mergeCell ref="B35:H36"/>
    <mergeCell ref="I35:O36"/>
    <mergeCell ref="P35:V36"/>
    <mergeCell ref="W35:AC36"/>
    <mergeCell ref="AD35:AJ36"/>
    <mergeCell ref="AK35:AQ36"/>
    <mergeCell ref="AR35:AX36"/>
    <mergeCell ref="AY35:BE36"/>
    <mergeCell ref="BF35:BL36"/>
    <mergeCell ref="B33:H34"/>
    <mergeCell ref="I33:O34"/>
    <mergeCell ref="P33:V34"/>
    <mergeCell ref="W33:AC34"/>
    <mergeCell ref="AD33:AJ34"/>
    <mergeCell ref="AK33:AQ34"/>
    <mergeCell ref="AR33:AX34"/>
    <mergeCell ref="AY33:BE34"/>
    <mergeCell ref="BF33:BL34"/>
    <mergeCell ref="B39:H40"/>
    <mergeCell ref="I39:O40"/>
    <mergeCell ref="P39:V40"/>
    <mergeCell ref="W39:AC40"/>
    <mergeCell ref="AD39:AJ40"/>
    <mergeCell ref="AK39:AQ40"/>
    <mergeCell ref="AR39:AX40"/>
    <mergeCell ref="AY39:BE40"/>
    <mergeCell ref="BF39:BL40"/>
    <mergeCell ref="CM47:CQ48"/>
    <mergeCell ref="CM49:CQ50"/>
    <mergeCell ref="CM51:CQ52"/>
    <mergeCell ref="CM53:CQ54"/>
    <mergeCell ref="BM27:CL28"/>
    <mergeCell ref="I41:O42"/>
    <mergeCell ref="P41:V42"/>
    <mergeCell ref="W41:AC42"/>
    <mergeCell ref="AD41:AJ42"/>
    <mergeCell ref="AK41:AQ42"/>
    <mergeCell ref="AR41:AX42"/>
    <mergeCell ref="AY41:BE42"/>
    <mergeCell ref="BF41:BL42"/>
    <mergeCell ref="BM33:CL34"/>
    <mergeCell ref="P29:V30"/>
    <mergeCell ref="W29:AC30"/>
    <mergeCell ref="AD29:AJ30"/>
    <mergeCell ref="AK29:AQ30"/>
    <mergeCell ref="AR29:AX30"/>
    <mergeCell ref="AY29:BE30"/>
    <mergeCell ref="BF29:BL30"/>
    <mergeCell ref="BM29:CL30"/>
    <mergeCell ref="AR27:AX28"/>
    <mergeCell ref="AY27:BE28"/>
    <mergeCell ref="CM31:CQ32"/>
    <mergeCell ref="CM33:CQ34"/>
    <mergeCell ref="CM35:CQ36"/>
    <mergeCell ref="CR31:DD32"/>
    <mergeCell ref="CR33:DD34"/>
    <mergeCell ref="CR35:DD36"/>
    <mergeCell ref="BM39:CL40"/>
    <mergeCell ref="BM45:CL46"/>
    <mergeCell ref="BM43:CL44"/>
    <mergeCell ref="BM41:CL42"/>
    <mergeCell ref="BM37:CL38"/>
    <mergeCell ref="BM35:CL36"/>
    <mergeCell ref="BM31:CL32"/>
    <mergeCell ref="CM37:CQ38"/>
    <mergeCell ref="CM39:CQ40"/>
    <mergeCell ref="CM41:CQ42"/>
    <mergeCell ref="CM43:CQ44"/>
    <mergeCell ref="CM45:CQ46"/>
    <mergeCell ref="CR37:DD38"/>
    <mergeCell ref="CR39:DD40"/>
    <mergeCell ref="CR41:DD42"/>
    <mergeCell ref="CR43:DD44"/>
    <mergeCell ref="CR45:DD46"/>
    <mergeCell ref="CN65:CP65"/>
    <mergeCell ref="CQ65:DE65"/>
    <mergeCell ref="CN66:CP66"/>
    <mergeCell ref="CQ66:DE66"/>
    <mergeCell ref="A56:CU61"/>
    <mergeCell ref="A62:CO63"/>
    <mergeCell ref="A64:R64"/>
    <mergeCell ref="S64:AD64"/>
    <mergeCell ref="AE64:AR64"/>
    <mergeCell ref="AS64:BF64"/>
    <mergeCell ref="A65:R65"/>
    <mergeCell ref="S65:AD65"/>
    <mergeCell ref="AE65:AR65"/>
    <mergeCell ref="AS65:BF65"/>
    <mergeCell ref="B13:H14"/>
    <mergeCell ref="I13:O14"/>
    <mergeCell ref="B29:H30"/>
    <mergeCell ref="I29:O30"/>
    <mergeCell ref="AD25:AJ26"/>
    <mergeCell ref="BF13:BL14"/>
    <mergeCell ref="BM13:CL14"/>
    <mergeCell ref="P19:V20"/>
    <mergeCell ref="W19:AC20"/>
    <mergeCell ref="AD19:AJ20"/>
    <mergeCell ref="AK19:AQ20"/>
    <mergeCell ref="AR19:AX20"/>
    <mergeCell ref="AY19:BE20"/>
    <mergeCell ref="BF19:BL20"/>
    <mergeCell ref="P13:V14"/>
    <mergeCell ref="BM19:CL20"/>
    <mergeCell ref="W13:AC14"/>
    <mergeCell ref="AD13:AJ14"/>
    <mergeCell ref="AK13:AQ14"/>
    <mergeCell ref="AR13:AX14"/>
    <mergeCell ref="AY13:BE14"/>
    <mergeCell ref="P25:V26"/>
    <mergeCell ref="W25:AC26"/>
    <mergeCell ref="BM25:CL26"/>
    <mergeCell ref="CM17:CQ18"/>
    <mergeCell ref="CM19:CQ20"/>
    <mergeCell ref="CM21:CQ22"/>
    <mergeCell ref="CM23:CQ24"/>
    <mergeCell ref="CM25:CQ26"/>
    <mergeCell ref="CM27:CQ28"/>
    <mergeCell ref="BF27:BL28"/>
    <mergeCell ref="BM21:CL22"/>
    <mergeCell ref="BM23:CL24"/>
    <mergeCell ref="A1:CU6"/>
    <mergeCell ref="CV1:DE6"/>
    <mergeCell ref="S11:AD11"/>
    <mergeCell ref="A7:CO8"/>
    <mergeCell ref="CQ9:DE9"/>
    <mergeCell ref="CQ10:DE10"/>
    <mergeCell ref="CQ11:DE11"/>
    <mergeCell ref="CN9:CP9"/>
    <mergeCell ref="CN10:CP10"/>
    <mergeCell ref="CN11:CP11"/>
    <mergeCell ref="BG9:CM11"/>
    <mergeCell ref="AS9:BF9"/>
    <mergeCell ref="AS10:BF10"/>
    <mergeCell ref="AS11:BF11"/>
    <mergeCell ref="AE9:AR9"/>
    <mergeCell ref="AE10:AR10"/>
    <mergeCell ref="AE11:AR11"/>
    <mergeCell ref="CP7:DE8"/>
    <mergeCell ref="S9:AD9"/>
    <mergeCell ref="A9:R9"/>
    <mergeCell ref="A10:R10"/>
    <mergeCell ref="A11:R11"/>
    <mergeCell ref="S10:AD10"/>
    <mergeCell ref="CR13:DD14"/>
    <mergeCell ref="CR15:DD16"/>
    <mergeCell ref="CR17:DD18"/>
    <mergeCell ref="CR19:DD20"/>
    <mergeCell ref="CR21:DD22"/>
    <mergeCell ref="CR23:DD24"/>
    <mergeCell ref="CR25:DD26"/>
    <mergeCell ref="CR27:DD28"/>
    <mergeCell ref="CR29:DD30"/>
    <mergeCell ref="CM13:CQ14"/>
    <mergeCell ref="CM15:CQ16"/>
    <mergeCell ref="CM68:CQ69"/>
    <mergeCell ref="A66:R66"/>
    <mergeCell ref="BF68:BL69"/>
    <mergeCell ref="BM68:CL69"/>
    <mergeCell ref="B68:H69"/>
    <mergeCell ref="I68:O69"/>
    <mergeCell ref="P68:V69"/>
    <mergeCell ref="W68:AC69"/>
    <mergeCell ref="AD68:AJ69"/>
    <mergeCell ref="AK68:AQ69"/>
    <mergeCell ref="AR68:AX69"/>
    <mergeCell ref="AY68:BE69"/>
    <mergeCell ref="CM29:CQ30"/>
    <mergeCell ref="B19:H20"/>
    <mergeCell ref="I19:O20"/>
    <mergeCell ref="B21:H22"/>
    <mergeCell ref="I21:O22"/>
    <mergeCell ref="B25:H26"/>
    <mergeCell ref="AY25:BE26"/>
    <mergeCell ref="BF25:BL26"/>
    <mergeCell ref="AK25:AQ26"/>
    <mergeCell ref="AD27:AJ28"/>
    <mergeCell ref="I25:O26"/>
    <mergeCell ref="B27:H28"/>
    <mergeCell ref="I27:O28"/>
    <mergeCell ref="AR25:AX26"/>
    <mergeCell ref="CM72:CQ73"/>
    <mergeCell ref="CR72:DD73"/>
    <mergeCell ref="CM74:CQ75"/>
    <mergeCell ref="CR74:DD75"/>
    <mergeCell ref="CM76:CQ77"/>
    <mergeCell ref="CR76:DD77"/>
    <mergeCell ref="CR47:DD48"/>
    <mergeCell ref="CR49:DD50"/>
    <mergeCell ref="CR51:DD52"/>
    <mergeCell ref="CR53:DD54"/>
    <mergeCell ref="AK27:AQ28"/>
    <mergeCell ref="P27:V28"/>
    <mergeCell ref="W27:AC28"/>
    <mergeCell ref="CV56:DE61"/>
    <mergeCell ref="CP62:DE63"/>
    <mergeCell ref="AE66:AR66"/>
    <mergeCell ref="AS66:BF66"/>
    <mergeCell ref="BG64:CM66"/>
    <mergeCell ref="CN64:CP64"/>
    <mergeCell ref="CQ64:DE64"/>
    <mergeCell ref="CM78:CQ79"/>
    <mergeCell ref="CR78:DD79"/>
    <mergeCell ref="CM80:CQ81"/>
    <mergeCell ref="CR80:DD81"/>
    <mergeCell ref="CM86:CQ87"/>
    <mergeCell ref="CR86:DD87"/>
    <mergeCell ref="CM88:CQ89"/>
    <mergeCell ref="CR88:DD89"/>
    <mergeCell ref="CM90:CQ91"/>
    <mergeCell ref="CR90:DD91"/>
    <mergeCell ref="CM82:CQ83"/>
    <mergeCell ref="CR82:DD83"/>
    <mergeCell ref="CM84:CQ85"/>
    <mergeCell ref="CR84:DD85"/>
    <mergeCell ref="CM92:CQ93"/>
    <mergeCell ref="CR92:DD93"/>
    <mergeCell ref="CM94:CQ95"/>
    <mergeCell ref="CR94:DD95"/>
    <mergeCell ref="CM108:CQ109"/>
    <mergeCell ref="CR108:DD109"/>
    <mergeCell ref="CM98:CQ99"/>
    <mergeCell ref="CR98:DD99"/>
    <mergeCell ref="CM100:CQ101"/>
    <mergeCell ref="CR100:DD101"/>
    <mergeCell ref="CM102:CQ103"/>
    <mergeCell ref="CR102:DD103"/>
    <mergeCell ref="CM104:CQ105"/>
    <mergeCell ref="CR104:DD105"/>
    <mergeCell ref="CM106:CQ107"/>
    <mergeCell ref="CR106:DD107"/>
  </mergeCells>
  <phoneticPr fontId="24" type="noConversion"/>
  <hyperlinks>
    <hyperlink ref="CV1" r:id="rId1" display="www.aes-ab.com" xr:uid="{60C9E267-3747-4C6A-BA92-FF58DBB8A2D3}"/>
    <hyperlink ref="CV1:DE6" r:id="rId2" display="http://www.resapower.com/" xr:uid="{5727C651-978E-4254-8751-09E3E6CF0DF9}"/>
    <hyperlink ref="CV56" r:id="rId3" display="www.aes-ab.com" xr:uid="{DAEE79EE-9E55-4570-9FD8-92CC6FF4E4DD}"/>
    <hyperlink ref="CV56:DE61" r:id="rId4" display="http://www.resapower.com/" xr:uid="{4559C70E-B45E-43EF-86E5-9BD7D2B01A12}"/>
  </hyperlinks>
  <printOptions horizontalCentered="1" verticalCentered="1"/>
  <pageMargins left="0.19685039370078741" right="0.19685039370078741" top="0.59055118110236227" bottom="0.59055118110236227" header="0.59055118110236227" footer="0.19685039370078741"/>
  <pageSetup scale="63" fitToHeight="0" orientation="landscape" r:id="rId5"/>
  <headerFooter alignWithMargins="0">
    <oddHeader xml:space="preserve">&amp;R
</oddHeader>
    <oddFooter>&amp;L&amp;F&amp;RPage &amp;P</oddFooter>
  </headerFooter>
  <drawing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D3DC4-A1E5-4D81-A2D1-7928F655CB66}">
  <sheetPr codeName="Sheet2">
    <pageSetUpPr fitToPage="1"/>
  </sheetPr>
  <dimension ref="A1:EI131"/>
  <sheetViews>
    <sheetView view="pageBreakPreview" topLeftCell="A13" zoomScale="97" zoomScaleNormal="54" zoomScaleSheetLayoutView="55" workbookViewId="0">
      <selection activeCell="B45" sqref="B15:DD46"/>
    </sheetView>
  </sheetViews>
  <sheetFormatPr defaultColWidth="2.42578125" defaultRowHeight="15" customHeight="1"/>
  <cols>
    <col min="1" max="18" width="2.42578125" style="1"/>
    <col min="19" max="19" width="2.42578125" style="1" customWidth="1"/>
    <col min="20" max="66" width="2.42578125" style="1"/>
    <col min="67" max="86" width="0" style="1" hidden="1" customWidth="1"/>
    <col min="87" max="16384" width="2.42578125" style="1"/>
  </cols>
  <sheetData>
    <row r="1" spans="1:139" ht="15" customHeight="1">
      <c r="A1" s="388"/>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389"/>
      <c r="CO1" s="389"/>
      <c r="CP1" s="389"/>
      <c r="CQ1" s="389"/>
      <c r="CR1" s="389"/>
      <c r="CS1" s="389"/>
      <c r="CT1" s="389"/>
      <c r="CU1" s="389"/>
      <c r="CV1" s="361" t="s">
        <v>1</v>
      </c>
      <c r="CW1" s="361"/>
      <c r="CX1" s="361"/>
      <c r="CY1" s="361"/>
      <c r="CZ1" s="361"/>
      <c r="DA1" s="361"/>
      <c r="DB1" s="361"/>
      <c r="DC1" s="361"/>
      <c r="DD1" s="361"/>
      <c r="DE1" s="362"/>
    </row>
    <row r="2" spans="1:139" ht="15" customHeight="1">
      <c r="A2" s="390"/>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c r="BN2" s="391"/>
      <c r="BO2" s="391"/>
      <c r="BP2" s="391"/>
      <c r="BQ2" s="391"/>
      <c r="BR2" s="391"/>
      <c r="BS2" s="391"/>
      <c r="BT2" s="391"/>
      <c r="BU2" s="391"/>
      <c r="BV2" s="391"/>
      <c r="BW2" s="391"/>
      <c r="BX2" s="391"/>
      <c r="BY2" s="391"/>
      <c r="BZ2" s="391"/>
      <c r="CA2" s="391"/>
      <c r="CB2" s="391"/>
      <c r="CC2" s="391"/>
      <c r="CD2" s="391"/>
      <c r="CE2" s="391"/>
      <c r="CF2" s="391"/>
      <c r="CG2" s="391"/>
      <c r="CH2" s="391"/>
      <c r="CI2" s="391"/>
      <c r="CJ2" s="391"/>
      <c r="CK2" s="391"/>
      <c r="CL2" s="391"/>
      <c r="CM2" s="391"/>
      <c r="CN2" s="391"/>
      <c r="CO2" s="391"/>
      <c r="CP2" s="391"/>
      <c r="CQ2" s="391"/>
      <c r="CR2" s="391"/>
      <c r="CS2" s="391"/>
      <c r="CT2" s="391"/>
      <c r="CU2" s="391"/>
      <c r="CV2" s="363"/>
      <c r="CW2" s="363"/>
      <c r="CX2" s="363"/>
      <c r="CY2" s="363"/>
      <c r="CZ2" s="363"/>
      <c r="DA2" s="363"/>
      <c r="DB2" s="363"/>
      <c r="DC2" s="363"/>
      <c r="DD2" s="363"/>
      <c r="DE2" s="364"/>
    </row>
    <row r="3" spans="1:139" ht="15" customHeight="1">
      <c r="A3" s="390"/>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1"/>
      <c r="BP3" s="391"/>
      <c r="BQ3" s="391"/>
      <c r="BR3" s="391"/>
      <c r="BS3" s="391"/>
      <c r="BT3" s="391"/>
      <c r="BU3" s="391"/>
      <c r="BV3" s="391"/>
      <c r="BW3" s="391"/>
      <c r="BX3" s="391"/>
      <c r="BY3" s="391"/>
      <c r="BZ3" s="391"/>
      <c r="CA3" s="391"/>
      <c r="CB3" s="391"/>
      <c r="CC3" s="391"/>
      <c r="CD3" s="391"/>
      <c r="CE3" s="391"/>
      <c r="CF3" s="391"/>
      <c r="CG3" s="391"/>
      <c r="CH3" s="391"/>
      <c r="CI3" s="391"/>
      <c r="CJ3" s="391"/>
      <c r="CK3" s="391"/>
      <c r="CL3" s="391"/>
      <c r="CM3" s="391"/>
      <c r="CN3" s="391"/>
      <c r="CO3" s="391"/>
      <c r="CP3" s="391"/>
      <c r="CQ3" s="391"/>
      <c r="CR3" s="391"/>
      <c r="CS3" s="391"/>
      <c r="CT3" s="391"/>
      <c r="CU3" s="391"/>
      <c r="CV3" s="363"/>
      <c r="CW3" s="363"/>
      <c r="CX3" s="363"/>
      <c r="CY3" s="363"/>
      <c r="CZ3" s="363"/>
      <c r="DA3" s="363"/>
      <c r="DB3" s="363"/>
      <c r="DC3" s="363"/>
      <c r="DD3" s="363"/>
      <c r="DE3" s="364"/>
    </row>
    <row r="4" spans="1:139" ht="15" customHeight="1">
      <c r="A4" s="390"/>
      <c r="B4" s="391"/>
      <c r="C4" s="391"/>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63"/>
      <c r="CW4" s="363"/>
      <c r="CX4" s="363"/>
      <c r="CY4" s="363"/>
      <c r="CZ4" s="363"/>
      <c r="DA4" s="363"/>
      <c r="DB4" s="363"/>
      <c r="DC4" s="363"/>
      <c r="DD4" s="363"/>
      <c r="DE4" s="364"/>
    </row>
    <row r="5" spans="1:139" ht="15" customHeight="1">
      <c r="A5" s="390"/>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c r="BY5" s="391"/>
      <c r="BZ5" s="391"/>
      <c r="CA5" s="391"/>
      <c r="CB5" s="391"/>
      <c r="CC5" s="391"/>
      <c r="CD5" s="391"/>
      <c r="CE5" s="391"/>
      <c r="CF5" s="391"/>
      <c r="CG5" s="391"/>
      <c r="CH5" s="391"/>
      <c r="CI5" s="391"/>
      <c r="CJ5" s="391"/>
      <c r="CK5" s="391"/>
      <c r="CL5" s="391"/>
      <c r="CM5" s="391"/>
      <c r="CN5" s="391"/>
      <c r="CO5" s="391"/>
      <c r="CP5" s="391"/>
      <c r="CQ5" s="391"/>
      <c r="CR5" s="391"/>
      <c r="CS5" s="391"/>
      <c r="CT5" s="391"/>
      <c r="CU5" s="391"/>
      <c r="CV5" s="363"/>
      <c r="CW5" s="363"/>
      <c r="CX5" s="363"/>
      <c r="CY5" s="363"/>
      <c r="CZ5" s="363"/>
      <c r="DA5" s="363"/>
      <c r="DB5" s="363"/>
      <c r="DC5" s="363"/>
      <c r="DD5" s="363"/>
      <c r="DE5" s="364"/>
    </row>
    <row r="6" spans="1:139" ht="15" customHeight="1" thickBot="1">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65"/>
      <c r="CW6" s="365"/>
      <c r="CX6" s="365"/>
      <c r="CY6" s="365"/>
      <c r="CZ6" s="365"/>
      <c r="DA6" s="365"/>
      <c r="DB6" s="365"/>
      <c r="DC6" s="365"/>
      <c r="DD6" s="365"/>
      <c r="DE6" s="366"/>
    </row>
    <row r="7" spans="1:139" ht="15" customHeight="1">
      <c r="A7" s="392" t="s">
        <v>31</v>
      </c>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c r="BL7" s="393"/>
      <c r="BM7" s="393"/>
      <c r="BN7" s="393"/>
      <c r="BO7" s="393"/>
      <c r="BP7" s="393"/>
      <c r="BQ7" s="393"/>
      <c r="BR7" s="393"/>
      <c r="BS7" s="393"/>
      <c r="BT7" s="393"/>
      <c r="BU7" s="393"/>
      <c r="BV7" s="393"/>
      <c r="BW7" s="393"/>
      <c r="BX7" s="393"/>
      <c r="BY7" s="393"/>
      <c r="BZ7" s="393"/>
      <c r="CA7" s="393"/>
      <c r="CB7" s="393"/>
      <c r="CC7" s="393"/>
      <c r="CD7" s="393"/>
      <c r="CE7" s="393"/>
      <c r="CF7" s="393"/>
      <c r="CG7" s="393"/>
      <c r="CH7" s="393"/>
      <c r="CI7" s="393"/>
      <c r="CJ7" s="393"/>
      <c r="CK7" s="393"/>
      <c r="CL7" s="393"/>
      <c r="CM7" s="393"/>
      <c r="CN7" s="393"/>
      <c r="CO7" s="393"/>
      <c r="CP7" s="367" t="s">
        <v>3</v>
      </c>
      <c r="CQ7" s="367"/>
      <c r="CR7" s="367"/>
      <c r="CS7" s="367"/>
      <c r="CT7" s="367"/>
      <c r="CU7" s="367"/>
      <c r="CV7" s="367"/>
      <c r="CW7" s="367"/>
      <c r="CX7" s="367"/>
      <c r="CY7" s="367"/>
      <c r="CZ7" s="367"/>
      <c r="DA7" s="367"/>
      <c r="DB7" s="367"/>
      <c r="DC7" s="367"/>
      <c r="DD7" s="367"/>
      <c r="DE7" s="368"/>
    </row>
    <row r="8" spans="1:139" ht="15" customHeight="1">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c r="BL8" s="393"/>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67"/>
      <c r="CQ8" s="367"/>
      <c r="CR8" s="367"/>
      <c r="CS8" s="367"/>
      <c r="CT8" s="367"/>
      <c r="CU8" s="367"/>
      <c r="CV8" s="367"/>
      <c r="CW8" s="367"/>
      <c r="CX8" s="367"/>
      <c r="CY8" s="367"/>
      <c r="CZ8" s="367"/>
      <c r="DA8" s="367"/>
      <c r="DB8" s="367"/>
      <c r="DC8" s="367"/>
      <c r="DD8" s="367"/>
      <c r="DE8" s="368"/>
    </row>
    <row r="9" spans="1:139" ht="15" customHeight="1">
      <c r="A9" s="375" t="s">
        <v>4</v>
      </c>
      <c r="B9" s="369"/>
      <c r="C9" s="369"/>
      <c r="D9" s="369"/>
      <c r="E9" s="369"/>
      <c r="F9" s="369"/>
      <c r="G9" s="369"/>
      <c r="H9" s="369"/>
      <c r="I9" s="369"/>
      <c r="J9" s="369"/>
      <c r="K9" s="369"/>
      <c r="L9" s="369"/>
      <c r="M9" s="369"/>
      <c r="N9" s="369"/>
      <c r="O9" s="369"/>
      <c r="P9" s="369"/>
      <c r="Q9" s="369"/>
      <c r="R9" s="369"/>
      <c r="S9" s="370">
        <v>559082</v>
      </c>
      <c r="T9" s="370"/>
      <c r="U9" s="370"/>
      <c r="V9" s="370"/>
      <c r="W9" s="370"/>
      <c r="X9" s="370"/>
      <c r="Y9" s="370"/>
      <c r="Z9" s="370"/>
      <c r="AA9" s="370"/>
      <c r="AB9" s="370"/>
      <c r="AC9" s="370"/>
      <c r="AD9" s="370"/>
      <c r="AE9" s="369" t="s">
        <v>5</v>
      </c>
      <c r="AF9" s="369"/>
      <c r="AG9" s="369"/>
      <c r="AH9" s="369"/>
      <c r="AI9" s="369"/>
      <c r="AJ9" s="369"/>
      <c r="AK9" s="369"/>
      <c r="AL9" s="369"/>
      <c r="AM9" s="369"/>
      <c r="AN9" s="369"/>
      <c r="AO9" s="369"/>
      <c r="AP9" s="369"/>
      <c r="AQ9" s="369"/>
      <c r="AR9" s="369"/>
      <c r="AS9" s="394">
        <v>45678</v>
      </c>
      <c r="AT9" s="394"/>
      <c r="AU9" s="394"/>
      <c r="AV9" s="394"/>
      <c r="AW9" s="394"/>
      <c r="AX9" s="394"/>
      <c r="AY9" s="394"/>
      <c r="AZ9" s="394"/>
      <c r="BA9" s="394"/>
      <c r="BB9" s="394"/>
      <c r="BC9" s="394"/>
      <c r="BD9" s="394"/>
      <c r="BE9" s="394"/>
      <c r="BF9" s="394"/>
      <c r="BG9" s="369" t="s">
        <v>6</v>
      </c>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71" t="s">
        <v>7</v>
      </c>
      <c r="CO9" s="371"/>
      <c r="CP9" s="371"/>
      <c r="CQ9" s="372" t="s">
        <v>8</v>
      </c>
      <c r="CR9" s="372"/>
      <c r="CS9" s="372"/>
      <c r="CT9" s="372"/>
      <c r="CU9" s="372"/>
      <c r="CV9" s="372"/>
      <c r="CW9" s="372"/>
      <c r="CX9" s="372"/>
      <c r="CY9" s="372"/>
      <c r="CZ9" s="372"/>
      <c r="DA9" s="372"/>
      <c r="DB9" s="372"/>
      <c r="DC9" s="372"/>
      <c r="DD9" s="372"/>
      <c r="DE9" s="373"/>
    </row>
    <row r="10" spans="1:139" ht="15" customHeight="1">
      <c r="A10" s="375" t="s">
        <v>9</v>
      </c>
      <c r="B10" s="369"/>
      <c r="C10" s="369"/>
      <c r="D10" s="369"/>
      <c r="E10" s="369"/>
      <c r="F10" s="369"/>
      <c r="G10" s="369"/>
      <c r="H10" s="369"/>
      <c r="I10" s="369"/>
      <c r="J10" s="369"/>
      <c r="K10" s="369"/>
      <c r="L10" s="369"/>
      <c r="M10" s="369"/>
      <c r="N10" s="369"/>
      <c r="O10" s="369"/>
      <c r="P10" s="369"/>
      <c r="Q10" s="369"/>
      <c r="R10" s="369"/>
      <c r="S10" s="370" t="s">
        <v>10</v>
      </c>
      <c r="T10" s="370"/>
      <c r="U10" s="370"/>
      <c r="V10" s="370"/>
      <c r="W10" s="370"/>
      <c r="X10" s="370"/>
      <c r="Y10" s="370"/>
      <c r="Z10" s="370"/>
      <c r="AA10" s="370"/>
      <c r="AB10" s="370"/>
      <c r="AC10" s="370"/>
      <c r="AD10" s="370"/>
      <c r="AE10" s="369" t="s">
        <v>11</v>
      </c>
      <c r="AF10" s="369"/>
      <c r="AG10" s="369"/>
      <c r="AH10" s="369"/>
      <c r="AI10" s="369"/>
      <c r="AJ10" s="369"/>
      <c r="AK10" s="369"/>
      <c r="AL10" s="369"/>
      <c r="AM10" s="369"/>
      <c r="AN10" s="369"/>
      <c r="AO10" s="369"/>
      <c r="AP10" s="369"/>
      <c r="AQ10" s="369"/>
      <c r="AR10" s="369"/>
      <c r="AS10" s="370" t="s">
        <v>12</v>
      </c>
      <c r="AT10" s="370"/>
      <c r="AU10" s="370"/>
      <c r="AV10" s="370"/>
      <c r="AW10" s="370"/>
      <c r="AX10" s="370"/>
      <c r="AY10" s="370"/>
      <c r="AZ10" s="370"/>
      <c r="BA10" s="370"/>
      <c r="BB10" s="370"/>
      <c r="BC10" s="370"/>
      <c r="BD10" s="370"/>
      <c r="BE10" s="370"/>
      <c r="BF10" s="370"/>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71"/>
      <c r="CO10" s="371"/>
      <c r="CP10" s="371"/>
      <c r="CQ10" s="372" t="s">
        <v>13</v>
      </c>
      <c r="CR10" s="372"/>
      <c r="CS10" s="372"/>
      <c r="CT10" s="372"/>
      <c r="CU10" s="372"/>
      <c r="CV10" s="372"/>
      <c r="CW10" s="372"/>
      <c r="CX10" s="372"/>
      <c r="CY10" s="372"/>
      <c r="CZ10" s="372"/>
      <c r="DA10" s="372"/>
      <c r="DB10" s="372"/>
      <c r="DC10" s="372"/>
      <c r="DD10" s="372"/>
      <c r="DE10" s="373"/>
    </row>
    <row r="11" spans="1:139" ht="15" customHeight="1">
      <c r="A11" s="375" t="s">
        <v>14</v>
      </c>
      <c r="B11" s="369"/>
      <c r="C11" s="369"/>
      <c r="D11" s="369"/>
      <c r="E11" s="369"/>
      <c r="F11" s="369"/>
      <c r="G11" s="369"/>
      <c r="H11" s="369"/>
      <c r="I11" s="369"/>
      <c r="J11" s="369"/>
      <c r="K11" s="369"/>
      <c r="L11" s="369"/>
      <c r="M11" s="369"/>
      <c r="N11" s="369"/>
      <c r="O11" s="369"/>
      <c r="P11" s="369"/>
      <c r="Q11" s="369"/>
      <c r="R11" s="369"/>
      <c r="S11" s="370" t="s">
        <v>15</v>
      </c>
      <c r="T11" s="370"/>
      <c r="U11" s="370"/>
      <c r="V11" s="370"/>
      <c r="W11" s="370"/>
      <c r="X11" s="370"/>
      <c r="Y11" s="370"/>
      <c r="Z11" s="370"/>
      <c r="AA11" s="370"/>
      <c r="AB11" s="370"/>
      <c r="AC11" s="370"/>
      <c r="AD11" s="370"/>
      <c r="AE11" s="369" t="s">
        <v>16</v>
      </c>
      <c r="AF11" s="369"/>
      <c r="AG11" s="369"/>
      <c r="AH11" s="369"/>
      <c r="AI11" s="369"/>
      <c r="AJ11" s="369"/>
      <c r="AK11" s="369"/>
      <c r="AL11" s="369"/>
      <c r="AM11" s="369"/>
      <c r="AN11" s="369"/>
      <c r="AO11" s="369"/>
      <c r="AP11" s="369"/>
      <c r="AQ11" s="369"/>
      <c r="AR11" s="369"/>
      <c r="AS11" s="370" t="s">
        <v>17</v>
      </c>
      <c r="AT11" s="370"/>
      <c r="AU11" s="370"/>
      <c r="AV11" s="370"/>
      <c r="AW11" s="370"/>
      <c r="AX11" s="370"/>
      <c r="AY11" s="370"/>
      <c r="AZ11" s="370"/>
      <c r="BA11" s="370"/>
      <c r="BB11" s="370"/>
      <c r="BC11" s="370"/>
      <c r="BD11" s="370"/>
      <c r="BE11" s="370"/>
      <c r="BF11" s="370"/>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71"/>
      <c r="CO11" s="371"/>
      <c r="CP11" s="371"/>
      <c r="CQ11" s="372" t="s">
        <v>18</v>
      </c>
      <c r="CR11" s="372"/>
      <c r="CS11" s="372"/>
      <c r="CT11" s="372"/>
      <c r="CU11" s="372"/>
      <c r="CV11" s="372"/>
      <c r="CW11" s="372"/>
      <c r="CX11" s="372"/>
      <c r="CY11" s="372"/>
      <c r="CZ11" s="372"/>
      <c r="DA11" s="372"/>
      <c r="DB11" s="372"/>
      <c r="DC11" s="372"/>
      <c r="DD11" s="372"/>
      <c r="DE11" s="373"/>
    </row>
    <row r="12" spans="1:139" ht="15" customHeight="1">
      <c r="A12" s="3"/>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CN12" s="4"/>
      <c r="CO12" s="4"/>
      <c r="CP12" s="4"/>
      <c r="CQ12" s="4"/>
      <c r="CR12" s="4"/>
      <c r="CS12" s="4"/>
      <c r="CT12" s="4"/>
      <c r="CU12" s="4"/>
      <c r="CV12" s="4"/>
      <c r="CW12" s="4"/>
      <c r="CX12" s="4"/>
      <c r="CY12" s="4"/>
      <c r="CZ12" s="4"/>
      <c r="DA12" s="4"/>
      <c r="DB12" s="4"/>
      <c r="DC12" s="4"/>
      <c r="DD12" s="4"/>
      <c r="DE12" s="23"/>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2"/>
      <c r="EI12" s="2"/>
    </row>
    <row r="13" spans="1:139" ht="15" customHeight="1">
      <c r="A13" s="6"/>
      <c r="B13" s="376" t="s">
        <v>32</v>
      </c>
      <c r="C13" s="377"/>
      <c r="D13" s="377"/>
      <c r="E13" s="377"/>
      <c r="F13" s="377"/>
      <c r="G13" s="377"/>
      <c r="H13" s="378"/>
      <c r="I13" s="376" t="s">
        <v>33</v>
      </c>
      <c r="J13" s="377"/>
      <c r="K13" s="377"/>
      <c r="L13" s="377"/>
      <c r="M13" s="377"/>
      <c r="N13" s="377"/>
      <c r="O13" s="378"/>
      <c r="P13" s="376" t="s">
        <v>34</v>
      </c>
      <c r="Q13" s="377"/>
      <c r="R13" s="377"/>
      <c r="S13" s="377"/>
      <c r="T13" s="377"/>
      <c r="U13" s="377"/>
      <c r="V13" s="378"/>
      <c r="W13" s="376" t="s">
        <v>35</v>
      </c>
      <c r="X13" s="377"/>
      <c r="Y13" s="377"/>
      <c r="Z13" s="377"/>
      <c r="AA13" s="377"/>
      <c r="AB13" s="377"/>
      <c r="AC13" s="378"/>
      <c r="AD13" s="376" t="s">
        <v>36</v>
      </c>
      <c r="AE13" s="377"/>
      <c r="AF13" s="377"/>
      <c r="AG13" s="377"/>
      <c r="AH13" s="377"/>
      <c r="AI13" s="377"/>
      <c r="AJ13" s="378"/>
      <c r="AK13" s="376" t="s">
        <v>37</v>
      </c>
      <c r="AL13" s="377"/>
      <c r="AM13" s="377"/>
      <c r="AN13" s="377"/>
      <c r="AO13" s="377"/>
      <c r="AP13" s="377"/>
      <c r="AQ13" s="378"/>
      <c r="AR13" s="376" t="s">
        <v>38</v>
      </c>
      <c r="AS13" s="377"/>
      <c r="AT13" s="377"/>
      <c r="AU13" s="377"/>
      <c r="AV13" s="377"/>
      <c r="AW13" s="377"/>
      <c r="AX13" s="378"/>
      <c r="AY13" s="376" t="s">
        <v>39</v>
      </c>
      <c r="AZ13" s="377"/>
      <c r="BA13" s="377"/>
      <c r="BB13" s="377"/>
      <c r="BC13" s="377"/>
      <c r="BD13" s="377"/>
      <c r="BE13" s="378"/>
      <c r="BF13" s="376" t="s">
        <v>24</v>
      </c>
      <c r="BG13" s="377"/>
      <c r="BH13" s="377"/>
      <c r="BI13" s="377"/>
      <c r="BJ13" s="377"/>
      <c r="BK13" s="377"/>
      <c r="BL13" s="378"/>
      <c r="BM13" s="376" t="s">
        <v>40</v>
      </c>
      <c r="BN13" s="377"/>
      <c r="BO13" s="377"/>
      <c r="BP13" s="377"/>
      <c r="BQ13" s="377"/>
      <c r="BR13" s="377"/>
      <c r="BS13" s="377"/>
      <c r="BT13" s="377"/>
      <c r="BU13" s="377"/>
      <c r="BV13" s="377"/>
      <c r="BW13" s="377"/>
      <c r="BX13" s="377"/>
      <c r="BY13" s="377"/>
      <c r="BZ13" s="377"/>
      <c r="CA13" s="377"/>
      <c r="CB13" s="377"/>
      <c r="CC13" s="377"/>
      <c r="CD13" s="377"/>
      <c r="CE13" s="377"/>
      <c r="CF13" s="377"/>
      <c r="CG13" s="377"/>
      <c r="CH13" s="377"/>
      <c r="CI13" s="377"/>
      <c r="CJ13" s="377"/>
      <c r="CK13" s="377"/>
      <c r="CL13" s="378"/>
      <c r="CM13" s="376" t="s">
        <v>30</v>
      </c>
      <c r="CN13" s="377"/>
      <c r="CO13" s="377"/>
      <c r="CP13" s="377"/>
      <c r="CQ13" s="377"/>
      <c r="CR13" s="377"/>
      <c r="CS13" s="377"/>
      <c r="CT13" s="377"/>
      <c r="CU13" s="377"/>
      <c r="CV13" s="377"/>
      <c r="CW13" s="377"/>
      <c r="CX13" s="377"/>
      <c r="CY13" s="377"/>
      <c r="CZ13" s="377"/>
      <c r="DA13" s="377"/>
      <c r="DB13" s="377"/>
      <c r="DC13" s="377"/>
      <c r="DD13" s="378"/>
      <c r="DE13" s="7"/>
    </row>
    <row r="14" spans="1:139" ht="15" customHeight="1">
      <c r="A14" s="6"/>
      <c r="B14" s="379"/>
      <c r="C14" s="380"/>
      <c r="D14" s="380"/>
      <c r="E14" s="380"/>
      <c r="F14" s="380"/>
      <c r="G14" s="380"/>
      <c r="H14" s="381"/>
      <c r="I14" s="379"/>
      <c r="J14" s="380"/>
      <c r="K14" s="380"/>
      <c r="L14" s="380"/>
      <c r="M14" s="380"/>
      <c r="N14" s="380"/>
      <c r="O14" s="381"/>
      <c r="P14" s="379"/>
      <c r="Q14" s="380"/>
      <c r="R14" s="380"/>
      <c r="S14" s="380"/>
      <c r="T14" s="380"/>
      <c r="U14" s="380"/>
      <c r="V14" s="381"/>
      <c r="W14" s="379"/>
      <c r="X14" s="380"/>
      <c r="Y14" s="380"/>
      <c r="Z14" s="380"/>
      <c r="AA14" s="380"/>
      <c r="AB14" s="380"/>
      <c r="AC14" s="381"/>
      <c r="AD14" s="379"/>
      <c r="AE14" s="380"/>
      <c r="AF14" s="380"/>
      <c r="AG14" s="380"/>
      <c r="AH14" s="380"/>
      <c r="AI14" s="380"/>
      <c r="AJ14" s="381"/>
      <c r="AK14" s="379"/>
      <c r="AL14" s="380"/>
      <c r="AM14" s="380"/>
      <c r="AN14" s="380"/>
      <c r="AO14" s="380"/>
      <c r="AP14" s="380"/>
      <c r="AQ14" s="381"/>
      <c r="AR14" s="379"/>
      <c r="AS14" s="380"/>
      <c r="AT14" s="380"/>
      <c r="AU14" s="380"/>
      <c r="AV14" s="380"/>
      <c r="AW14" s="380"/>
      <c r="AX14" s="381"/>
      <c r="AY14" s="379"/>
      <c r="AZ14" s="380"/>
      <c r="BA14" s="380"/>
      <c r="BB14" s="380"/>
      <c r="BC14" s="380"/>
      <c r="BD14" s="380"/>
      <c r="BE14" s="381"/>
      <c r="BF14" s="379"/>
      <c r="BG14" s="380"/>
      <c r="BH14" s="380"/>
      <c r="BI14" s="380"/>
      <c r="BJ14" s="380"/>
      <c r="BK14" s="380"/>
      <c r="BL14" s="381"/>
      <c r="BM14" s="379"/>
      <c r="BN14" s="380"/>
      <c r="BO14" s="380"/>
      <c r="BP14" s="380"/>
      <c r="BQ14" s="380"/>
      <c r="BR14" s="380"/>
      <c r="BS14" s="380"/>
      <c r="BT14" s="380"/>
      <c r="BU14" s="380"/>
      <c r="BV14" s="380"/>
      <c r="BW14" s="380"/>
      <c r="BX14" s="380"/>
      <c r="BY14" s="380"/>
      <c r="BZ14" s="380"/>
      <c r="CA14" s="380"/>
      <c r="CB14" s="380"/>
      <c r="CC14" s="380"/>
      <c r="CD14" s="380"/>
      <c r="CE14" s="380"/>
      <c r="CF14" s="380"/>
      <c r="CG14" s="380"/>
      <c r="CH14" s="380"/>
      <c r="CI14" s="380"/>
      <c r="CJ14" s="380"/>
      <c r="CK14" s="380"/>
      <c r="CL14" s="381"/>
      <c r="CM14" s="379"/>
      <c r="CN14" s="380"/>
      <c r="CO14" s="380"/>
      <c r="CP14" s="380"/>
      <c r="CQ14" s="380"/>
      <c r="CR14" s="380"/>
      <c r="CS14" s="380"/>
      <c r="CT14" s="380"/>
      <c r="CU14" s="380"/>
      <c r="CV14" s="380"/>
      <c r="CW14" s="380"/>
      <c r="CX14" s="380"/>
      <c r="CY14" s="380"/>
      <c r="CZ14" s="380"/>
      <c r="DA14" s="380"/>
      <c r="DB14" s="380"/>
      <c r="DC14" s="380"/>
      <c r="DD14" s="381"/>
      <c r="DE14" s="7"/>
    </row>
    <row r="15" spans="1:139" ht="15" customHeight="1">
      <c r="A15" s="6"/>
      <c r="B15" s="353"/>
      <c r="C15" s="354"/>
      <c r="D15" s="354"/>
      <c r="E15" s="354"/>
      <c r="F15" s="354"/>
      <c r="G15" s="354"/>
      <c r="H15" s="355"/>
      <c r="I15" s="353"/>
      <c r="J15" s="354"/>
      <c r="K15" s="354"/>
      <c r="L15" s="354"/>
      <c r="M15" s="354"/>
      <c r="N15" s="354"/>
      <c r="O15" s="355"/>
      <c r="P15" s="353"/>
      <c r="Q15" s="354"/>
      <c r="R15" s="354"/>
      <c r="S15" s="354"/>
      <c r="T15" s="354"/>
      <c r="U15" s="354"/>
      <c r="V15" s="355"/>
      <c r="W15" s="353"/>
      <c r="X15" s="354"/>
      <c r="Y15" s="354"/>
      <c r="Z15" s="354"/>
      <c r="AA15" s="354"/>
      <c r="AB15" s="354"/>
      <c r="AC15" s="355"/>
      <c r="AD15" s="353"/>
      <c r="AE15" s="354"/>
      <c r="AF15" s="354"/>
      <c r="AG15" s="354"/>
      <c r="AH15" s="354"/>
      <c r="AI15" s="354"/>
      <c r="AJ15" s="355"/>
      <c r="AK15" s="353"/>
      <c r="AL15" s="354"/>
      <c r="AM15" s="354"/>
      <c r="AN15" s="354"/>
      <c r="AO15" s="354"/>
      <c r="AP15" s="354"/>
      <c r="AQ15" s="355"/>
      <c r="AR15" s="353"/>
      <c r="AS15" s="354"/>
      <c r="AT15" s="354"/>
      <c r="AU15" s="354"/>
      <c r="AV15" s="354"/>
      <c r="AW15" s="354"/>
      <c r="AX15" s="355"/>
      <c r="AY15" s="353"/>
      <c r="AZ15" s="354"/>
      <c r="BA15" s="354"/>
      <c r="BB15" s="354"/>
      <c r="BC15" s="354"/>
      <c r="BD15" s="354"/>
      <c r="BE15" s="355"/>
      <c r="BF15" s="353"/>
      <c r="BG15" s="354"/>
      <c r="BH15" s="354"/>
      <c r="BI15" s="354"/>
      <c r="BJ15" s="354"/>
      <c r="BK15" s="354"/>
      <c r="BL15" s="355"/>
      <c r="BM15" s="353"/>
      <c r="BN15" s="354"/>
      <c r="BO15" s="354"/>
      <c r="BP15" s="354"/>
      <c r="BQ15" s="354"/>
      <c r="BR15" s="354"/>
      <c r="BS15" s="354"/>
      <c r="BT15" s="354"/>
      <c r="BU15" s="354"/>
      <c r="BV15" s="354"/>
      <c r="BW15" s="354"/>
      <c r="BX15" s="354"/>
      <c r="BY15" s="354"/>
      <c r="BZ15" s="354"/>
      <c r="CA15" s="354"/>
      <c r="CB15" s="354"/>
      <c r="CC15" s="354"/>
      <c r="CD15" s="354"/>
      <c r="CE15" s="354"/>
      <c r="CF15" s="354"/>
      <c r="CG15" s="354"/>
      <c r="CH15" s="354"/>
      <c r="CI15" s="354"/>
      <c r="CJ15" s="354"/>
      <c r="CK15" s="354"/>
      <c r="CL15" s="355"/>
      <c r="CM15" s="353"/>
      <c r="CN15" s="354"/>
      <c r="CO15" s="354"/>
      <c r="CP15" s="354"/>
      <c r="CQ15" s="354"/>
      <c r="CR15" s="354"/>
      <c r="CS15" s="354"/>
      <c r="CT15" s="354"/>
      <c r="CU15" s="354"/>
      <c r="CV15" s="354"/>
      <c r="CW15" s="354"/>
      <c r="CX15" s="354"/>
      <c r="CY15" s="354"/>
      <c r="CZ15" s="354"/>
      <c r="DA15" s="354"/>
      <c r="DB15" s="354"/>
      <c r="DC15" s="354"/>
      <c r="DD15" s="355"/>
      <c r="DE15" s="7"/>
    </row>
    <row r="16" spans="1:139" ht="12.75">
      <c r="A16" s="6"/>
      <c r="B16" s="356"/>
      <c r="C16" s="357"/>
      <c r="D16" s="357"/>
      <c r="E16" s="357"/>
      <c r="F16" s="357"/>
      <c r="G16" s="357"/>
      <c r="H16" s="358"/>
      <c r="I16" s="356"/>
      <c r="J16" s="357"/>
      <c r="K16" s="357"/>
      <c r="L16" s="357"/>
      <c r="M16" s="357"/>
      <c r="N16" s="357"/>
      <c r="O16" s="358"/>
      <c r="P16" s="356"/>
      <c r="Q16" s="357"/>
      <c r="R16" s="357"/>
      <c r="S16" s="357"/>
      <c r="T16" s="357"/>
      <c r="U16" s="357"/>
      <c r="V16" s="358"/>
      <c r="W16" s="356"/>
      <c r="X16" s="357"/>
      <c r="Y16" s="357"/>
      <c r="Z16" s="357"/>
      <c r="AA16" s="357"/>
      <c r="AB16" s="357"/>
      <c r="AC16" s="358"/>
      <c r="AD16" s="356"/>
      <c r="AE16" s="357"/>
      <c r="AF16" s="357"/>
      <c r="AG16" s="357"/>
      <c r="AH16" s="357"/>
      <c r="AI16" s="357"/>
      <c r="AJ16" s="358"/>
      <c r="AK16" s="356"/>
      <c r="AL16" s="357"/>
      <c r="AM16" s="357"/>
      <c r="AN16" s="357"/>
      <c r="AO16" s="357"/>
      <c r="AP16" s="357"/>
      <c r="AQ16" s="358"/>
      <c r="AR16" s="356"/>
      <c r="AS16" s="357"/>
      <c r="AT16" s="357"/>
      <c r="AU16" s="357"/>
      <c r="AV16" s="357"/>
      <c r="AW16" s="357"/>
      <c r="AX16" s="358"/>
      <c r="AY16" s="356"/>
      <c r="AZ16" s="357"/>
      <c r="BA16" s="357"/>
      <c r="BB16" s="357"/>
      <c r="BC16" s="357"/>
      <c r="BD16" s="357"/>
      <c r="BE16" s="358"/>
      <c r="BF16" s="356"/>
      <c r="BG16" s="357"/>
      <c r="BH16" s="357"/>
      <c r="BI16" s="357"/>
      <c r="BJ16" s="357"/>
      <c r="BK16" s="357"/>
      <c r="BL16" s="358"/>
      <c r="BM16" s="356"/>
      <c r="BN16" s="357"/>
      <c r="BO16" s="357"/>
      <c r="BP16" s="357"/>
      <c r="BQ16" s="357"/>
      <c r="BR16" s="357"/>
      <c r="BS16" s="357"/>
      <c r="BT16" s="357"/>
      <c r="BU16" s="357"/>
      <c r="BV16" s="357"/>
      <c r="BW16" s="357"/>
      <c r="BX16" s="357"/>
      <c r="BY16" s="357"/>
      <c r="BZ16" s="357"/>
      <c r="CA16" s="357"/>
      <c r="CB16" s="357"/>
      <c r="CC16" s="357"/>
      <c r="CD16" s="357"/>
      <c r="CE16" s="357"/>
      <c r="CF16" s="357"/>
      <c r="CG16" s="357"/>
      <c r="CH16" s="357"/>
      <c r="CI16" s="357"/>
      <c r="CJ16" s="357"/>
      <c r="CK16" s="357"/>
      <c r="CL16" s="358"/>
      <c r="CM16" s="356"/>
      <c r="CN16" s="357"/>
      <c r="CO16" s="357"/>
      <c r="CP16" s="357"/>
      <c r="CQ16" s="357"/>
      <c r="CR16" s="357"/>
      <c r="CS16" s="357"/>
      <c r="CT16" s="357"/>
      <c r="CU16" s="357"/>
      <c r="CV16" s="357"/>
      <c r="CW16" s="357"/>
      <c r="CX16" s="357"/>
      <c r="CY16" s="357"/>
      <c r="CZ16" s="357"/>
      <c r="DA16" s="357"/>
      <c r="DB16" s="357"/>
      <c r="DC16" s="357"/>
      <c r="DD16" s="358"/>
      <c r="DE16" s="7"/>
    </row>
    <row r="17" spans="1:133" ht="15" customHeight="1">
      <c r="A17" s="3"/>
      <c r="B17" s="382"/>
      <c r="C17" s="383"/>
      <c r="D17" s="383"/>
      <c r="E17" s="383"/>
      <c r="F17" s="383"/>
      <c r="G17" s="383"/>
      <c r="H17" s="384"/>
      <c r="I17" s="382"/>
      <c r="J17" s="383"/>
      <c r="K17" s="383"/>
      <c r="L17" s="383"/>
      <c r="M17" s="383"/>
      <c r="N17" s="383"/>
      <c r="O17" s="384"/>
      <c r="P17" s="382"/>
      <c r="Q17" s="383"/>
      <c r="R17" s="383"/>
      <c r="S17" s="383"/>
      <c r="T17" s="383"/>
      <c r="U17" s="383"/>
      <c r="V17" s="384"/>
      <c r="W17" s="382"/>
      <c r="X17" s="383"/>
      <c r="Y17" s="383"/>
      <c r="Z17" s="383"/>
      <c r="AA17" s="383"/>
      <c r="AB17" s="383"/>
      <c r="AC17" s="384"/>
      <c r="AD17" s="382"/>
      <c r="AE17" s="383"/>
      <c r="AF17" s="383"/>
      <c r="AG17" s="383"/>
      <c r="AH17" s="383"/>
      <c r="AI17" s="383"/>
      <c r="AJ17" s="384"/>
      <c r="AK17" s="382"/>
      <c r="AL17" s="383"/>
      <c r="AM17" s="383"/>
      <c r="AN17" s="383"/>
      <c r="AO17" s="383"/>
      <c r="AP17" s="383"/>
      <c r="AQ17" s="384"/>
      <c r="AR17" s="382"/>
      <c r="AS17" s="383"/>
      <c r="AT17" s="383"/>
      <c r="AU17" s="383"/>
      <c r="AV17" s="383"/>
      <c r="AW17" s="383"/>
      <c r="AX17" s="384"/>
      <c r="AY17" s="382"/>
      <c r="AZ17" s="383"/>
      <c r="BA17" s="383"/>
      <c r="BB17" s="383"/>
      <c r="BC17" s="383"/>
      <c r="BD17" s="383"/>
      <c r="BE17" s="384"/>
      <c r="BF17" s="382"/>
      <c r="BG17" s="383"/>
      <c r="BH17" s="383"/>
      <c r="BI17" s="383"/>
      <c r="BJ17" s="383"/>
      <c r="BK17" s="383"/>
      <c r="BL17" s="384"/>
      <c r="BM17" s="382"/>
      <c r="BN17" s="383"/>
      <c r="BO17" s="383"/>
      <c r="BP17" s="383"/>
      <c r="BQ17" s="383"/>
      <c r="BR17" s="383"/>
      <c r="BS17" s="383"/>
      <c r="BT17" s="383"/>
      <c r="BU17" s="383"/>
      <c r="BV17" s="383"/>
      <c r="BW17" s="383"/>
      <c r="BX17" s="383"/>
      <c r="BY17" s="383"/>
      <c r="BZ17" s="383"/>
      <c r="CA17" s="383"/>
      <c r="CB17" s="383"/>
      <c r="CC17" s="383"/>
      <c r="CD17" s="383"/>
      <c r="CE17" s="383"/>
      <c r="CF17" s="383"/>
      <c r="CG17" s="383"/>
      <c r="CH17" s="383"/>
      <c r="CI17" s="383"/>
      <c r="CJ17" s="383"/>
      <c r="CK17" s="383"/>
      <c r="CL17" s="384"/>
      <c r="CM17" s="382"/>
      <c r="CN17" s="383"/>
      <c r="CO17" s="383"/>
      <c r="CP17" s="383"/>
      <c r="CQ17" s="383"/>
      <c r="CR17" s="383"/>
      <c r="CS17" s="383"/>
      <c r="CT17" s="383"/>
      <c r="CU17" s="383"/>
      <c r="CV17" s="383"/>
      <c r="CW17" s="383"/>
      <c r="CX17" s="383"/>
      <c r="CY17" s="383"/>
      <c r="CZ17" s="383"/>
      <c r="DA17" s="383"/>
      <c r="DB17" s="383"/>
      <c r="DC17" s="383"/>
      <c r="DD17" s="384"/>
      <c r="DE17" s="7"/>
    </row>
    <row r="18" spans="1:133" ht="15" customHeight="1">
      <c r="A18" s="6"/>
      <c r="B18" s="385"/>
      <c r="C18" s="386"/>
      <c r="D18" s="386"/>
      <c r="E18" s="386"/>
      <c r="F18" s="386"/>
      <c r="G18" s="386"/>
      <c r="H18" s="387"/>
      <c r="I18" s="385"/>
      <c r="J18" s="386"/>
      <c r="K18" s="386"/>
      <c r="L18" s="386"/>
      <c r="M18" s="386"/>
      <c r="N18" s="386"/>
      <c r="O18" s="387"/>
      <c r="P18" s="385"/>
      <c r="Q18" s="386"/>
      <c r="R18" s="386"/>
      <c r="S18" s="386"/>
      <c r="T18" s="386"/>
      <c r="U18" s="386"/>
      <c r="V18" s="387"/>
      <c r="W18" s="385"/>
      <c r="X18" s="386"/>
      <c r="Y18" s="386"/>
      <c r="Z18" s="386"/>
      <c r="AA18" s="386"/>
      <c r="AB18" s="386"/>
      <c r="AC18" s="387"/>
      <c r="AD18" s="385"/>
      <c r="AE18" s="386"/>
      <c r="AF18" s="386"/>
      <c r="AG18" s="386"/>
      <c r="AH18" s="386"/>
      <c r="AI18" s="386"/>
      <c r="AJ18" s="387"/>
      <c r="AK18" s="385"/>
      <c r="AL18" s="386"/>
      <c r="AM18" s="386"/>
      <c r="AN18" s="386"/>
      <c r="AO18" s="386"/>
      <c r="AP18" s="386"/>
      <c r="AQ18" s="387"/>
      <c r="AR18" s="385"/>
      <c r="AS18" s="386"/>
      <c r="AT18" s="386"/>
      <c r="AU18" s="386"/>
      <c r="AV18" s="386"/>
      <c r="AW18" s="386"/>
      <c r="AX18" s="387"/>
      <c r="AY18" s="385"/>
      <c r="AZ18" s="386"/>
      <c r="BA18" s="386"/>
      <c r="BB18" s="386"/>
      <c r="BC18" s="386"/>
      <c r="BD18" s="386"/>
      <c r="BE18" s="387"/>
      <c r="BF18" s="385"/>
      <c r="BG18" s="386"/>
      <c r="BH18" s="386"/>
      <c r="BI18" s="386"/>
      <c r="BJ18" s="386"/>
      <c r="BK18" s="386"/>
      <c r="BL18" s="387"/>
      <c r="BM18" s="385"/>
      <c r="BN18" s="386"/>
      <c r="BO18" s="386"/>
      <c r="BP18" s="386"/>
      <c r="BQ18" s="386"/>
      <c r="BR18" s="386"/>
      <c r="BS18" s="386"/>
      <c r="BT18" s="386"/>
      <c r="BU18" s="386"/>
      <c r="BV18" s="386"/>
      <c r="BW18" s="386"/>
      <c r="BX18" s="386"/>
      <c r="BY18" s="386"/>
      <c r="BZ18" s="386"/>
      <c r="CA18" s="386"/>
      <c r="CB18" s="386"/>
      <c r="CC18" s="386"/>
      <c r="CD18" s="386"/>
      <c r="CE18" s="386"/>
      <c r="CF18" s="386"/>
      <c r="CG18" s="386"/>
      <c r="CH18" s="386"/>
      <c r="CI18" s="386"/>
      <c r="CJ18" s="386"/>
      <c r="CK18" s="386"/>
      <c r="CL18" s="387"/>
      <c r="CM18" s="385"/>
      <c r="CN18" s="386"/>
      <c r="CO18" s="386"/>
      <c r="CP18" s="386"/>
      <c r="CQ18" s="386"/>
      <c r="CR18" s="386"/>
      <c r="CS18" s="386"/>
      <c r="CT18" s="386"/>
      <c r="CU18" s="386"/>
      <c r="CV18" s="386"/>
      <c r="CW18" s="386"/>
      <c r="CX18" s="386"/>
      <c r="CY18" s="386"/>
      <c r="CZ18" s="386"/>
      <c r="DA18" s="386"/>
      <c r="DB18" s="386"/>
      <c r="DC18" s="386"/>
      <c r="DD18" s="387"/>
      <c r="DE18" s="7"/>
    </row>
    <row r="19" spans="1:133" ht="15" customHeight="1">
      <c r="A19" s="8"/>
      <c r="B19" s="353"/>
      <c r="C19" s="354"/>
      <c r="D19" s="354"/>
      <c r="E19" s="354"/>
      <c r="F19" s="354"/>
      <c r="G19" s="354"/>
      <c r="H19" s="355"/>
      <c r="I19" s="352"/>
      <c r="J19" s="352"/>
      <c r="K19" s="352"/>
      <c r="L19" s="352"/>
      <c r="M19" s="352"/>
      <c r="N19" s="352"/>
      <c r="O19" s="352"/>
      <c r="P19" s="352"/>
      <c r="Q19" s="352"/>
      <c r="R19" s="352"/>
      <c r="S19" s="352"/>
      <c r="T19" s="352"/>
      <c r="U19" s="352"/>
      <c r="V19" s="352"/>
      <c r="W19" s="352"/>
      <c r="X19" s="352"/>
      <c r="Y19" s="352"/>
      <c r="Z19" s="352"/>
      <c r="AA19" s="352"/>
      <c r="AB19" s="352"/>
      <c r="AC19" s="352"/>
      <c r="AD19" s="352"/>
      <c r="AE19" s="352"/>
      <c r="AF19" s="352"/>
      <c r="AG19" s="352"/>
      <c r="AH19" s="352"/>
      <c r="AI19" s="352"/>
      <c r="AJ19" s="352"/>
      <c r="AK19" s="352"/>
      <c r="AL19" s="352"/>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2"/>
      <c r="BK19" s="352"/>
      <c r="BL19" s="352"/>
      <c r="BM19" s="352"/>
      <c r="BN19" s="352"/>
      <c r="BO19" s="352"/>
      <c r="BP19" s="352"/>
      <c r="BQ19" s="352"/>
      <c r="BR19" s="352"/>
      <c r="BS19" s="352"/>
      <c r="BT19" s="352"/>
      <c r="BU19" s="352"/>
      <c r="BV19" s="352"/>
      <c r="BW19" s="352"/>
      <c r="BX19" s="352"/>
      <c r="BY19" s="352"/>
      <c r="BZ19" s="352"/>
      <c r="CA19" s="352"/>
      <c r="CB19" s="352"/>
      <c r="CC19" s="352"/>
      <c r="CD19" s="352"/>
      <c r="CE19" s="352"/>
      <c r="CF19" s="352"/>
      <c r="CG19" s="352"/>
      <c r="CH19" s="352"/>
      <c r="CI19" s="352"/>
      <c r="CJ19" s="352"/>
      <c r="CK19" s="352"/>
      <c r="CL19" s="352"/>
      <c r="CM19" s="352"/>
      <c r="CN19" s="352"/>
      <c r="CO19" s="352"/>
      <c r="CP19" s="352"/>
      <c r="CQ19" s="352"/>
      <c r="CR19" s="352"/>
      <c r="CS19" s="352"/>
      <c r="CT19" s="352"/>
      <c r="CU19" s="352"/>
      <c r="CV19" s="352"/>
      <c r="CW19" s="352"/>
      <c r="CX19" s="352"/>
      <c r="CY19" s="352"/>
      <c r="CZ19" s="352"/>
      <c r="DA19" s="352"/>
      <c r="DB19" s="352"/>
      <c r="DC19" s="352"/>
      <c r="DD19" s="352"/>
      <c r="DE19" s="7"/>
    </row>
    <row r="20" spans="1:133" ht="15" customHeight="1">
      <c r="A20" s="8"/>
      <c r="B20" s="356"/>
      <c r="C20" s="357"/>
      <c r="D20" s="357"/>
      <c r="E20" s="357"/>
      <c r="F20" s="357"/>
      <c r="G20" s="357"/>
      <c r="H20" s="358"/>
      <c r="I20" s="352"/>
      <c r="J20" s="352"/>
      <c r="K20" s="352"/>
      <c r="L20" s="352"/>
      <c r="M20" s="352"/>
      <c r="N20" s="352"/>
      <c r="O20" s="352"/>
      <c r="P20" s="352"/>
      <c r="Q20" s="352"/>
      <c r="R20" s="352"/>
      <c r="S20" s="352"/>
      <c r="T20" s="352"/>
      <c r="U20" s="352"/>
      <c r="V20" s="352"/>
      <c r="W20" s="352"/>
      <c r="X20" s="352"/>
      <c r="Y20" s="352"/>
      <c r="Z20" s="352"/>
      <c r="AA20" s="352"/>
      <c r="AB20" s="352"/>
      <c r="AC20" s="352"/>
      <c r="AD20" s="352"/>
      <c r="AE20" s="352"/>
      <c r="AF20" s="352"/>
      <c r="AG20" s="352"/>
      <c r="AH20" s="352"/>
      <c r="AI20" s="352"/>
      <c r="AJ20" s="352"/>
      <c r="AK20" s="352"/>
      <c r="AL20" s="352"/>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2"/>
      <c r="BK20" s="352"/>
      <c r="BL20" s="352"/>
      <c r="BM20" s="352"/>
      <c r="BN20" s="352"/>
      <c r="BO20" s="352"/>
      <c r="BP20" s="352"/>
      <c r="BQ20" s="352"/>
      <c r="BR20" s="352"/>
      <c r="BS20" s="352"/>
      <c r="BT20" s="352"/>
      <c r="BU20" s="352"/>
      <c r="BV20" s="352"/>
      <c r="BW20" s="352"/>
      <c r="BX20" s="352"/>
      <c r="BY20" s="352"/>
      <c r="BZ20" s="352"/>
      <c r="CA20" s="352"/>
      <c r="CB20" s="352"/>
      <c r="CC20" s="352"/>
      <c r="CD20" s="352"/>
      <c r="CE20" s="352"/>
      <c r="CF20" s="352"/>
      <c r="CG20" s="352"/>
      <c r="CH20" s="352"/>
      <c r="CI20" s="352"/>
      <c r="CJ20" s="352"/>
      <c r="CK20" s="352"/>
      <c r="CL20" s="352"/>
      <c r="CM20" s="352"/>
      <c r="CN20" s="352"/>
      <c r="CO20" s="352"/>
      <c r="CP20" s="352"/>
      <c r="CQ20" s="352"/>
      <c r="CR20" s="352"/>
      <c r="CS20" s="352"/>
      <c r="CT20" s="352"/>
      <c r="CU20" s="352"/>
      <c r="CV20" s="352"/>
      <c r="CW20" s="352"/>
      <c r="CX20" s="352"/>
      <c r="CY20" s="352"/>
      <c r="CZ20" s="352"/>
      <c r="DA20" s="352"/>
      <c r="DB20" s="352"/>
      <c r="DC20" s="352"/>
      <c r="DD20" s="352"/>
      <c r="DE20" s="7"/>
    </row>
    <row r="21" spans="1:133" ht="15" customHeight="1">
      <c r="A21" s="3"/>
      <c r="B21" s="382"/>
      <c r="C21" s="383"/>
      <c r="D21" s="383"/>
      <c r="E21" s="383"/>
      <c r="F21" s="383"/>
      <c r="G21" s="383"/>
      <c r="H21" s="384"/>
      <c r="I21" s="351"/>
      <c r="J21" s="351"/>
      <c r="K21" s="351"/>
      <c r="L21" s="351"/>
      <c r="M21" s="351"/>
      <c r="N21" s="351"/>
      <c r="O21" s="351"/>
      <c r="P21" s="351"/>
      <c r="Q21" s="351"/>
      <c r="R21" s="351"/>
      <c r="S21" s="351"/>
      <c r="T21" s="351"/>
      <c r="U21" s="351"/>
      <c r="V21" s="351"/>
      <c r="W21" s="351"/>
      <c r="X21" s="351"/>
      <c r="Y21" s="351"/>
      <c r="Z21" s="351"/>
      <c r="AA21" s="351"/>
      <c r="AB21" s="351"/>
      <c r="AC21" s="351"/>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1"/>
      <c r="BD21" s="351"/>
      <c r="BE21" s="351"/>
      <c r="BF21" s="351"/>
      <c r="BG21" s="351"/>
      <c r="BH21" s="351"/>
      <c r="BI21" s="351"/>
      <c r="BJ21" s="351"/>
      <c r="BK21" s="351"/>
      <c r="BL21" s="351"/>
      <c r="BM21" s="351"/>
      <c r="BN21" s="351"/>
      <c r="BO21" s="351"/>
      <c r="BP21" s="351"/>
      <c r="BQ21" s="351"/>
      <c r="BR21" s="351"/>
      <c r="BS21" s="351"/>
      <c r="BT21" s="351"/>
      <c r="BU21" s="351"/>
      <c r="BV21" s="351"/>
      <c r="BW21" s="351"/>
      <c r="BX21" s="351"/>
      <c r="BY21" s="351"/>
      <c r="BZ21" s="351"/>
      <c r="CA21" s="351"/>
      <c r="CB21" s="351"/>
      <c r="CC21" s="351"/>
      <c r="CD21" s="351"/>
      <c r="CE21" s="351"/>
      <c r="CF21" s="351"/>
      <c r="CG21" s="351"/>
      <c r="CH21" s="351"/>
      <c r="CI21" s="351"/>
      <c r="CJ21" s="351"/>
      <c r="CK21" s="351"/>
      <c r="CL21" s="351"/>
      <c r="CM21" s="351"/>
      <c r="CN21" s="351"/>
      <c r="CO21" s="351"/>
      <c r="CP21" s="351"/>
      <c r="CQ21" s="351"/>
      <c r="CR21" s="351"/>
      <c r="CS21" s="351"/>
      <c r="CT21" s="351"/>
      <c r="CU21" s="351"/>
      <c r="CV21" s="351"/>
      <c r="CW21" s="351"/>
      <c r="CX21" s="351"/>
      <c r="CY21" s="351"/>
      <c r="CZ21" s="351"/>
      <c r="DA21" s="351"/>
      <c r="DB21" s="351"/>
      <c r="DC21" s="351"/>
      <c r="DD21" s="351"/>
      <c r="DE21" s="7"/>
    </row>
    <row r="22" spans="1:133" ht="15" customHeight="1">
      <c r="A22" s="3"/>
      <c r="B22" s="385"/>
      <c r="C22" s="386"/>
      <c r="D22" s="386"/>
      <c r="E22" s="386"/>
      <c r="F22" s="386"/>
      <c r="G22" s="386"/>
      <c r="H22" s="387"/>
      <c r="I22" s="351"/>
      <c r="J22" s="351"/>
      <c r="K22" s="351"/>
      <c r="L22" s="351"/>
      <c r="M22" s="351"/>
      <c r="N22" s="351"/>
      <c r="O22" s="351"/>
      <c r="P22" s="351"/>
      <c r="Q22" s="351"/>
      <c r="R22" s="351"/>
      <c r="S22" s="351"/>
      <c r="T22" s="351"/>
      <c r="U22" s="351"/>
      <c r="V22" s="351"/>
      <c r="W22" s="351"/>
      <c r="X22" s="351"/>
      <c r="Y22" s="351"/>
      <c r="Z22" s="351"/>
      <c r="AA22" s="351"/>
      <c r="AB22" s="351"/>
      <c r="AC22" s="351"/>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c r="BI22" s="351"/>
      <c r="BJ22" s="351"/>
      <c r="BK22" s="351"/>
      <c r="BL22" s="351"/>
      <c r="BM22" s="351"/>
      <c r="BN22" s="351"/>
      <c r="BO22" s="351"/>
      <c r="BP22" s="351"/>
      <c r="BQ22" s="351"/>
      <c r="BR22" s="351"/>
      <c r="BS22" s="351"/>
      <c r="BT22" s="351"/>
      <c r="BU22" s="351"/>
      <c r="BV22" s="351"/>
      <c r="BW22" s="351"/>
      <c r="BX22" s="351"/>
      <c r="BY22" s="351"/>
      <c r="BZ22" s="351"/>
      <c r="CA22" s="351"/>
      <c r="CB22" s="351"/>
      <c r="CC22" s="351"/>
      <c r="CD22" s="351"/>
      <c r="CE22" s="351"/>
      <c r="CF22" s="351"/>
      <c r="CG22" s="351"/>
      <c r="CH22" s="351"/>
      <c r="CI22" s="351"/>
      <c r="CJ22" s="351"/>
      <c r="CK22" s="351"/>
      <c r="CL22" s="351"/>
      <c r="CM22" s="351"/>
      <c r="CN22" s="351"/>
      <c r="CO22" s="351"/>
      <c r="CP22" s="351"/>
      <c r="CQ22" s="351"/>
      <c r="CR22" s="351"/>
      <c r="CS22" s="351"/>
      <c r="CT22" s="351"/>
      <c r="CU22" s="351"/>
      <c r="CV22" s="351"/>
      <c r="CW22" s="351"/>
      <c r="CX22" s="351"/>
      <c r="CY22" s="351"/>
      <c r="CZ22" s="351"/>
      <c r="DA22" s="351"/>
      <c r="DB22" s="351"/>
      <c r="DC22" s="351"/>
      <c r="DD22" s="351"/>
      <c r="DE22" s="7"/>
    </row>
    <row r="23" spans="1:133" ht="15" customHeight="1">
      <c r="A23" s="3"/>
      <c r="B23" s="352"/>
      <c r="C23" s="352"/>
      <c r="D23" s="352"/>
      <c r="E23" s="352"/>
      <c r="F23" s="352"/>
      <c r="G23" s="352"/>
      <c r="H23" s="352"/>
      <c r="I23" s="352"/>
      <c r="J23" s="352"/>
      <c r="K23" s="352"/>
      <c r="L23" s="352"/>
      <c r="M23" s="352"/>
      <c r="N23" s="352"/>
      <c r="O23" s="352"/>
      <c r="P23" s="352"/>
      <c r="Q23" s="352"/>
      <c r="R23" s="352"/>
      <c r="S23" s="352"/>
      <c r="T23" s="352"/>
      <c r="U23" s="352"/>
      <c r="V23" s="352"/>
      <c r="W23" s="352"/>
      <c r="X23" s="352"/>
      <c r="Y23" s="352"/>
      <c r="Z23" s="352"/>
      <c r="AA23" s="352"/>
      <c r="AB23" s="352"/>
      <c r="AC23" s="352"/>
      <c r="AD23" s="416"/>
      <c r="AE23" s="352"/>
      <c r="AF23" s="352"/>
      <c r="AG23" s="352"/>
      <c r="AH23" s="352"/>
      <c r="AI23" s="352"/>
      <c r="AJ23" s="352"/>
      <c r="AK23" s="416"/>
      <c r="AL23" s="352"/>
      <c r="AM23" s="352"/>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2"/>
      <c r="BK23" s="352"/>
      <c r="BL23" s="352"/>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c r="CQ23" s="352"/>
      <c r="CR23" s="352"/>
      <c r="CS23" s="352"/>
      <c r="CT23" s="352"/>
      <c r="CU23" s="352"/>
      <c r="CV23" s="352"/>
      <c r="CW23" s="352"/>
      <c r="CX23" s="352"/>
      <c r="CY23" s="352"/>
      <c r="CZ23" s="352"/>
      <c r="DA23" s="352"/>
      <c r="DB23" s="352"/>
      <c r="DC23" s="352"/>
      <c r="DD23" s="352"/>
      <c r="DE23" s="24"/>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row>
    <row r="24" spans="1:133" ht="15" customHeight="1">
      <c r="A24" s="3"/>
      <c r="B24" s="352"/>
      <c r="C24" s="352"/>
      <c r="D24" s="352"/>
      <c r="E24" s="352"/>
      <c r="F24" s="352"/>
      <c r="G24" s="352"/>
      <c r="H24" s="352"/>
      <c r="I24" s="352"/>
      <c r="J24" s="352"/>
      <c r="K24" s="352"/>
      <c r="L24" s="352"/>
      <c r="M24" s="352"/>
      <c r="N24" s="352"/>
      <c r="O24" s="352"/>
      <c r="P24" s="352"/>
      <c r="Q24" s="352"/>
      <c r="R24" s="352"/>
      <c r="S24" s="352"/>
      <c r="T24" s="352"/>
      <c r="U24" s="352"/>
      <c r="V24" s="352"/>
      <c r="W24" s="352"/>
      <c r="X24" s="352"/>
      <c r="Y24" s="352"/>
      <c r="Z24" s="352"/>
      <c r="AA24" s="352"/>
      <c r="AB24" s="352"/>
      <c r="AC24" s="352"/>
      <c r="AD24" s="352"/>
      <c r="AE24" s="352"/>
      <c r="AF24" s="352"/>
      <c r="AG24" s="352"/>
      <c r="AH24" s="352"/>
      <c r="AI24" s="352"/>
      <c r="AJ24" s="352"/>
      <c r="AK24" s="352"/>
      <c r="AL24" s="352"/>
      <c r="AM24" s="352"/>
      <c r="AN24" s="352"/>
      <c r="AO24" s="352"/>
      <c r="AP24" s="352"/>
      <c r="AQ24" s="352"/>
      <c r="AR24" s="352"/>
      <c r="AS24" s="352"/>
      <c r="AT24" s="352"/>
      <c r="AU24" s="352"/>
      <c r="AV24" s="352"/>
      <c r="AW24" s="352"/>
      <c r="AX24" s="352"/>
      <c r="AY24" s="352"/>
      <c r="AZ24" s="352"/>
      <c r="BA24" s="352"/>
      <c r="BB24" s="352"/>
      <c r="BC24" s="352"/>
      <c r="BD24" s="352"/>
      <c r="BE24" s="352"/>
      <c r="BF24" s="352"/>
      <c r="BG24" s="352"/>
      <c r="BH24" s="352"/>
      <c r="BI24" s="352"/>
      <c r="BJ24" s="352"/>
      <c r="BK24" s="352"/>
      <c r="BL24" s="352"/>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c r="CQ24" s="352"/>
      <c r="CR24" s="352"/>
      <c r="CS24" s="352"/>
      <c r="CT24" s="352"/>
      <c r="CU24" s="352"/>
      <c r="CV24" s="352"/>
      <c r="CW24" s="352"/>
      <c r="CX24" s="352"/>
      <c r="CY24" s="352"/>
      <c r="CZ24" s="352"/>
      <c r="DA24" s="352"/>
      <c r="DB24" s="352"/>
      <c r="DC24" s="352"/>
      <c r="DD24" s="352"/>
      <c r="DE24" s="7"/>
    </row>
    <row r="25" spans="1:133" ht="15" customHeight="1">
      <c r="A25" s="8"/>
      <c r="B25" s="351"/>
      <c r="C25" s="351"/>
      <c r="D25" s="351"/>
      <c r="E25" s="351"/>
      <c r="F25" s="351"/>
      <c r="G25" s="351"/>
      <c r="H25" s="351"/>
      <c r="I25" s="351"/>
      <c r="J25" s="351"/>
      <c r="K25" s="351"/>
      <c r="L25" s="351"/>
      <c r="M25" s="351"/>
      <c r="N25" s="351"/>
      <c r="O25" s="351"/>
      <c r="P25" s="351"/>
      <c r="Q25" s="351"/>
      <c r="R25" s="351"/>
      <c r="S25" s="351"/>
      <c r="T25" s="351"/>
      <c r="U25" s="351"/>
      <c r="V25" s="351"/>
      <c r="W25" s="351"/>
      <c r="X25" s="351"/>
      <c r="Y25" s="351"/>
      <c r="Z25" s="351"/>
      <c r="AA25" s="351"/>
      <c r="AB25" s="351"/>
      <c r="AC25" s="351"/>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c r="BI25" s="351"/>
      <c r="BJ25" s="351"/>
      <c r="BK25" s="351"/>
      <c r="BL25" s="351"/>
      <c r="BM25" s="351"/>
      <c r="BN25" s="351"/>
      <c r="BO25" s="351"/>
      <c r="BP25" s="351"/>
      <c r="BQ25" s="351"/>
      <c r="BR25" s="351"/>
      <c r="BS25" s="351"/>
      <c r="BT25" s="351"/>
      <c r="BU25" s="351"/>
      <c r="BV25" s="351"/>
      <c r="BW25" s="351"/>
      <c r="BX25" s="351"/>
      <c r="BY25" s="351"/>
      <c r="BZ25" s="351"/>
      <c r="CA25" s="351"/>
      <c r="CB25" s="351"/>
      <c r="CC25" s="351"/>
      <c r="CD25" s="351"/>
      <c r="CE25" s="351"/>
      <c r="CF25" s="351"/>
      <c r="CG25" s="351"/>
      <c r="CH25" s="351"/>
      <c r="CI25" s="351"/>
      <c r="CJ25" s="351"/>
      <c r="CK25" s="351"/>
      <c r="CL25" s="351"/>
      <c r="CM25" s="351"/>
      <c r="CN25" s="351"/>
      <c r="CO25" s="351"/>
      <c r="CP25" s="351"/>
      <c r="CQ25" s="351"/>
      <c r="CR25" s="351"/>
      <c r="CS25" s="351"/>
      <c r="CT25" s="351"/>
      <c r="CU25" s="351"/>
      <c r="CV25" s="351"/>
      <c r="CW25" s="351"/>
      <c r="CX25" s="351"/>
      <c r="CY25" s="351"/>
      <c r="CZ25" s="351"/>
      <c r="DA25" s="351"/>
      <c r="DB25" s="351"/>
      <c r="DC25" s="351"/>
      <c r="DD25" s="351"/>
      <c r="DE25" s="7"/>
    </row>
    <row r="26" spans="1:133" ht="15" customHeight="1">
      <c r="A26" s="6"/>
      <c r="B26" s="351"/>
      <c r="C26" s="351"/>
      <c r="D26" s="351"/>
      <c r="E26" s="351"/>
      <c r="F26" s="351"/>
      <c r="G26" s="351"/>
      <c r="H26" s="351"/>
      <c r="I26" s="351"/>
      <c r="J26" s="351"/>
      <c r="K26" s="351"/>
      <c r="L26" s="351"/>
      <c r="M26" s="351"/>
      <c r="N26" s="351"/>
      <c r="O26" s="351"/>
      <c r="P26" s="351"/>
      <c r="Q26" s="351"/>
      <c r="R26" s="351"/>
      <c r="S26" s="351"/>
      <c r="T26" s="351"/>
      <c r="U26" s="351"/>
      <c r="V26" s="351"/>
      <c r="W26" s="351"/>
      <c r="X26" s="351"/>
      <c r="Y26" s="351"/>
      <c r="Z26" s="351"/>
      <c r="AA26" s="351"/>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c r="BI26" s="351"/>
      <c r="BJ26" s="351"/>
      <c r="BK26" s="351"/>
      <c r="BL26" s="351"/>
      <c r="BM26" s="351"/>
      <c r="BN26" s="351"/>
      <c r="BO26" s="351"/>
      <c r="BP26" s="351"/>
      <c r="BQ26" s="351"/>
      <c r="BR26" s="351"/>
      <c r="BS26" s="351"/>
      <c r="BT26" s="351"/>
      <c r="BU26" s="351"/>
      <c r="BV26" s="351"/>
      <c r="BW26" s="351"/>
      <c r="BX26" s="351"/>
      <c r="BY26" s="351"/>
      <c r="BZ26" s="351"/>
      <c r="CA26" s="351"/>
      <c r="CB26" s="351"/>
      <c r="CC26" s="351"/>
      <c r="CD26" s="351"/>
      <c r="CE26" s="351"/>
      <c r="CF26" s="351"/>
      <c r="CG26" s="351"/>
      <c r="CH26" s="351"/>
      <c r="CI26" s="351"/>
      <c r="CJ26" s="351"/>
      <c r="CK26" s="351"/>
      <c r="CL26" s="351"/>
      <c r="CM26" s="351"/>
      <c r="CN26" s="351"/>
      <c r="CO26" s="351"/>
      <c r="CP26" s="351"/>
      <c r="CQ26" s="351"/>
      <c r="CR26" s="351"/>
      <c r="CS26" s="351"/>
      <c r="CT26" s="351"/>
      <c r="CU26" s="351"/>
      <c r="CV26" s="351"/>
      <c r="CW26" s="351"/>
      <c r="CX26" s="351"/>
      <c r="CY26" s="351"/>
      <c r="CZ26" s="351"/>
      <c r="DA26" s="351"/>
      <c r="DB26" s="351"/>
      <c r="DC26" s="351"/>
      <c r="DD26" s="351"/>
      <c r="DE26" s="7"/>
    </row>
    <row r="27" spans="1:133" ht="15" customHeight="1">
      <c r="A27" s="3"/>
      <c r="B27" s="353"/>
      <c r="C27" s="354"/>
      <c r="D27" s="354"/>
      <c r="E27" s="354"/>
      <c r="F27" s="354"/>
      <c r="G27" s="354"/>
      <c r="H27" s="355"/>
      <c r="I27" s="352"/>
      <c r="J27" s="352"/>
      <c r="K27" s="352"/>
      <c r="L27" s="352"/>
      <c r="M27" s="352"/>
      <c r="N27" s="352"/>
      <c r="O27" s="352"/>
      <c r="P27" s="352"/>
      <c r="Q27" s="352"/>
      <c r="R27" s="352"/>
      <c r="S27" s="352"/>
      <c r="T27" s="352"/>
      <c r="U27" s="352"/>
      <c r="V27" s="352"/>
      <c r="W27" s="352"/>
      <c r="X27" s="352"/>
      <c r="Y27" s="352"/>
      <c r="Z27" s="352"/>
      <c r="AA27" s="352"/>
      <c r="AB27" s="352"/>
      <c r="AC27" s="352"/>
      <c r="AD27" s="352"/>
      <c r="AE27" s="352"/>
      <c r="AF27" s="352"/>
      <c r="AG27" s="352"/>
      <c r="AH27" s="352"/>
      <c r="AI27" s="352"/>
      <c r="AJ27" s="352"/>
      <c r="AK27" s="352"/>
      <c r="AL27" s="352"/>
      <c r="AM27" s="352"/>
      <c r="AN27" s="352"/>
      <c r="AO27" s="352"/>
      <c r="AP27" s="352"/>
      <c r="AQ27" s="352"/>
      <c r="AR27" s="352"/>
      <c r="AS27" s="352"/>
      <c r="AT27" s="352"/>
      <c r="AU27" s="352"/>
      <c r="AV27" s="352"/>
      <c r="AW27" s="352"/>
      <c r="AX27" s="352"/>
      <c r="AY27" s="352"/>
      <c r="AZ27" s="352"/>
      <c r="BA27" s="352"/>
      <c r="BB27" s="352"/>
      <c r="BC27" s="352"/>
      <c r="BD27" s="352"/>
      <c r="BE27" s="352"/>
      <c r="BF27" s="352"/>
      <c r="BG27" s="352"/>
      <c r="BH27" s="352"/>
      <c r="BI27" s="352"/>
      <c r="BJ27" s="352"/>
      <c r="BK27" s="352"/>
      <c r="BL27" s="352"/>
      <c r="BM27" s="352"/>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c r="CQ27" s="352"/>
      <c r="CR27" s="352"/>
      <c r="CS27" s="352"/>
      <c r="CT27" s="352"/>
      <c r="CU27" s="352"/>
      <c r="CV27" s="352"/>
      <c r="CW27" s="352"/>
      <c r="CX27" s="352"/>
      <c r="CY27" s="352"/>
      <c r="CZ27" s="352"/>
      <c r="DA27" s="352"/>
      <c r="DB27" s="352"/>
      <c r="DC27" s="352"/>
      <c r="DD27" s="352"/>
      <c r="DE27" s="7"/>
    </row>
    <row r="28" spans="1:133" ht="15" customHeight="1">
      <c r="A28" s="6"/>
      <c r="B28" s="356"/>
      <c r="C28" s="357"/>
      <c r="D28" s="357"/>
      <c r="E28" s="357"/>
      <c r="F28" s="357"/>
      <c r="G28" s="357"/>
      <c r="H28" s="358"/>
      <c r="I28" s="352"/>
      <c r="J28" s="352"/>
      <c r="K28" s="352"/>
      <c r="L28" s="352"/>
      <c r="M28" s="352"/>
      <c r="N28" s="352"/>
      <c r="O28" s="352"/>
      <c r="P28" s="352"/>
      <c r="Q28" s="352"/>
      <c r="R28" s="352"/>
      <c r="S28" s="352"/>
      <c r="T28" s="352"/>
      <c r="U28" s="352"/>
      <c r="V28" s="352"/>
      <c r="W28" s="352"/>
      <c r="X28" s="352"/>
      <c r="Y28" s="352"/>
      <c r="Z28" s="352"/>
      <c r="AA28" s="352"/>
      <c r="AB28" s="352"/>
      <c r="AC28" s="352"/>
      <c r="AD28" s="352"/>
      <c r="AE28" s="352"/>
      <c r="AF28" s="352"/>
      <c r="AG28" s="352"/>
      <c r="AH28" s="352"/>
      <c r="AI28" s="352"/>
      <c r="AJ28" s="352"/>
      <c r="AK28" s="352"/>
      <c r="AL28" s="352"/>
      <c r="AM28" s="352"/>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2"/>
      <c r="BK28" s="352"/>
      <c r="BL28" s="352"/>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c r="CQ28" s="352"/>
      <c r="CR28" s="352"/>
      <c r="CS28" s="352"/>
      <c r="CT28" s="352"/>
      <c r="CU28" s="352"/>
      <c r="CV28" s="352"/>
      <c r="CW28" s="352"/>
      <c r="CX28" s="352"/>
      <c r="CY28" s="352"/>
      <c r="CZ28" s="352"/>
      <c r="DA28" s="352"/>
      <c r="DB28" s="352"/>
      <c r="DC28" s="352"/>
      <c r="DD28" s="352"/>
      <c r="DE28" s="7"/>
    </row>
    <row r="29" spans="1:133" ht="12.75">
      <c r="A29" s="6"/>
      <c r="B29" s="382"/>
      <c r="C29" s="383"/>
      <c r="D29" s="383"/>
      <c r="E29" s="383"/>
      <c r="F29" s="383"/>
      <c r="G29" s="383"/>
      <c r="H29" s="384"/>
      <c r="I29" s="351"/>
      <c r="J29" s="351"/>
      <c r="K29" s="351"/>
      <c r="L29" s="351"/>
      <c r="M29" s="351"/>
      <c r="N29" s="351"/>
      <c r="O29" s="351"/>
      <c r="P29" s="351"/>
      <c r="Q29" s="351"/>
      <c r="R29" s="351"/>
      <c r="S29" s="351"/>
      <c r="T29" s="351"/>
      <c r="U29" s="351"/>
      <c r="V29" s="351"/>
      <c r="W29" s="351"/>
      <c r="X29" s="351"/>
      <c r="Y29" s="351"/>
      <c r="Z29" s="351"/>
      <c r="AA29" s="351"/>
      <c r="AB29" s="351"/>
      <c r="AC29" s="351"/>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c r="BI29" s="351"/>
      <c r="BJ29" s="351"/>
      <c r="BK29" s="351"/>
      <c r="BL29" s="351"/>
      <c r="BM29" s="351"/>
      <c r="BN29" s="351"/>
      <c r="BO29" s="351"/>
      <c r="BP29" s="351"/>
      <c r="BQ29" s="351"/>
      <c r="BR29" s="351"/>
      <c r="BS29" s="351"/>
      <c r="BT29" s="351"/>
      <c r="BU29" s="351"/>
      <c r="BV29" s="351"/>
      <c r="BW29" s="351"/>
      <c r="BX29" s="351"/>
      <c r="BY29" s="351"/>
      <c r="BZ29" s="351"/>
      <c r="CA29" s="351"/>
      <c r="CB29" s="351"/>
      <c r="CC29" s="351"/>
      <c r="CD29" s="351"/>
      <c r="CE29" s="351"/>
      <c r="CF29" s="351"/>
      <c r="CG29" s="351"/>
      <c r="CH29" s="351"/>
      <c r="CI29" s="351"/>
      <c r="CJ29" s="351"/>
      <c r="CK29" s="351"/>
      <c r="CL29" s="351"/>
      <c r="CM29" s="351"/>
      <c r="CN29" s="351"/>
      <c r="CO29" s="351"/>
      <c r="CP29" s="351"/>
      <c r="CQ29" s="351"/>
      <c r="CR29" s="351"/>
      <c r="CS29" s="351"/>
      <c r="CT29" s="351"/>
      <c r="CU29" s="351"/>
      <c r="CV29" s="351"/>
      <c r="CW29" s="351"/>
      <c r="CX29" s="351"/>
      <c r="CY29" s="351"/>
      <c r="CZ29" s="351"/>
      <c r="DA29" s="351"/>
      <c r="DB29" s="351"/>
      <c r="DC29" s="351"/>
      <c r="DD29" s="351"/>
      <c r="DE29" s="7"/>
    </row>
    <row r="30" spans="1:133" ht="15" customHeight="1">
      <c r="A30" s="3"/>
      <c r="B30" s="385"/>
      <c r="C30" s="386"/>
      <c r="D30" s="386"/>
      <c r="E30" s="386"/>
      <c r="F30" s="386"/>
      <c r="G30" s="386"/>
      <c r="H30" s="387"/>
      <c r="I30" s="351"/>
      <c r="J30" s="351"/>
      <c r="K30" s="351"/>
      <c r="L30" s="351"/>
      <c r="M30" s="351"/>
      <c r="N30" s="351"/>
      <c r="O30" s="351"/>
      <c r="P30" s="351"/>
      <c r="Q30" s="351"/>
      <c r="R30" s="351"/>
      <c r="S30" s="351"/>
      <c r="T30" s="351"/>
      <c r="U30" s="351"/>
      <c r="V30" s="351"/>
      <c r="W30" s="351"/>
      <c r="X30" s="351"/>
      <c r="Y30" s="351"/>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c r="BI30" s="351"/>
      <c r="BJ30" s="351"/>
      <c r="BK30" s="351"/>
      <c r="BL30" s="351"/>
      <c r="BM30" s="351"/>
      <c r="BN30" s="351"/>
      <c r="BO30" s="351"/>
      <c r="BP30" s="351"/>
      <c r="BQ30" s="351"/>
      <c r="BR30" s="351"/>
      <c r="BS30" s="351"/>
      <c r="BT30" s="351"/>
      <c r="BU30" s="351"/>
      <c r="BV30" s="351"/>
      <c r="BW30" s="351"/>
      <c r="BX30" s="351"/>
      <c r="BY30" s="351"/>
      <c r="BZ30" s="351"/>
      <c r="CA30" s="351"/>
      <c r="CB30" s="351"/>
      <c r="CC30" s="351"/>
      <c r="CD30" s="351"/>
      <c r="CE30" s="351"/>
      <c r="CF30" s="351"/>
      <c r="CG30" s="351"/>
      <c r="CH30" s="351"/>
      <c r="CI30" s="351"/>
      <c r="CJ30" s="351"/>
      <c r="CK30" s="351"/>
      <c r="CL30" s="351"/>
      <c r="CM30" s="351"/>
      <c r="CN30" s="351"/>
      <c r="CO30" s="351"/>
      <c r="CP30" s="351"/>
      <c r="CQ30" s="351"/>
      <c r="CR30" s="351"/>
      <c r="CS30" s="351"/>
      <c r="CT30" s="351"/>
      <c r="CU30" s="351"/>
      <c r="CV30" s="351"/>
      <c r="CW30" s="351"/>
      <c r="CX30" s="351"/>
      <c r="CY30" s="351"/>
      <c r="CZ30" s="351"/>
      <c r="DA30" s="351"/>
      <c r="DB30" s="351"/>
      <c r="DC30" s="351"/>
      <c r="DD30" s="351"/>
      <c r="DE30" s="7"/>
    </row>
    <row r="31" spans="1:133" ht="15" customHeight="1">
      <c r="A31" s="6"/>
      <c r="B31" s="353"/>
      <c r="C31" s="354"/>
      <c r="D31" s="354"/>
      <c r="E31" s="354"/>
      <c r="F31" s="354"/>
      <c r="G31" s="354"/>
      <c r="H31" s="355"/>
      <c r="I31" s="352"/>
      <c r="J31" s="352"/>
      <c r="K31" s="352"/>
      <c r="L31" s="352"/>
      <c r="M31" s="352"/>
      <c r="N31" s="352"/>
      <c r="O31" s="352"/>
      <c r="P31" s="352"/>
      <c r="Q31" s="352"/>
      <c r="R31" s="352"/>
      <c r="S31" s="352"/>
      <c r="T31" s="352"/>
      <c r="U31" s="352"/>
      <c r="V31" s="352"/>
      <c r="W31" s="352"/>
      <c r="X31" s="352"/>
      <c r="Y31" s="352"/>
      <c r="Z31" s="352"/>
      <c r="AA31" s="352"/>
      <c r="AB31" s="352"/>
      <c r="AC31" s="352"/>
      <c r="AD31" s="352"/>
      <c r="AE31" s="352"/>
      <c r="AF31" s="352"/>
      <c r="AG31" s="352"/>
      <c r="AH31" s="352"/>
      <c r="AI31" s="352"/>
      <c r="AJ31" s="352"/>
      <c r="AK31" s="352"/>
      <c r="AL31" s="352"/>
      <c r="AM31" s="352"/>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2"/>
      <c r="BK31" s="352"/>
      <c r="BL31" s="352"/>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c r="CQ31" s="352"/>
      <c r="CR31" s="352"/>
      <c r="CS31" s="352"/>
      <c r="CT31" s="352"/>
      <c r="CU31" s="352"/>
      <c r="CV31" s="352"/>
      <c r="CW31" s="352"/>
      <c r="CX31" s="352"/>
      <c r="CY31" s="352"/>
      <c r="CZ31" s="352"/>
      <c r="DA31" s="352"/>
      <c r="DB31" s="352"/>
      <c r="DC31" s="352"/>
      <c r="DD31" s="352"/>
      <c r="DE31" s="7"/>
    </row>
    <row r="32" spans="1:133" ht="15" customHeight="1">
      <c r="A32" s="8"/>
      <c r="B32" s="356"/>
      <c r="C32" s="357"/>
      <c r="D32" s="357"/>
      <c r="E32" s="357"/>
      <c r="F32" s="357"/>
      <c r="G32" s="357"/>
      <c r="H32" s="358"/>
      <c r="I32" s="352"/>
      <c r="J32" s="352"/>
      <c r="K32" s="352"/>
      <c r="L32" s="352"/>
      <c r="M32" s="352"/>
      <c r="N32" s="352"/>
      <c r="O32" s="352"/>
      <c r="P32" s="352"/>
      <c r="Q32" s="352"/>
      <c r="R32" s="352"/>
      <c r="S32" s="352"/>
      <c r="T32" s="352"/>
      <c r="U32" s="352"/>
      <c r="V32" s="352"/>
      <c r="W32" s="352"/>
      <c r="X32" s="352"/>
      <c r="Y32" s="352"/>
      <c r="Z32" s="352"/>
      <c r="AA32" s="352"/>
      <c r="AB32" s="352"/>
      <c r="AC32" s="352"/>
      <c r="AD32" s="352"/>
      <c r="AE32" s="352"/>
      <c r="AF32" s="352"/>
      <c r="AG32" s="352"/>
      <c r="AH32" s="352"/>
      <c r="AI32" s="352"/>
      <c r="AJ32" s="352"/>
      <c r="AK32" s="352"/>
      <c r="AL32" s="352"/>
      <c r="AM32" s="352"/>
      <c r="AN32" s="352"/>
      <c r="AO32" s="352"/>
      <c r="AP32" s="352"/>
      <c r="AQ32" s="352"/>
      <c r="AR32" s="352"/>
      <c r="AS32" s="352"/>
      <c r="AT32" s="352"/>
      <c r="AU32" s="352"/>
      <c r="AV32" s="352"/>
      <c r="AW32" s="352"/>
      <c r="AX32" s="352"/>
      <c r="AY32" s="352"/>
      <c r="AZ32" s="352"/>
      <c r="BA32" s="352"/>
      <c r="BB32" s="352"/>
      <c r="BC32" s="352"/>
      <c r="BD32" s="352"/>
      <c r="BE32" s="352"/>
      <c r="BF32" s="352"/>
      <c r="BG32" s="352"/>
      <c r="BH32" s="352"/>
      <c r="BI32" s="352"/>
      <c r="BJ32" s="352"/>
      <c r="BK32" s="352"/>
      <c r="BL32" s="352"/>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c r="CQ32" s="352"/>
      <c r="CR32" s="352"/>
      <c r="CS32" s="352"/>
      <c r="CT32" s="352"/>
      <c r="CU32" s="352"/>
      <c r="CV32" s="352"/>
      <c r="CW32" s="352"/>
      <c r="CX32" s="352"/>
      <c r="CY32" s="352"/>
      <c r="CZ32" s="352"/>
      <c r="DA32" s="352"/>
      <c r="DB32" s="352"/>
      <c r="DC32" s="352"/>
      <c r="DD32" s="352"/>
      <c r="DE32" s="7"/>
    </row>
    <row r="33" spans="1:133" ht="15" customHeight="1">
      <c r="A33" s="8"/>
      <c r="B33" s="382"/>
      <c r="C33" s="383"/>
      <c r="D33" s="383"/>
      <c r="E33" s="383"/>
      <c r="F33" s="383"/>
      <c r="G33" s="383"/>
      <c r="H33" s="384"/>
      <c r="I33" s="351"/>
      <c r="J33" s="351"/>
      <c r="K33" s="351"/>
      <c r="L33" s="351"/>
      <c r="M33" s="351"/>
      <c r="N33" s="351"/>
      <c r="O33" s="351"/>
      <c r="P33" s="351"/>
      <c r="Q33" s="351"/>
      <c r="R33" s="351"/>
      <c r="S33" s="351"/>
      <c r="T33" s="351"/>
      <c r="U33" s="351"/>
      <c r="V33" s="351"/>
      <c r="W33" s="351"/>
      <c r="X33" s="351"/>
      <c r="Y33" s="351"/>
      <c r="Z33" s="351"/>
      <c r="AA33" s="351"/>
      <c r="AB33" s="351"/>
      <c r="AC33" s="351"/>
      <c r="AD33" s="417"/>
      <c r="AE33" s="351"/>
      <c r="AF33" s="351"/>
      <c r="AG33" s="351"/>
      <c r="AH33" s="351"/>
      <c r="AI33" s="351"/>
      <c r="AJ33" s="351"/>
      <c r="AK33" s="417"/>
      <c r="AL33" s="351"/>
      <c r="AM33" s="351"/>
      <c r="AN33" s="351"/>
      <c r="AO33" s="351"/>
      <c r="AP33" s="351"/>
      <c r="AQ33" s="351"/>
      <c r="AR33" s="351"/>
      <c r="AS33" s="351"/>
      <c r="AT33" s="351"/>
      <c r="AU33" s="351"/>
      <c r="AV33" s="351"/>
      <c r="AW33" s="351"/>
      <c r="AX33" s="351"/>
      <c r="AY33" s="351"/>
      <c r="AZ33" s="351"/>
      <c r="BA33" s="351"/>
      <c r="BB33" s="351"/>
      <c r="BC33" s="351"/>
      <c r="BD33" s="351"/>
      <c r="BE33" s="351"/>
      <c r="BF33" s="382"/>
      <c r="BG33" s="383"/>
      <c r="BH33" s="383"/>
      <c r="BI33" s="383"/>
      <c r="BJ33" s="383"/>
      <c r="BK33" s="383"/>
      <c r="BL33" s="384"/>
      <c r="BM33" s="382"/>
      <c r="BN33" s="383"/>
      <c r="BO33" s="383"/>
      <c r="BP33" s="383"/>
      <c r="BQ33" s="383"/>
      <c r="BR33" s="383"/>
      <c r="BS33" s="383"/>
      <c r="BT33" s="383"/>
      <c r="BU33" s="383"/>
      <c r="BV33" s="383"/>
      <c r="BW33" s="383"/>
      <c r="BX33" s="383"/>
      <c r="BY33" s="383"/>
      <c r="BZ33" s="383"/>
      <c r="CA33" s="383"/>
      <c r="CB33" s="383"/>
      <c r="CC33" s="383"/>
      <c r="CD33" s="383"/>
      <c r="CE33" s="383"/>
      <c r="CF33" s="383"/>
      <c r="CG33" s="383"/>
      <c r="CH33" s="383"/>
      <c r="CI33" s="383"/>
      <c r="CJ33" s="383"/>
      <c r="CK33" s="383"/>
      <c r="CL33" s="384"/>
      <c r="CM33" s="351"/>
      <c r="CN33" s="351"/>
      <c r="CO33" s="351"/>
      <c r="CP33" s="351"/>
      <c r="CQ33" s="351"/>
      <c r="CR33" s="351"/>
      <c r="CS33" s="351"/>
      <c r="CT33" s="351"/>
      <c r="CU33" s="351"/>
      <c r="CV33" s="351"/>
      <c r="CW33" s="351"/>
      <c r="CX33" s="351"/>
      <c r="CY33" s="351"/>
      <c r="CZ33" s="351"/>
      <c r="DA33" s="351"/>
      <c r="DB33" s="351"/>
      <c r="DC33" s="351"/>
      <c r="DD33" s="351"/>
      <c r="DE33" s="7"/>
    </row>
    <row r="34" spans="1:133" ht="15" customHeight="1">
      <c r="A34" s="3"/>
      <c r="B34" s="385"/>
      <c r="C34" s="386"/>
      <c r="D34" s="386"/>
      <c r="E34" s="386"/>
      <c r="F34" s="386"/>
      <c r="G34" s="386"/>
      <c r="H34" s="387"/>
      <c r="I34" s="351"/>
      <c r="J34" s="351"/>
      <c r="K34" s="351"/>
      <c r="L34" s="351"/>
      <c r="M34" s="351"/>
      <c r="N34" s="351"/>
      <c r="O34" s="351"/>
      <c r="P34" s="351"/>
      <c r="Q34" s="351"/>
      <c r="R34" s="351"/>
      <c r="S34" s="351"/>
      <c r="T34" s="351"/>
      <c r="U34" s="351"/>
      <c r="V34" s="351"/>
      <c r="W34" s="351"/>
      <c r="X34" s="351"/>
      <c r="Y34" s="351"/>
      <c r="Z34" s="351"/>
      <c r="AA34" s="351"/>
      <c r="AB34" s="351"/>
      <c r="AC34" s="351"/>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85"/>
      <c r="BG34" s="386"/>
      <c r="BH34" s="386"/>
      <c r="BI34" s="386"/>
      <c r="BJ34" s="386"/>
      <c r="BK34" s="386"/>
      <c r="BL34" s="387"/>
      <c r="BM34" s="385"/>
      <c r="BN34" s="386"/>
      <c r="BO34" s="386"/>
      <c r="BP34" s="386"/>
      <c r="BQ34" s="386"/>
      <c r="BR34" s="386"/>
      <c r="BS34" s="386"/>
      <c r="BT34" s="386"/>
      <c r="BU34" s="386"/>
      <c r="BV34" s="386"/>
      <c r="BW34" s="386"/>
      <c r="BX34" s="386"/>
      <c r="BY34" s="386"/>
      <c r="BZ34" s="386"/>
      <c r="CA34" s="386"/>
      <c r="CB34" s="386"/>
      <c r="CC34" s="386"/>
      <c r="CD34" s="386"/>
      <c r="CE34" s="386"/>
      <c r="CF34" s="386"/>
      <c r="CG34" s="386"/>
      <c r="CH34" s="386"/>
      <c r="CI34" s="386"/>
      <c r="CJ34" s="386"/>
      <c r="CK34" s="386"/>
      <c r="CL34" s="387"/>
      <c r="CM34" s="351"/>
      <c r="CN34" s="351"/>
      <c r="CO34" s="351"/>
      <c r="CP34" s="351"/>
      <c r="CQ34" s="351"/>
      <c r="CR34" s="351"/>
      <c r="CS34" s="351"/>
      <c r="CT34" s="351"/>
      <c r="CU34" s="351"/>
      <c r="CV34" s="351"/>
      <c r="CW34" s="351"/>
      <c r="CX34" s="351"/>
      <c r="CY34" s="351"/>
      <c r="CZ34" s="351"/>
      <c r="DA34" s="351"/>
      <c r="DB34" s="351"/>
      <c r="DC34" s="351"/>
      <c r="DD34" s="351"/>
      <c r="DE34" s="7"/>
    </row>
    <row r="35" spans="1:133" ht="15" customHeight="1">
      <c r="A35" s="3"/>
      <c r="B35" s="352"/>
      <c r="C35" s="352"/>
      <c r="D35" s="352"/>
      <c r="E35" s="352"/>
      <c r="F35" s="352"/>
      <c r="G35" s="352"/>
      <c r="H35" s="352"/>
      <c r="I35" s="352"/>
      <c r="J35" s="352"/>
      <c r="K35" s="352"/>
      <c r="L35" s="352"/>
      <c r="M35" s="352"/>
      <c r="N35" s="352"/>
      <c r="O35" s="352"/>
      <c r="P35" s="352"/>
      <c r="Q35" s="352"/>
      <c r="R35" s="352"/>
      <c r="S35" s="352"/>
      <c r="T35" s="352"/>
      <c r="U35" s="352"/>
      <c r="V35" s="352"/>
      <c r="W35" s="352"/>
      <c r="X35" s="352"/>
      <c r="Y35" s="352"/>
      <c r="Z35" s="352"/>
      <c r="AA35" s="352"/>
      <c r="AB35" s="352"/>
      <c r="AC35" s="352"/>
      <c r="AD35" s="352"/>
      <c r="AE35" s="352"/>
      <c r="AF35" s="352"/>
      <c r="AG35" s="352"/>
      <c r="AH35" s="352"/>
      <c r="AI35" s="352"/>
      <c r="AJ35" s="352"/>
      <c r="AK35" s="352"/>
      <c r="AL35" s="352"/>
      <c r="AM35" s="352"/>
      <c r="AN35" s="352"/>
      <c r="AO35" s="352"/>
      <c r="AP35" s="352"/>
      <c r="AQ35" s="352"/>
      <c r="AR35" s="352"/>
      <c r="AS35" s="352"/>
      <c r="AT35" s="352"/>
      <c r="AU35" s="352"/>
      <c r="AV35" s="352"/>
      <c r="AW35" s="352"/>
      <c r="AX35" s="352"/>
      <c r="AY35" s="352"/>
      <c r="AZ35" s="352"/>
      <c r="BA35" s="352"/>
      <c r="BB35" s="352"/>
      <c r="BC35" s="352"/>
      <c r="BD35" s="352"/>
      <c r="BE35" s="352"/>
      <c r="BF35" s="352"/>
      <c r="BG35" s="352"/>
      <c r="BH35" s="352"/>
      <c r="BI35" s="352"/>
      <c r="BJ35" s="352"/>
      <c r="BK35" s="352"/>
      <c r="BL35" s="352"/>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c r="CQ35" s="352"/>
      <c r="CR35" s="352"/>
      <c r="CS35" s="352"/>
      <c r="CT35" s="352"/>
      <c r="CU35" s="352"/>
      <c r="CV35" s="352"/>
      <c r="CW35" s="352"/>
      <c r="CX35" s="352"/>
      <c r="CY35" s="352"/>
      <c r="CZ35" s="352"/>
      <c r="DA35" s="352"/>
      <c r="DB35" s="352"/>
      <c r="DC35" s="352"/>
      <c r="DD35" s="352"/>
      <c r="DE35" s="7"/>
    </row>
    <row r="36" spans="1:133" ht="15" customHeight="1">
      <c r="A36" s="6"/>
      <c r="B36" s="352"/>
      <c r="C36" s="352"/>
      <c r="D36" s="352"/>
      <c r="E36" s="352"/>
      <c r="F36" s="352"/>
      <c r="G36" s="352"/>
      <c r="H36" s="352"/>
      <c r="I36" s="352"/>
      <c r="J36" s="352"/>
      <c r="K36" s="352"/>
      <c r="L36" s="352"/>
      <c r="M36" s="352"/>
      <c r="N36" s="352"/>
      <c r="O36" s="352"/>
      <c r="P36" s="352"/>
      <c r="Q36" s="352"/>
      <c r="R36" s="352"/>
      <c r="S36" s="352"/>
      <c r="T36" s="352"/>
      <c r="U36" s="352"/>
      <c r="V36" s="352"/>
      <c r="W36" s="352"/>
      <c r="X36" s="352"/>
      <c r="Y36" s="352"/>
      <c r="Z36" s="352"/>
      <c r="AA36" s="352"/>
      <c r="AB36" s="352"/>
      <c r="AC36" s="352"/>
      <c r="AD36" s="352"/>
      <c r="AE36" s="352"/>
      <c r="AF36" s="352"/>
      <c r="AG36" s="352"/>
      <c r="AH36" s="352"/>
      <c r="AI36" s="352"/>
      <c r="AJ36" s="352"/>
      <c r="AK36" s="352"/>
      <c r="AL36" s="352"/>
      <c r="AM36" s="352"/>
      <c r="AN36" s="352"/>
      <c r="AO36" s="352"/>
      <c r="AP36" s="352"/>
      <c r="AQ36" s="352"/>
      <c r="AR36" s="352"/>
      <c r="AS36" s="352"/>
      <c r="AT36" s="352"/>
      <c r="AU36" s="352"/>
      <c r="AV36" s="352"/>
      <c r="AW36" s="352"/>
      <c r="AX36" s="352"/>
      <c r="AY36" s="352"/>
      <c r="AZ36" s="352"/>
      <c r="BA36" s="352"/>
      <c r="BB36" s="352"/>
      <c r="BC36" s="352"/>
      <c r="BD36" s="352"/>
      <c r="BE36" s="352"/>
      <c r="BF36" s="352"/>
      <c r="BG36" s="352"/>
      <c r="BH36" s="352"/>
      <c r="BI36" s="352"/>
      <c r="BJ36" s="352"/>
      <c r="BK36" s="352"/>
      <c r="BL36" s="352"/>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c r="CQ36" s="352"/>
      <c r="CR36" s="352"/>
      <c r="CS36" s="352"/>
      <c r="CT36" s="352"/>
      <c r="CU36" s="352"/>
      <c r="CV36" s="352"/>
      <c r="CW36" s="352"/>
      <c r="CX36" s="352"/>
      <c r="CY36" s="352"/>
      <c r="CZ36" s="352"/>
      <c r="DA36" s="352"/>
      <c r="DB36" s="352"/>
      <c r="DC36" s="352"/>
      <c r="DD36" s="352"/>
      <c r="DE36" s="7"/>
    </row>
    <row r="37" spans="1:133" ht="15" customHeight="1">
      <c r="A37" s="8"/>
      <c r="B37" s="382"/>
      <c r="C37" s="383"/>
      <c r="D37" s="383"/>
      <c r="E37" s="383"/>
      <c r="F37" s="383"/>
      <c r="G37" s="383"/>
      <c r="H37" s="384"/>
      <c r="I37" s="351"/>
      <c r="J37" s="351"/>
      <c r="K37" s="351"/>
      <c r="L37" s="351"/>
      <c r="M37" s="351"/>
      <c r="N37" s="351"/>
      <c r="O37" s="351"/>
      <c r="P37" s="351"/>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c r="BI37" s="351"/>
      <c r="BJ37" s="351"/>
      <c r="BK37" s="351"/>
      <c r="BL37" s="351"/>
      <c r="BM37" s="351"/>
      <c r="BN37" s="351"/>
      <c r="BO37" s="351"/>
      <c r="BP37" s="351"/>
      <c r="BQ37" s="351"/>
      <c r="BR37" s="351"/>
      <c r="BS37" s="351"/>
      <c r="BT37" s="351"/>
      <c r="BU37" s="351"/>
      <c r="BV37" s="351"/>
      <c r="BW37" s="351"/>
      <c r="BX37" s="351"/>
      <c r="BY37" s="351"/>
      <c r="BZ37" s="351"/>
      <c r="CA37" s="351"/>
      <c r="CB37" s="351"/>
      <c r="CC37" s="351"/>
      <c r="CD37" s="351"/>
      <c r="CE37" s="351"/>
      <c r="CF37" s="351"/>
      <c r="CG37" s="351"/>
      <c r="CH37" s="351"/>
      <c r="CI37" s="351"/>
      <c r="CJ37" s="351"/>
      <c r="CK37" s="351"/>
      <c r="CL37" s="351"/>
      <c r="CM37" s="351"/>
      <c r="CN37" s="351"/>
      <c r="CO37" s="351"/>
      <c r="CP37" s="351"/>
      <c r="CQ37" s="351"/>
      <c r="CR37" s="351"/>
      <c r="CS37" s="351"/>
      <c r="CT37" s="351"/>
      <c r="CU37" s="351"/>
      <c r="CV37" s="351"/>
      <c r="CW37" s="351"/>
      <c r="CX37" s="351"/>
      <c r="CY37" s="351"/>
      <c r="CZ37" s="351"/>
      <c r="DA37" s="351"/>
      <c r="DB37" s="351"/>
      <c r="DC37" s="351"/>
      <c r="DD37" s="351"/>
      <c r="DE37" s="7"/>
    </row>
    <row r="38" spans="1:133" ht="15" customHeight="1">
      <c r="A38" s="3"/>
      <c r="B38" s="385"/>
      <c r="C38" s="386"/>
      <c r="D38" s="386"/>
      <c r="E38" s="386"/>
      <c r="F38" s="386"/>
      <c r="G38" s="386"/>
      <c r="H38" s="387"/>
      <c r="I38" s="351"/>
      <c r="J38" s="351"/>
      <c r="K38" s="351"/>
      <c r="L38" s="351"/>
      <c r="M38" s="351"/>
      <c r="N38" s="351"/>
      <c r="O38" s="351"/>
      <c r="P38" s="351"/>
      <c r="Q38" s="351"/>
      <c r="R38" s="351"/>
      <c r="S38" s="351"/>
      <c r="T38" s="351"/>
      <c r="U38" s="351"/>
      <c r="V38" s="351"/>
      <c r="W38" s="351"/>
      <c r="X38" s="351"/>
      <c r="Y38" s="351"/>
      <c r="Z38" s="351"/>
      <c r="AA38" s="351"/>
      <c r="AB38" s="351"/>
      <c r="AC38" s="351"/>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c r="BI38" s="351"/>
      <c r="BJ38" s="351"/>
      <c r="BK38" s="351"/>
      <c r="BL38" s="351"/>
      <c r="BM38" s="351"/>
      <c r="BN38" s="351"/>
      <c r="BO38" s="351"/>
      <c r="BP38" s="351"/>
      <c r="BQ38" s="351"/>
      <c r="BR38" s="351"/>
      <c r="BS38" s="351"/>
      <c r="BT38" s="351"/>
      <c r="BU38" s="351"/>
      <c r="BV38" s="351"/>
      <c r="BW38" s="351"/>
      <c r="BX38" s="351"/>
      <c r="BY38" s="351"/>
      <c r="BZ38" s="351"/>
      <c r="CA38" s="351"/>
      <c r="CB38" s="351"/>
      <c r="CC38" s="351"/>
      <c r="CD38" s="351"/>
      <c r="CE38" s="351"/>
      <c r="CF38" s="351"/>
      <c r="CG38" s="351"/>
      <c r="CH38" s="351"/>
      <c r="CI38" s="351"/>
      <c r="CJ38" s="351"/>
      <c r="CK38" s="351"/>
      <c r="CL38" s="351"/>
      <c r="CM38" s="351"/>
      <c r="CN38" s="351"/>
      <c r="CO38" s="351"/>
      <c r="CP38" s="351"/>
      <c r="CQ38" s="351"/>
      <c r="CR38" s="351"/>
      <c r="CS38" s="351"/>
      <c r="CT38" s="351"/>
      <c r="CU38" s="351"/>
      <c r="CV38" s="351"/>
      <c r="CW38" s="351"/>
      <c r="CX38" s="351"/>
      <c r="CY38" s="351"/>
      <c r="CZ38" s="351"/>
      <c r="DA38" s="351"/>
      <c r="DB38" s="351"/>
      <c r="DC38" s="351"/>
      <c r="DD38" s="351"/>
      <c r="DE38" s="7"/>
    </row>
    <row r="39" spans="1:133" ht="15" customHeight="1">
      <c r="A39" s="3"/>
      <c r="B39" s="353"/>
      <c r="C39" s="354"/>
      <c r="D39" s="354"/>
      <c r="E39" s="354"/>
      <c r="F39" s="354"/>
      <c r="G39" s="354"/>
      <c r="H39" s="355"/>
      <c r="I39" s="352"/>
      <c r="J39" s="352"/>
      <c r="K39" s="352"/>
      <c r="L39" s="352"/>
      <c r="M39" s="352"/>
      <c r="N39" s="352"/>
      <c r="O39" s="352"/>
      <c r="P39" s="352"/>
      <c r="Q39" s="352"/>
      <c r="R39" s="352"/>
      <c r="S39" s="352"/>
      <c r="T39" s="352"/>
      <c r="U39" s="352"/>
      <c r="V39" s="352"/>
      <c r="W39" s="352"/>
      <c r="X39" s="352"/>
      <c r="Y39" s="352"/>
      <c r="Z39" s="352"/>
      <c r="AA39" s="352"/>
      <c r="AB39" s="352"/>
      <c r="AC39" s="352"/>
      <c r="AD39" s="352"/>
      <c r="AE39" s="352"/>
      <c r="AF39" s="352"/>
      <c r="AG39" s="352"/>
      <c r="AH39" s="352"/>
      <c r="AI39" s="352"/>
      <c r="AJ39" s="352"/>
      <c r="AK39" s="352"/>
      <c r="AL39" s="352"/>
      <c r="AM39" s="352"/>
      <c r="AN39" s="352"/>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2"/>
      <c r="BK39" s="352"/>
      <c r="BL39" s="352"/>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c r="CQ39" s="352"/>
      <c r="CR39" s="352"/>
      <c r="CS39" s="352"/>
      <c r="CT39" s="352"/>
      <c r="CU39" s="352"/>
      <c r="CV39" s="352"/>
      <c r="CW39" s="352"/>
      <c r="CX39" s="352"/>
      <c r="CY39" s="352"/>
      <c r="CZ39" s="352"/>
      <c r="DA39" s="352"/>
      <c r="DB39" s="352"/>
      <c r="DC39" s="352"/>
      <c r="DD39" s="352"/>
      <c r="DE39" s="7"/>
    </row>
    <row r="40" spans="1:133" ht="15" customHeight="1">
      <c r="A40" s="3"/>
      <c r="B40" s="356"/>
      <c r="C40" s="357"/>
      <c r="D40" s="357"/>
      <c r="E40" s="357"/>
      <c r="F40" s="357"/>
      <c r="G40" s="357"/>
      <c r="H40" s="358"/>
      <c r="I40" s="352"/>
      <c r="J40" s="352"/>
      <c r="K40" s="352"/>
      <c r="L40" s="352"/>
      <c r="M40" s="352"/>
      <c r="N40" s="352"/>
      <c r="O40" s="352"/>
      <c r="P40" s="352"/>
      <c r="Q40" s="352"/>
      <c r="R40" s="352"/>
      <c r="S40" s="352"/>
      <c r="T40" s="352"/>
      <c r="U40" s="352"/>
      <c r="V40" s="352"/>
      <c r="W40" s="352"/>
      <c r="X40" s="352"/>
      <c r="Y40" s="352"/>
      <c r="Z40" s="352"/>
      <c r="AA40" s="352"/>
      <c r="AB40" s="352"/>
      <c r="AC40" s="352"/>
      <c r="AD40" s="352"/>
      <c r="AE40" s="352"/>
      <c r="AF40" s="352"/>
      <c r="AG40" s="352"/>
      <c r="AH40" s="352"/>
      <c r="AI40" s="352"/>
      <c r="AJ40" s="352"/>
      <c r="AK40" s="352"/>
      <c r="AL40" s="352"/>
      <c r="AM40" s="352"/>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2"/>
      <c r="BK40" s="352"/>
      <c r="BL40" s="352"/>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c r="CQ40" s="352"/>
      <c r="CR40" s="352"/>
      <c r="CS40" s="352"/>
      <c r="CT40" s="352"/>
      <c r="CU40" s="352"/>
      <c r="CV40" s="352"/>
      <c r="CW40" s="352"/>
      <c r="CX40" s="352"/>
      <c r="CY40" s="352"/>
      <c r="CZ40" s="352"/>
      <c r="DA40" s="352"/>
      <c r="DB40" s="352"/>
      <c r="DC40" s="352"/>
      <c r="DD40" s="352"/>
      <c r="DE40" s="7"/>
    </row>
    <row r="41" spans="1:133" ht="15" customHeight="1">
      <c r="A41" s="6"/>
      <c r="B41" s="382"/>
      <c r="C41" s="383"/>
      <c r="D41" s="383"/>
      <c r="E41" s="383"/>
      <c r="F41" s="383"/>
      <c r="G41" s="383"/>
      <c r="H41" s="384"/>
      <c r="I41" s="351"/>
      <c r="J41" s="351"/>
      <c r="K41" s="351"/>
      <c r="L41" s="351"/>
      <c r="M41" s="351"/>
      <c r="N41" s="351"/>
      <c r="O41" s="351"/>
      <c r="P41" s="351"/>
      <c r="Q41" s="351"/>
      <c r="R41" s="351"/>
      <c r="S41" s="351"/>
      <c r="T41" s="351"/>
      <c r="U41" s="351"/>
      <c r="V41" s="351"/>
      <c r="W41" s="351"/>
      <c r="X41" s="351"/>
      <c r="Y41" s="351"/>
      <c r="Z41" s="351"/>
      <c r="AA41" s="351"/>
      <c r="AB41" s="351"/>
      <c r="AC41" s="351"/>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c r="BI41" s="351"/>
      <c r="BJ41" s="351"/>
      <c r="BK41" s="351"/>
      <c r="BL41" s="351"/>
      <c r="BM41" s="351"/>
      <c r="BN41" s="351"/>
      <c r="BO41" s="351"/>
      <c r="BP41" s="351"/>
      <c r="BQ41" s="351"/>
      <c r="BR41" s="351"/>
      <c r="BS41" s="351"/>
      <c r="BT41" s="351"/>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1"/>
      <c r="CU41" s="351"/>
      <c r="CV41" s="351"/>
      <c r="CW41" s="351"/>
      <c r="CX41" s="351"/>
      <c r="CY41" s="351"/>
      <c r="CZ41" s="351"/>
      <c r="DA41" s="351"/>
      <c r="DB41" s="351"/>
      <c r="DC41" s="351"/>
      <c r="DD41" s="351"/>
      <c r="DE41" s="7"/>
    </row>
    <row r="42" spans="1:133" ht="15" customHeight="1">
      <c r="A42" s="8"/>
      <c r="B42" s="385"/>
      <c r="C42" s="386"/>
      <c r="D42" s="386"/>
      <c r="E42" s="386"/>
      <c r="F42" s="386"/>
      <c r="G42" s="386"/>
      <c r="H42" s="387"/>
      <c r="I42" s="351"/>
      <c r="J42" s="351"/>
      <c r="K42" s="351"/>
      <c r="L42" s="351"/>
      <c r="M42" s="351"/>
      <c r="N42" s="351"/>
      <c r="O42" s="351"/>
      <c r="P42" s="351"/>
      <c r="Q42" s="351"/>
      <c r="R42" s="351"/>
      <c r="S42" s="351"/>
      <c r="T42" s="351"/>
      <c r="U42" s="351"/>
      <c r="V42" s="351"/>
      <c r="W42" s="351"/>
      <c r="X42" s="351"/>
      <c r="Y42" s="351"/>
      <c r="Z42" s="351"/>
      <c r="AA42" s="351"/>
      <c r="AB42" s="351"/>
      <c r="AC42" s="351"/>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c r="BI42" s="351"/>
      <c r="BJ42" s="351"/>
      <c r="BK42" s="351"/>
      <c r="BL42" s="351"/>
      <c r="BM42" s="351"/>
      <c r="BN42" s="351"/>
      <c r="BO42" s="351"/>
      <c r="BP42" s="351"/>
      <c r="BQ42" s="351"/>
      <c r="BR42" s="351"/>
      <c r="BS42" s="351"/>
      <c r="BT42" s="351"/>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1"/>
      <c r="CU42" s="351"/>
      <c r="CV42" s="351"/>
      <c r="CW42" s="351"/>
      <c r="CX42" s="351"/>
      <c r="CY42" s="351"/>
      <c r="CZ42" s="351"/>
      <c r="DA42" s="351"/>
      <c r="DB42" s="351"/>
      <c r="DC42" s="351"/>
      <c r="DD42" s="351"/>
      <c r="DE42" s="7"/>
    </row>
    <row r="43" spans="1:133" ht="15" customHeight="1">
      <c r="A43" s="8"/>
      <c r="B43" s="353"/>
      <c r="C43" s="354"/>
      <c r="D43" s="354"/>
      <c r="E43" s="354"/>
      <c r="F43" s="354"/>
      <c r="G43" s="354"/>
      <c r="H43" s="355"/>
      <c r="I43" s="352"/>
      <c r="J43" s="352"/>
      <c r="K43" s="352"/>
      <c r="L43" s="352"/>
      <c r="M43" s="352"/>
      <c r="N43" s="352"/>
      <c r="O43" s="352"/>
      <c r="P43" s="352"/>
      <c r="Q43" s="352"/>
      <c r="R43" s="352"/>
      <c r="S43" s="352"/>
      <c r="T43" s="352"/>
      <c r="U43" s="352"/>
      <c r="V43" s="352"/>
      <c r="W43" s="352"/>
      <c r="X43" s="352"/>
      <c r="Y43" s="352"/>
      <c r="Z43" s="352"/>
      <c r="AA43" s="352"/>
      <c r="AB43" s="352"/>
      <c r="AC43" s="352"/>
      <c r="AD43" s="352"/>
      <c r="AE43" s="352"/>
      <c r="AF43" s="352"/>
      <c r="AG43" s="352"/>
      <c r="AH43" s="352"/>
      <c r="AI43" s="352"/>
      <c r="AJ43" s="352"/>
      <c r="AK43" s="352"/>
      <c r="AL43" s="352"/>
      <c r="AM43" s="352"/>
      <c r="AN43" s="352"/>
      <c r="AO43" s="352"/>
      <c r="AP43" s="352"/>
      <c r="AQ43" s="352"/>
      <c r="AR43" s="352"/>
      <c r="AS43" s="352"/>
      <c r="AT43" s="352"/>
      <c r="AU43" s="352"/>
      <c r="AV43" s="352"/>
      <c r="AW43" s="352"/>
      <c r="AX43" s="352"/>
      <c r="AY43" s="352"/>
      <c r="AZ43" s="352"/>
      <c r="BA43" s="352"/>
      <c r="BB43" s="352"/>
      <c r="BC43" s="352"/>
      <c r="BD43" s="352"/>
      <c r="BE43" s="352"/>
      <c r="BF43" s="352"/>
      <c r="BG43" s="352"/>
      <c r="BH43" s="352"/>
      <c r="BI43" s="352"/>
      <c r="BJ43" s="352"/>
      <c r="BK43" s="352"/>
      <c r="BL43" s="352"/>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c r="CQ43" s="352"/>
      <c r="CR43" s="352"/>
      <c r="CS43" s="352"/>
      <c r="CT43" s="352"/>
      <c r="CU43" s="352"/>
      <c r="CV43" s="352"/>
      <c r="CW43" s="352"/>
      <c r="CX43" s="352"/>
      <c r="CY43" s="352"/>
      <c r="CZ43" s="352"/>
      <c r="DA43" s="352"/>
      <c r="DB43" s="352"/>
      <c r="DC43" s="352"/>
      <c r="DD43" s="352"/>
      <c r="DE43" s="7"/>
    </row>
    <row r="44" spans="1:133" ht="15" customHeight="1">
      <c r="A44" s="8"/>
      <c r="B44" s="356"/>
      <c r="C44" s="357"/>
      <c r="D44" s="357"/>
      <c r="E44" s="357"/>
      <c r="F44" s="357"/>
      <c r="G44" s="357"/>
      <c r="H44" s="358"/>
      <c r="I44" s="352"/>
      <c r="J44" s="352"/>
      <c r="K44" s="352"/>
      <c r="L44" s="352"/>
      <c r="M44" s="352"/>
      <c r="N44" s="352"/>
      <c r="O44" s="352"/>
      <c r="P44" s="352"/>
      <c r="Q44" s="352"/>
      <c r="R44" s="352"/>
      <c r="S44" s="352"/>
      <c r="T44" s="352"/>
      <c r="U44" s="352"/>
      <c r="V44" s="352"/>
      <c r="W44" s="352"/>
      <c r="X44" s="352"/>
      <c r="Y44" s="352"/>
      <c r="Z44" s="352"/>
      <c r="AA44" s="352"/>
      <c r="AB44" s="352"/>
      <c r="AC44" s="352"/>
      <c r="AD44" s="352"/>
      <c r="AE44" s="352"/>
      <c r="AF44" s="352"/>
      <c r="AG44" s="352"/>
      <c r="AH44" s="352"/>
      <c r="AI44" s="352"/>
      <c r="AJ44" s="352"/>
      <c r="AK44" s="352"/>
      <c r="AL44" s="352"/>
      <c r="AM44" s="352"/>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2"/>
      <c r="BK44" s="352"/>
      <c r="BL44" s="352"/>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c r="CQ44" s="352"/>
      <c r="CR44" s="352"/>
      <c r="CS44" s="352"/>
      <c r="CT44" s="352"/>
      <c r="CU44" s="352"/>
      <c r="CV44" s="352"/>
      <c r="CW44" s="352"/>
      <c r="CX44" s="352"/>
      <c r="CY44" s="352"/>
      <c r="CZ44" s="352"/>
      <c r="DA44" s="352"/>
      <c r="DB44" s="352"/>
      <c r="DC44" s="352"/>
      <c r="DD44" s="352"/>
      <c r="DE44" s="7"/>
    </row>
    <row r="45" spans="1:133" ht="15" customHeight="1">
      <c r="A45" s="3"/>
      <c r="B45" s="382"/>
      <c r="C45" s="383"/>
      <c r="D45" s="383"/>
      <c r="E45" s="383"/>
      <c r="F45" s="383"/>
      <c r="G45" s="383"/>
      <c r="H45" s="384"/>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c r="BI45" s="351"/>
      <c r="BJ45" s="351"/>
      <c r="BK45" s="351"/>
      <c r="BL45" s="351"/>
      <c r="BM45" s="351"/>
      <c r="BN45" s="351"/>
      <c r="BO45" s="351"/>
      <c r="BP45" s="351"/>
      <c r="BQ45" s="351"/>
      <c r="BR45" s="351"/>
      <c r="BS45" s="351"/>
      <c r="BT45" s="351"/>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1"/>
      <c r="CU45" s="351"/>
      <c r="CV45" s="351"/>
      <c r="CW45" s="351"/>
      <c r="CX45" s="351"/>
      <c r="CY45" s="351"/>
      <c r="CZ45" s="351"/>
      <c r="DA45" s="351"/>
      <c r="DB45" s="351"/>
      <c r="DC45" s="351"/>
      <c r="DD45" s="351"/>
      <c r="DE45" s="7"/>
    </row>
    <row r="46" spans="1:133" ht="15" customHeight="1">
      <c r="A46" s="3"/>
      <c r="B46" s="385"/>
      <c r="C46" s="386"/>
      <c r="D46" s="386"/>
      <c r="E46" s="386"/>
      <c r="F46" s="386"/>
      <c r="G46" s="386"/>
      <c r="H46" s="387"/>
      <c r="I46" s="351"/>
      <c r="J46" s="351"/>
      <c r="K46" s="351"/>
      <c r="L46" s="351"/>
      <c r="M46" s="351"/>
      <c r="N46" s="351"/>
      <c r="O46" s="351"/>
      <c r="P46" s="351"/>
      <c r="Q46" s="351"/>
      <c r="R46" s="351"/>
      <c r="S46" s="351"/>
      <c r="T46" s="351"/>
      <c r="U46" s="351"/>
      <c r="V46" s="351"/>
      <c r="W46" s="351"/>
      <c r="X46" s="351"/>
      <c r="Y46" s="351"/>
      <c r="Z46" s="351"/>
      <c r="AA46" s="351"/>
      <c r="AB46" s="351"/>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1"/>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7"/>
    </row>
    <row r="47" spans="1:133" ht="15" customHeight="1">
      <c r="A47" s="3"/>
      <c r="B47" s="353"/>
      <c r="C47" s="354"/>
      <c r="D47" s="354"/>
      <c r="E47" s="354"/>
      <c r="F47" s="354"/>
      <c r="G47" s="354"/>
      <c r="H47" s="355"/>
      <c r="I47" s="352"/>
      <c r="J47" s="352"/>
      <c r="K47" s="352"/>
      <c r="L47" s="352"/>
      <c r="M47" s="352"/>
      <c r="N47" s="352"/>
      <c r="O47" s="352"/>
      <c r="P47" s="352"/>
      <c r="Q47" s="352"/>
      <c r="R47" s="352"/>
      <c r="S47" s="352"/>
      <c r="T47" s="352"/>
      <c r="U47" s="352"/>
      <c r="V47" s="352"/>
      <c r="W47" s="352"/>
      <c r="X47" s="352"/>
      <c r="Y47" s="352"/>
      <c r="Z47" s="352"/>
      <c r="AA47" s="352"/>
      <c r="AB47" s="352"/>
      <c r="AC47" s="352"/>
      <c r="AD47" s="352"/>
      <c r="AE47" s="352"/>
      <c r="AF47" s="352"/>
      <c r="AG47" s="352"/>
      <c r="AH47" s="352"/>
      <c r="AI47" s="352"/>
      <c r="AJ47" s="352"/>
      <c r="AK47" s="352"/>
      <c r="AL47" s="352"/>
      <c r="AM47" s="352"/>
      <c r="AN47" s="352"/>
      <c r="AO47" s="352"/>
      <c r="AP47" s="352"/>
      <c r="AQ47" s="352"/>
      <c r="AR47" s="352"/>
      <c r="AS47" s="352"/>
      <c r="AT47" s="352"/>
      <c r="AU47" s="352"/>
      <c r="AV47" s="352"/>
      <c r="AW47" s="352"/>
      <c r="AX47" s="352"/>
      <c r="AY47" s="352"/>
      <c r="AZ47" s="352"/>
      <c r="BA47" s="352"/>
      <c r="BB47" s="352"/>
      <c r="BC47" s="352"/>
      <c r="BD47" s="352"/>
      <c r="BE47" s="352"/>
      <c r="BF47" s="352"/>
      <c r="BG47" s="352"/>
      <c r="BH47" s="352"/>
      <c r="BI47" s="352"/>
      <c r="BJ47" s="352"/>
      <c r="BK47" s="352"/>
      <c r="BL47" s="352"/>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c r="CQ47" s="352"/>
      <c r="CR47" s="352"/>
      <c r="CS47" s="352"/>
      <c r="CT47" s="352"/>
      <c r="CU47" s="352"/>
      <c r="CV47" s="352"/>
      <c r="CW47" s="352"/>
      <c r="CX47" s="352"/>
      <c r="CY47" s="352"/>
      <c r="CZ47" s="352"/>
      <c r="DA47" s="352"/>
      <c r="DB47" s="352"/>
      <c r="DC47" s="352"/>
      <c r="DD47" s="352"/>
      <c r="DE47" s="24"/>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row>
    <row r="48" spans="1:133" ht="15" customHeight="1">
      <c r="A48" s="3"/>
      <c r="B48" s="356"/>
      <c r="C48" s="357"/>
      <c r="D48" s="357"/>
      <c r="E48" s="357"/>
      <c r="F48" s="357"/>
      <c r="G48" s="357"/>
      <c r="H48" s="358"/>
      <c r="I48" s="352"/>
      <c r="J48" s="352"/>
      <c r="K48" s="352"/>
      <c r="L48" s="352"/>
      <c r="M48" s="352"/>
      <c r="N48" s="352"/>
      <c r="O48" s="352"/>
      <c r="P48" s="352"/>
      <c r="Q48" s="352"/>
      <c r="R48" s="352"/>
      <c r="S48" s="352"/>
      <c r="T48" s="352"/>
      <c r="U48" s="352"/>
      <c r="V48" s="352"/>
      <c r="W48" s="352"/>
      <c r="X48" s="352"/>
      <c r="Y48" s="352"/>
      <c r="Z48" s="352"/>
      <c r="AA48" s="352"/>
      <c r="AB48" s="352"/>
      <c r="AC48" s="352"/>
      <c r="AD48" s="352"/>
      <c r="AE48" s="352"/>
      <c r="AF48" s="352"/>
      <c r="AG48" s="352"/>
      <c r="AH48" s="352"/>
      <c r="AI48" s="352"/>
      <c r="AJ48" s="352"/>
      <c r="AK48" s="352"/>
      <c r="AL48" s="352"/>
      <c r="AM48" s="352"/>
      <c r="AN48" s="352"/>
      <c r="AO48" s="352"/>
      <c r="AP48" s="352"/>
      <c r="AQ48" s="352"/>
      <c r="AR48" s="352"/>
      <c r="AS48" s="352"/>
      <c r="AT48" s="352"/>
      <c r="AU48" s="352"/>
      <c r="AV48" s="352"/>
      <c r="AW48" s="352"/>
      <c r="AX48" s="352"/>
      <c r="AY48" s="352"/>
      <c r="AZ48" s="352"/>
      <c r="BA48" s="352"/>
      <c r="BB48" s="352"/>
      <c r="BC48" s="352"/>
      <c r="BD48" s="352"/>
      <c r="BE48" s="352"/>
      <c r="BF48" s="352"/>
      <c r="BG48" s="352"/>
      <c r="BH48" s="352"/>
      <c r="BI48" s="352"/>
      <c r="BJ48" s="352"/>
      <c r="BK48" s="352"/>
      <c r="BL48" s="352"/>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c r="CQ48" s="352"/>
      <c r="CR48" s="352"/>
      <c r="CS48" s="352"/>
      <c r="CT48" s="352"/>
      <c r="CU48" s="352"/>
      <c r="CV48" s="352"/>
      <c r="CW48" s="352"/>
      <c r="CX48" s="352"/>
      <c r="CY48" s="352"/>
      <c r="CZ48" s="352"/>
      <c r="DA48" s="352"/>
      <c r="DB48" s="352"/>
      <c r="DC48" s="352"/>
      <c r="DD48" s="352"/>
      <c r="DE48" s="7"/>
    </row>
    <row r="49" spans="1:109" ht="15" customHeight="1">
      <c r="A49" s="3"/>
      <c r="B49" s="382"/>
      <c r="C49" s="383"/>
      <c r="D49" s="383"/>
      <c r="E49" s="383"/>
      <c r="F49" s="383"/>
      <c r="G49" s="383"/>
      <c r="H49" s="384"/>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c r="BI49" s="351"/>
      <c r="BJ49" s="351"/>
      <c r="BK49" s="351"/>
      <c r="BL49" s="351"/>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7"/>
    </row>
    <row r="50" spans="1:109" ht="15" customHeight="1">
      <c r="A50" s="6"/>
      <c r="B50" s="385"/>
      <c r="C50" s="386"/>
      <c r="D50" s="386"/>
      <c r="E50" s="386"/>
      <c r="F50" s="386"/>
      <c r="G50" s="386"/>
      <c r="H50" s="387"/>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c r="BI50" s="351"/>
      <c r="BJ50" s="351"/>
      <c r="BK50" s="351"/>
      <c r="BL50" s="351"/>
      <c r="BM50" s="351"/>
      <c r="BN50" s="351"/>
      <c r="BO50" s="351"/>
      <c r="BP50" s="351"/>
      <c r="BQ50" s="351"/>
      <c r="BR50" s="351"/>
      <c r="BS50" s="351"/>
      <c r="BT50" s="351"/>
      <c r="BU50" s="351"/>
      <c r="BV50" s="351"/>
      <c r="BW50" s="351"/>
      <c r="BX50" s="351"/>
      <c r="BY50" s="351"/>
      <c r="BZ50" s="351"/>
      <c r="CA50" s="351"/>
      <c r="CB50" s="351"/>
      <c r="CC50" s="351"/>
      <c r="CD50" s="351"/>
      <c r="CE50" s="351"/>
      <c r="CF50" s="351"/>
      <c r="CG50" s="351"/>
      <c r="CH50" s="351"/>
      <c r="CI50" s="351"/>
      <c r="CJ50" s="351"/>
      <c r="CK50" s="351"/>
      <c r="CL50" s="351"/>
      <c r="CM50" s="351"/>
      <c r="CN50" s="351"/>
      <c r="CO50" s="351"/>
      <c r="CP50" s="351"/>
      <c r="CQ50" s="351"/>
      <c r="CR50" s="351"/>
      <c r="CS50" s="351"/>
      <c r="CT50" s="351"/>
      <c r="CU50" s="351"/>
      <c r="CV50" s="351"/>
      <c r="CW50" s="351"/>
      <c r="CX50" s="351"/>
      <c r="CY50" s="351"/>
      <c r="CZ50" s="351"/>
      <c r="DA50" s="351"/>
      <c r="DB50" s="351"/>
      <c r="DC50" s="351"/>
      <c r="DD50" s="351"/>
      <c r="DE50" s="7"/>
    </row>
    <row r="51" spans="1:109" ht="15" customHeight="1">
      <c r="A51" s="8"/>
      <c r="B51" s="418"/>
      <c r="C51" s="419"/>
      <c r="D51" s="419"/>
      <c r="E51" s="419"/>
      <c r="F51" s="419"/>
      <c r="G51" s="419"/>
      <c r="H51" s="420"/>
      <c r="I51" s="414"/>
      <c r="J51" s="414"/>
      <c r="K51" s="414"/>
      <c r="L51" s="414"/>
      <c r="M51" s="414"/>
      <c r="N51" s="414"/>
      <c r="O51" s="414"/>
      <c r="P51" s="414"/>
      <c r="Q51" s="414"/>
      <c r="R51" s="414"/>
      <c r="S51" s="414"/>
      <c r="T51" s="414"/>
      <c r="U51" s="414"/>
      <c r="V51" s="414"/>
      <c r="W51" s="414"/>
      <c r="X51" s="414"/>
      <c r="Y51" s="414"/>
      <c r="Z51" s="414"/>
      <c r="AA51" s="414"/>
      <c r="AB51" s="414"/>
      <c r="AC51" s="414"/>
      <c r="AD51" s="414"/>
      <c r="AE51" s="414"/>
      <c r="AF51" s="414"/>
      <c r="AG51" s="414"/>
      <c r="AH51" s="414"/>
      <c r="AI51" s="414"/>
      <c r="AJ51" s="414"/>
      <c r="AK51" s="414"/>
      <c r="AL51" s="414"/>
      <c r="AM51" s="414"/>
      <c r="AN51" s="414"/>
      <c r="AO51" s="414"/>
      <c r="AP51" s="414"/>
      <c r="AQ51" s="414"/>
      <c r="AR51" s="414"/>
      <c r="AS51" s="414"/>
      <c r="AT51" s="414"/>
      <c r="AU51" s="414"/>
      <c r="AV51" s="414"/>
      <c r="AW51" s="414"/>
      <c r="AX51" s="414"/>
      <c r="AY51" s="414"/>
      <c r="AZ51" s="414"/>
      <c r="BA51" s="414"/>
      <c r="BB51" s="414"/>
      <c r="BC51" s="414"/>
      <c r="BD51" s="414"/>
      <c r="BE51" s="414"/>
      <c r="BF51" s="414"/>
      <c r="BG51" s="414"/>
      <c r="BH51" s="414"/>
      <c r="BI51" s="414"/>
      <c r="BJ51" s="414"/>
      <c r="BK51" s="414"/>
      <c r="BL51" s="414"/>
      <c r="BM51" s="414"/>
      <c r="BN51" s="414"/>
      <c r="BO51" s="414"/>
      <c r="BP51" s="414"/>
      <c r="BQ51" s="414"/>
      <c r="BR51" s="414"/>
      <c r="BS51" s="414"/>
      <c r="BT51" s="414"/>
      <c r="BU51" s="414"/>
      <c r="BV51" s="414"/>
      <c r="BW51" s="414"/>
      <c r="BX51" s="414"/>
      <c r="BY51" s="414"/>
      <c r="BZ51" s="414"/>
      <c r="CA51" s="414"/>
      <c r="CB51" s="414"/>
      <c r="CC51" s="414"/>
      <c r="CD51" s="414"/>
      <c r="CE51" s="414"/>
      <c r="CF51" s="414"/>
      <c r="CG51" s="414"/>
      <c r="CH51" s="414"/>
      <c r="CI51" s="414"/>
      <c r="CJ51" s="414"/>
      <c r="CK51" s="414"/>
      <c r="CL51" s="414"/>
      <c r="CM51" s="414"/>
      <c r="CN51" s="414"/>
      <c r="CO51" s="414"/>
      <c r="CP51" s="414"/>
      <c r="CQ51" s="414"/>
      <c r="CR51" s="414"/>
      <c r="CS51" s="414"/>
      <c r="CT51" s="414"/>
      <c r="CU51" s="414"/>
      <c r="CV51" s="414"/>
      <c r="CW51" s="414"/>
      <c r="CX51" s="414"/>
      <c r="CY51" s="414"/>
      <c r="CZ51" s="414"/>
      <c r="DA51" s="414"/>
      <c r="DB51" s="414"/>
      <c r="DC51" s="414"/>
      <c r="DD51" s="414"/>
      <c r="DE51" s="7"/>
    </row>
    <row r="52" spans="1:109" ht="15" customHeight="1">
      <c r="A52" s="8"/>
      <c r="B52" s="421"/>
      <c r="C52" s="422"/>
      <c r="D52" s="422"/>
      <c r="E52" s="422"/>
      <c r="F52" s="422"/>
      <c r="G52" s="422"/>
      <c r="H52" s="423"/>
      <c r="I52" s="414"/>
      <c r="J52" s="414"/>
      <c r="K52" s="414"/>
      <c r="L52" s="414"/>
      <c r="M52" s="414"/>
      <c r="N52" s="414"/>
      <c r="O52" s="414"/>
      <c r="P52" s="414"/>
      <c r="Q52" s="414"/>
      <c r="R52" s="414"/>
      <c r="S52" s="414"/>
      <c r="T52" s="414"/>
      <c r="U52" s="414"/>
      <c r="V52" s="414"/>
      <c r="W52" s="414"/>
      <c r="X52" s="414"/>
      <c r="Y52" s="414"/>
      <c r="Z52" s="414"/>
      <c r="AA52" s="414"/>
      <c r="AB52" s="414"/>
      <c r="AC52" s="414"/>
      <c r="AD52" s="414"/>
      <c r="AE52" s="414"/>
      <c r="AF52" s="414"/>
      <c r="AG52" s="414"/>
      <c r="AH52" s="414"/>
      <c r="AI52" s="414"/>
      <c r="AJ52" s="414"/>
      <c r="AK52" s="414"/>
      <c r="AL52" s="414"/>
      <c r="AM52" s="414"/>
      <c r="AN52" s="414"/>
      <c r="AO52" s="414"/>
      <c r="AP52" s="414"/>
      <c r="AQ52" s="414"/>
      <c r="AR52" s="414"/>
      <c r="AS52" s="414"/>
      <c r="AT52" s="414"/>
      <c r="AU52" s="414"/>
      <c r="AV52" s="414"/>
      <c r="AW52" s="414"/>
      <c r="AX52" s="414"/>
      <c r="AY52" s="414"/>
      <c r="AZ52" s="414"/>
      <c r="BA52" s="414"/>
      <c r="BB52" s="414"/>
      <c r="BC52" s="414"/>
      <c r="BD52" s="414"/>
      <c r="BE52" s="414"/>
      <c r="BF52" s="414"/>
      <c r="BG52" s="414"/>
      <c r="BH52" s="414"/>
      <c r="BI52" s="414"/>
      <c r="BJ52" s="414"/>
      <c r="BK52" s="414"/>
      <c r="BL52" s="414"/>
      <c r="BM52" s="414"/>
      <c r="BN52" s="414"/>
      <c r="BO52" s="414"/>
      <c r="BP52" s="414"/>
      <c r="BQ52" s="414"/>
      <c r="BR52" s="414"/>
      <c r="BS52" s="414"/>
      <c r="BT52" s="414"/>
      <c r="BU52" s="414"/>
      <c r="BV52" s="414"/>
      <c r="BW52" s="414"/>
      <c r="BX52" s="414"/>
      <c r="BY52" s="414"/>
      <c r="BZ52" s="414"/>
      <c r="CA52" s="414"/>
      <c r="CB52" s="414"/>
      <c r="CC52" s="414"/>
      <c r="CD52" s="414"/>
      <c r="CE52" s="414"/>
      <c r="CF52" s="414"/>
      <c r="CG52" s="414"/>
      <c r="CH52" s="414"/>
      <c r="CI52" s="414"/>
      <c r="CJ52" s="414"/>
      <c r="CK52" s="414"/>
      <c r="CL52" s="414"/>
      <c r="CM52" s="414"/>
      <c r="CN52" s="414"/>
      <c r="CO52" s="414"/>
      <c r="CP52" s="414"/>
      <c r="CQ52" s="414"/>
      <c r="CR52" s="414"/>
      <c r="CS52" s="414"/>
      <c r="CT52" s="414"/>
      <c r="CU52" s="414"/>
      <c r="CV52" s="414"/>
      <c r="CW52" s="414"/>
      <c r="CX52" s="414"/>
      <c r="CY52" s="414"/>
      <c r="CZ52" s="414"/>
      <c r="DA52" s="414"/>
      <c r="DB52" s="414"/>
      <c r="DC52" s="414"/>
      <c r="DD52" s="414"/>
      <c r="DE52" s="7"/>
    </row>
    <row r="53" spans="1:109" ht="15" customHeight="1">
      <c r="A53" s="3"/>
      <c r="B53" s="424"/>
      <c r="C53" s="425"/>
      <c r="D53" s="425"/>
      <c r="E53" s="425"/>
      <c r="F53" s="425"/>
      <c r="G53" s="425"/>
      <c r="H53" s="426"/>
      <c r="I53" s="415"/>
      <c r="J53" s="415"/>
      <c r="K53" s="415"/>
      <c r="L53" s="415"/>
      <c r="M53" s="415"/>
      <c r="N53" s="415"/>
      <c r="O53" s="415"/>
      <c r="P53" s="415"/>
      <c r="Q53" s="415"/>
      <c r="R53" s="415"/>
      <c r="S53" s="415"/>
      <c r="T53" s="415"/>
      <c r="U53" s="415"/>
      <c r="V53" s="415"/>
      <c r="W53" s="415"/>
      <c r="X53" s="415"/>
      <c r="Y53" s="415"/>
      <c r="Z53" s="415"/>
      <c r="AA53" s="415"/>
      <c r="AB53" s="415"/>
      <c r="AC53" s="415"/>
      <c r="AD53" s="415"/>
      <c r="AE53" s="415"/>
      <c r="AF53" s="415"/>
      <c r="AG53" s="415"/>
      <c r="AH53" s="415"/>
      <c r="AI53" s="415"/>
      <c r="AJ53" s="415"/>
      <c r="AK53" s="415"/>
      <c r="AL53" s="415"/>
      <c r="AM53" s="415"/>
      <c r="AN53" s="415"/>
      <c r="AO53" s="415"/>
      <c r="AP53" s="415"/>
      <c r="AQ53" s="415"/>
      <c r="AR53" s="415"/>
      <c r="AS53" s="415"/>
      <c r="AT53" s="415"/>
      <c r="AU53" s="415"/>
      <c r="AV53" s="415"/>
      <c r="AW53" s="415"/>
      <c r="AX53" s="415"/>
      <c r="AY53" s="415"/>
      <c r="AZ53" s="415"/>
      <c r="BA53" s="415"/>
      <c r="BB53" s="415"/>
      <c r="BC53" s="415"/>
      <c r="BD53" s="415"/>
      <c r="BE53" s="415"/>
      <c r="BF53" s="415"/>
      <c r="BG53" s="415"/>
      <c r="BH53" s="415"/>
      <c r="BI53" s="415"/>
      <c r="BJ53" s="415"/>
      <c r="BK53" s="415"/>
      <c r="BL53" s="415"/>
      <c r="BM53" s="415"/>
      <c r="BN53" s="415"/>
      <c r="BO53" s="415"/>
      <c r="BP53" s="415"/>
      <c r="BQ53" s="415"/>
      <c r="BR53" s="415"/>
      <c r="BS53" s="415"/>
      <c r="BT53" s="415"/>
      <c r="BU53" s="415"/>
      <c r="BV53" s="415"/>
      <c r="BW53" s="415"/>
      <c r="BX53" s="415"/>
      <c r="BY53" s="415"/>
      <c r="BZ53" s="415"/>
      <c r="CA53" s="415"/>
      <c r="CB53" s="415"/>
      <c r="CC53" s="415"/>
      <c r="CD53" s="415"/>
      <c r="CE53" s="415"/>
      <c r="CF53" s="415"/>
      <c r="CG53" s="415"/>
      <c r="CH53" s="415"/>
      <c r="CI53" s="415"/>
      <c r="CJ53" s="415"/>
      <c r="CK53" s="415"/>
      <c r="CL53" s="415"/>
      <c r="CM53" s="415"/>
      <c r="CN53" s="415"/>
      <c r="CO53" s="415"/>
      <c r="CP53" s="415"/>
      <c r="CQ53" s="415"/>
      <c r="CR53" s="415"/>
      <c r="CS53" s="415"/>
      <c r="CT53" s="415"/>
      <c r="CU53" s="415"/>
      <c r="CV53" s="415"/>
      <c r="CW53" s="415"/>
      <c r="CX53" s="415"/>
      <c r="CY53" s="415"/>
      <c r="CZ53" s="415"/>
      <c r="DA53" s="415"/>
      <c r="DB53" s="415"/>
      <c r="DC53" s="415"/>
      <c r="DD53" s="415"/>
      <c r="DE53" s="7"/>
    </row>
    <row r="54" spans="1:109" ht="15" customHeight="1">
      <c r="A54" s="3"/>
      <c r="B54" s="427"/>
      <c r="C54" s="428"/>
      <c r="D54" s="428"/>
      <c r="E54" s="428"/>
      <c r="F54" s="428"/>
      <c r="G54" s="428"/>
      <c r="H54" s="429"/>
      <c r="I54" s="415"/>
      <c r="J54" s="415"/>
      <c r="K54" s="415"/>
      <c r="L54" s="415"/>
      <c r="M54" s="415"/>
      <c r="N54" s="415"/>
      <c r="O54" s="415"/>
      <c r="P54" s="415"/>
      <c r="Q54" s="415"/>
      <c r="R54" s="415"/>
      <c r="S54" s="415"/>
      <c r="T54" s="415"/>
      <c r="U54" s="415"/>
      <c r="V54" s="415"/>
      <c r="W54" s="415"/>
      <c r="X54" s="415"/>
      <c r="Y54" s="415"/>
      <c r="Z54" s="415"/>
      <c r="AA54" s="415"/>
      <c r="AB54" s="415"/>
      <c r="AC54" s="415"/>
      <c r="AD54" s="415"/>
      <c r="AE54" s="415"/>
      <c r="AF54" s="415"/>
      <c r="AG54" s="415"/>
      <c r="AH54" s="415"/>
      <c r="AI54" s="415"/>
      <c r="AJ54" s="415"/>
      <c r="AK54" s="415"/>
      <c r="AL54" s="415"/>
      <c r="AM54" s="415"/>
      <c r="AN54" s="415"/>
      <c r="AO54" s="415"/>
      <c r="AP54" s="415"/>
      <c r="AQ54" s="415"/>
      <c r="AR54" s="415"/>
      <c r="AS54" s="415"/>
      <c r="AT54" s="415"/>
      <c r="AU54" s="415"/>
      <c r="AV54" s="415"/>
      <c r="AW54" s="415"/>
      <c r="AX54" s="415"/>
      <c r="AY54" s="415"/>
      <c r="AZ54" s="415"/>
      <c r="BA54" s="415"/>
      <c r="BB54" s="415"/>
      <c r="BC54" s="415"/>
      <c r="BD54" s="415"/>
      <c r="BE54" s="415"/>
      <c r="BF54" s="415"/>
      <c r="BG54" s="415"/>
      <c r="BH54" s="415"/>
      <c r="BI54" s="415"/>
      <c r="BJ54" s="415"/>
      <c r="BK54" s="415"/>
      <c r="BL54" s="415"/>
      <c r="BM54" s="415"/>
      <c r="BN54" s="415"/>
      <c r="BO54" s="415"/>
      <c r="BP54" s="415"/>
      <c r="BQ54" s="415"/>
      <c r="BR54" s="415"/>
      <c r="BS54" s="415"/>
      <c r="BT54" s="415"/>
      <c r="BU54" s="415"/>
      <c r="BV54" s="415"/>
      <c r="BW54" s="415"/>
      <c r="BX54" s="415"/>
      <c r="BY54" s="415"/>
      <c r="BZ54" s="415"/>
      <c r="CA54" s="415"/>
      <c r="CB54" s="415"/>
      <c r="CC54" s="415"/>
      <c r="CD54" s="415"/>
      <c r="CE54" s="415"/>
      <c r="CF54" s="415"/>
      <c r="CG54" s="415"/>
      <c r="CH54" s="415"/>
      <c r="CI54" s="415"/>
      <c r="CJ54" s="415"/>
      <c r="CK54" s="415"/>
      <c r="CL54" s="415"/>
      <c r="CM54" s="415"/>
      <c r="CN54" s="415"/>
      <c r="CO54" s="415"/>
      <c r="CP54" s="415"/>
      <c r="CQ54" s="415"/>
      <c r="CR54" s="415"/>
      <c r="CS54" s="415"/>
      <c r="CT54" s="415"/>
      <c r="CU54" s="415"/>
      <c r="CV54" s="415"/>
      <c r="CW54" s="415"/>
      <c r="CX54" s="415"/>
      <c r="CY54" s="415"/>
      <c r="CZ54" s="415"/>
      <c r="DA54" s="415"/>
      <c r="DB54" s="415"/>
      <c r="DC54" s="415"/>
      <c r="DD54" s="415"/>
      <c r="DE54" s="7"/>
    </row>
    <row r="55" spans="1:109" ht="15" customHeight="1" thickBot="1">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4"/>
    </row>
    <row r="56" spans="1:109" ht="15" customHeight="1">
      <c r="A56" s="388"/>
      <c r="B56" s="389"/>
      <c r="C56" s="389"/>
      <c r="D56" s="389"/>
      <c r="E56" s="389"/>
      <c r="F56" s="389"/>
      <c r="G56" s="389"/>
      <c r="H56" s="389"/>
      <c r="I56" s="389"/>
      <c r="J56" s="389"/>
      <c r="K56" s="389"/>
      <c r="L56" s="389"/>
      <c r="M56" s="389"/>
      <c r="N56" s="389"/>
      <c r="O56" s="389"/>
      <c r="P56" s="389"/>
      <c r="Q56" s="389"/>
      <c r="R56" s="389"/>
      <c r="S56" s="389"/>
      <c r="T56" s="389"/>
      <c r="U56" s="389"/>
      <c r="V56" s="389"/>
      <c r="W56" s="389"/>
      <c r="X56" s="389"/>
      <c r="Y56" s="389"/>
      <c r="Z56" s="389"/>
      <c r="AA56" s="389"/>
      <c r="AB56" s="389"/>
      <c r="AC56" s="389"/>
      <c r="AD56" s="389"/>
      <c r="AE56" s="389"/>
      <c r="AF56" s="389"/>
      <c r="AG56" s="389"/>
      <c r="AH56" s="389"/>
      <c r="AI56" s="389"/>
      <c r="AJ56" s="389"/>
      <c r="AK56" s="389"/>
      <c r="AL56" s="389"/>
      <c r="AM56" s="389"/>
      <c r="AN56" s="389"/>
      <c r="AO56" s="389"/>
      <c r="AP56" s="389"/>
      <c r="AQ56" s="389"/>
      <c r="AR56" s="389"/>
      <c r="AS56" s="389"/>
      <c r="AT56" s="389"/>
      <c r="AU56" s="389"/>
      <c r="AV56" s="389"/>
      <c r="AW56" s="389"/>
      <c r="AX56" s="389"/>
      <c r="AY56" s="389"/>
      <c r="AZ56" s="389"/>
      <c r="BA56" s="389"/>
      <c r="BB56" s="389"/>
      <c r="BC56" s="389"/>
      <c r="BD56" s="389"/>
      <c r="BE56" s="389"/>
      <c r="BF56" s="389"/>
      <c r="BG56" s="389"/>
      <c r="BH56" s="389"/>
      <c r="BI56" s="389"/>
      <c r="BJ56" s="389"/>
      <c r="BK56" s="389"/>
      <c r="BL56" s="389"/>
      <c r="BM56" s="389"/>
      <c r="BN56" s="389"/>
      <c r="BO56" s="389"/>
      <c r="BP56" s="389"/>
      <c r="BQ56" s="389"/>
      <c r="BR56" s="389"/>
      <c r="BS56" s="389"/>
      <c r="BT56" s="389"/>
      <c r="BU56" s="389"/>
      <c r="BV56" s="389"/>
      <c r="BW56" s="389"/>
      <c r="BX56" s="389"/>
      <c r="BY56" s="389"/>
      <c r="BZ56" s="389"/>
      <c r="CA56" s="389"/>
      <c r="CB56" s="389"/>
      <c r="CC56" s="389"/>
      <c r="CD56" s="389"/>
      <c r="CE56" s="389"/>
      <c r="CF56" s="389"/>
      <c r="CG56" s="389"/>
      <c r="CH56" s="389"/>
      <c r="CI56" s="389"/>
      <c r="CJ56" s="389"/>
      <c r="CK56" s="389"/>
      <c r="CL56" s="389"/>
      <c r="CM56" s="389"/>
      <c r="CN56" s="389"/>
      <c r="CO56" s="389"/>
      <c r="CP56" s="389"/>
      <c r="CQ56" s="389"/>
      <c r="CR56" s="389"/>
      <c r="CS56" s="389"/>
      <c r="CT56" s="389"/>
      <c r="CU56" s="389"/>
      <c r="CV56" s="361" t="s">
        <v>1</v>
      </c>
      <c r="CW56" s="361"/>
      <c r="CX56" s="361"/>
      <c r="CY56" s="361"/>
      <c r="CZ56" s="361"/>
      <c r="DA56" s="361"/>
      <c r="DB56" s="361"/>
      <c r="DC56" s="361"/>
      <c r="DD56" s="361"/>
      <c r="DE56" s="362"/>
    </row>
    <row r="57" spans="1:109" ht="15" customHeight="1">
      <c r="A57" s="390"/>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c r="BQ57" s="391"/>
      <c r="BR57" s="391"/>
      <c r="BS57" s="391"/>
      <c r="BT57" s="391"/>
      <c r="BU57" s="391"/>
      <c r="BV57" s="391"/>
      <c r="BW57" s="391"/>
      <c r="BX57" s="391"/>
      <c r="BY57" s="391"/>
      <c r="BZ57" s="391"/>
      <c r="CA57" s="391"/>
      <c r="CB57" s="391"/>
      <c r="CC57" s="391"/>
      <c r="CD57" s="391"/>
      <c r="CE57" s="391"/>
      <c r="CF57" s="391"/>
      <c r="CG57" s="391"/>
      <c r="CH57" s="391"/>
      <c r="CI57" s="391"/>
      <c r="CJ57" s="391"/>
      <c r="CK57" s="391"/>
      <c r="CL57" s="391"/>
      <c r="CM57" s="391"/>
      <c r="CN57" s="391"/>
      <c r="CO57" s="391"/>
      <c r="CP57" s="391"/>
      <c r="CQ57" s="391"/>
      <c r="CR57" s="391"/>
      <c r="CS57" s="391"/>
      <c r="CT57" s="391"/>
      <c r="CU57" s="391"/>
      <c r="CV57" s="363"/>
      <c r="CW57" s="363"/>
      <c r="CX57" s="363"/>
      <c r="CY57" s="363"/>
      <c r="CZ57" s="363"/>
      <c r="DA57" s="363"/>
      <c r="DB57" s="363"/>
      <c r="DC57" s="363"/>
      <c r="DD57" s="363"/>
      <c r="DE57" s="364"/>
    </row>
    <row r="58" spans="1:109" ht="15" customHeight="1">
      <c r="A58" s="390"/>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1"/>
      <c r="CG58" s="391"/>
      <c r="CH58" s="391"/>
      <c r="CI58" s="391"/>
      <c r="CJ58" s="391"/>
      <c r="CK58" s="391"/>
      <c r="CL58" s="391"/>
      <c r="CM58" s="391"/>
      <c r="CN58" s="391"/>
      <c r="CO58" s="391"/>
      <c r="CP58" s="391"/>
      <c r="CQ58" s="391"/>
      <c r="CR58" s="391"/>
      <c r="CS58" s="391"/>
      <c r="CT58" s="391"/>
      <c r="CU58" s="391"/>
      <c r="CV58" s="363"/>
      <c r="CW58" s="363"/>
      <c r="CX58" s="363"/>
      <c r="CY58" s="363"/>
      <c r="CZ58" s="363"/>
      <c r="DA58" s="363"/>
      <c r="DB58" s="363"/>
      <c r="DC58" s="363"/>
      <c r="DD58" s="363"/>
      <c r="DE58" s="364"/>
    </row>
    <row r="59" spans="1:109" ht="15" customHeight="1">
      <c r="A59" s="390"/>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391"/>
      <c r="BP59" s="391"/>
      <c r="BQ59" s="391"/>
      <c r="BR59" s="391"/>
      <c r="BS59" s="391"/>
      <c r="BT59" s="391"/>
      <c r="BU59" s="391"/>
      <c r="BV59" s="391"/>
      <c r="BW59" s="391"/>
      <c r="BX59" s="391"/>
      <c r="BY59" s="391"/>
      <c r="BZ59" s="391"/>
      <c r="CA59" s="391"/>
      <c r="CB59" s="391"/>
      <c r="CC59" s="391"/>
      <c r="CD59" s="391"/>
      <c r="CE59" s="391"/>
      <c r="CF59" s="391"/>
      <c r="CG59" s="391"/>
      <c r="CH59" s="391"/>
      <c r="CI59" s="391"/>
      <c r="CJ59" s="391"/>
      <c r="CK59" s="391"/>
      <c r="CL59" s="391"/>
      <c r="CM59" s="391"/>
      <c r="CN59" s="391"/>
      <c r="CO59" s="391"/>
      <c r="CP59" s="391"/>
      <c r="CQ59" s="391"/>
      <c r="CR59" s="391"/>
      <c r="CS59" s="391"/>
      <c r="CT59" s="391"/>
      <c r="CU59" s="391"/>
      <c r="CV59" s="363"/>
      <c r="CW59" s="363"/>
      <c r="CX59" s="363"/>
      <c r="CY59" s="363"/>
      <c r="CZ59" s="363"/>
      <c r="DA59" s="363"/>
      <c r="DB59" s="363"/>
      <c r="DC59" s="363"/>
      <c r="DD59" s="363"/>
      <c r="DE59" s="364"/>
    </row>
    <row r="60" spans="1:109" ht="15" customHeight="1">
      <c r="A60" s="390"/>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391"/>
      <c r="BC60" s="391"/>
      <c r="BD60" s="391"/>
      <c r="BE60" s="391"/>
      <c r="BF60" s="391"/>
      <c r="BG60" s="391"/>
      <c r="BH60" s="391"/>
      <c r="BI60" s="391"/>
      <c r="BJ60" s="391"/>
      <c r="BK60" s="391"/>
      <c r="BL60" s="391"/>
      <c r="BM60" s="391"/>
      <c r="BN60" s="391"/>
      <c r="BO60" s="391"/>
      <c r="BP60" s="391"/>
      <c r="BQ60" s="391"/>
      <c r="BR60" s="391"/>
      <c r="BS60" s="391"/>
      <c r="BT60" s="391"/>
      <c r="BU60" s="391"/>
      <c r="BV60" s="391"/>
      <c r="BW60" s="391"/>
      <c r="BX60" s="391"/>
      <c r="BY60" s="391"/>
      <c r="BZ60" s="391"/>
      <c r="CA60" s="391"/>
      <c r="CB60" s="391"/>
      <c r="CC60" s="391"/>
      <c r="CD60" s="391"/>
      <c r="CE60" s="391"/>
      <c r="CF60" s="391"/>
      <c r="CG60" s="391"/>
      <c r="CH60" s="391"/>
      <c r="CI60" s="391"/>
      <c r="CJ60" s="391"/>
      <c r="CK60" s="391"/>
      <c r="CL60" s="391"/>
      <c r="CM60" s="391"/>
      <c r="CN60" s="391"/>
      <c r="CO60" s="391"/>
      <c r="CP60" s="391"/>
      <c r="CQ60" s="391"/>
      <c r="CR60" s="391"/>
      <c r="CS60" s="391"/>
      <c r="CT60" s="391"/>
      <c r="CU60" s="391"/>
      <c r="CV60" s="363"/>
      <c r="CW60" s="363"/>
      <c r="CX60" s="363"/>
      <c r="CY60" s="363"/>
      <c r="CZ60" s="363"/>
      <c r="DA60" s="363"/>
      <c r="DB60" s="363"/>
      <c r="DC60" s="363"/>
      <c r="DD60" s="363"/>
      <c r="DE60" s="364"/>
    </row>
    <row r="61" spans="1:109" ht="15" customHeight="1" thickBot="1">
      <c r="A61" s="390"/>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1"/>
      <c r="CG61" s="391"/>
      <c r="CH61" s="391"/>
      <c r="CI61" s="391"/>
      <c r="CJ61" s="391"/>
      <c r="CK61" s="391"/>
      <c r="CL61" s="391"/>
      <c r="CM61" s="391"/>
      <c r="CN61" s="391"/>
      <c r="CO61" s="391"/>
      <c r="CP61" s="391"/>
      <c r="CQ61" s="391"/>
      <c r="CR61" s="391"/>
      <c r="CS61" s="391"/>
      <c r="CT61" s="391"/>
      <c r="CU61" s="391"/>
      <c r="CV61" s="365"/>
      <c r="CW61" s="365"/>
      <c r="CX61" s="365"/>
      <c r="CY61" s="365"/>
      <c r="CZ61" s="365"/>
      <c r="DA61" s="365"/>
      <c r="DB61" s="365"/>
      <c r="DC61" s="365"/>
      <c r="DD61" s="365"/>
      <c r="DE61" s="366"/>
    </row>
    <row r="62" spans="1:109" ht="15" customHeight="1">
      <c r="A62" s="392" t="s">
        <v>31</v>
      </c>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c r="BL62" s="393"/>
      <c r="BM62" s="393"/>
      <c r="BN62" s="393"/>
      <c r="BO62" s="393"/>
      <c r="BP62" s="393"/>
      <c r="BQ62" s="393"/>
      <c r="BR62" s="393"/>
      <c r="BS62" s="393"/>
      <c r="BT62" s="393"/>
      <c r="BU62" s="393"/>
      <c r="BV62" s="393"/>
      <c r="BW62" s="393"/>
      <c r="BX62" s="393"/>
      <c r="BY62" s="393"/>
      <c r="BZ62" s="393"/>
      <c r="CA62" s="393"/>
      <c r="CB62" s="393"/>
      <c r="CC62" s="393"/>
      <c r="CD62" s="393"/>
      <c r="CE62" s="393"/>
      <c r="CF62" s="393"/>
      <c r="CG62" s="393"/>
      <c r="CH62" s="393"/>
      <c r="CI62" s="393"/>
      <c r="CJ62" s="393"/>
      <c r="CK62" s="393"/>
      <c r="CL62" s="393"/>
      <c r="CM62" s="393"/>
      <c r="CN62" s="393"/>
      <c r="CO62" s="393"/>
      <c r="CP62" s="367" t="s">
        <v>3</v>
      </c>
      <c r="CQ62" s="367"/>
      <c r="CR62" s="367"/>
      <c r="CS62" s="367"/>
      <c r="CT62" s="367"/>
      <c r="CU62" s="367"/>
      <c r="CV62" s="367"/>
      <c r="CW62" s="367"/>
      <c r="CX62" s="367"/>
      <c r="CY62" s="367"/>
      <c r="CZ62" s="367"/>
      <c r="DA62" s="367"/>
      <c r="DB62" s="367"/>
      <c r="DC62" s="367"/>
      <c r="DD62" s="367"/>
      <c r="DE62" s="368"/>
    </row>
    <row r="63" spans="1:109" ht="15" customHeight="1">
      <c r="A63" s="392"/>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c r="BL63" s="393"/>
      <c r="BM63" s="393"/>
      <c r="BN63" s="393"/>
      <c r="BO63" s="393"/>
      <c r="BP63" s="393"/>
      <c r="BQ63" s="393"/>
      <c r="BR63" s="393"/>
      <c r="BS63" s="393"/>
      <c r="BT63" s="393"/>
      <c r="BU63" s="393"/>
      <c r="BV63" s="393"/>
      <c r="BW63" s="393"/>
      <c r="BX63" s="393"/>
      <c r="BY63" s="393"/>
      <c r="BZ63" s="393"/>
      <c r="CA63" s="393"/>
      <c r="CB63" s="393"/>
      <c r="CC63" s="393"/>
      <c r="CD63" s="393"/>
      <c r="CE63" s="393"/>
      <c r="CF63" s="393"/>
      <c r="CG63" s="393"/>
      <c r="CH63" s="393"/>
      <c r="CI63" s="393"/>
      <c r="CJ63" s="393"/>
      <c r="CK63" s="393"/>
      <c r="CL63" s="393"/>
      <c r="CM63" s="393"/>
      <c r="CN63" s="393"/>
      <c r="CO63" s="393"/>
      <c r="CP63" s="367"/>
      <c r="CQ63" s="367"/>
      <c r="CR63" s="367"/>
      <c r="CS63" s="367"/>
      <c r="CT63" s="367"/>
      <c r="CU63" s="367"/>
      <c r="CV63" s="367"/>
      <c r="CW63" s="367"/>
      <c r="CX63" s="367"/>
      <c r="CY63" s="367"/>
      <c r="CZ63" s="367"/>
      <c r="DA63" s="367"/>
      <c r="DB63" s="367"/>
      <c r="DC63" s="367"/>
      <c r="DD63" s="367"/>
      <c r="DE63" s="368"/>
    </row>
    <row r="64" spans="1:109" ht="15" customHeight="1">
      <c r="A64" s="375" t="s">
        <v>4</v>
      </c>
      <c r="B64" s="369"/>
      <c r="C64" s="369"/>
      <c r="D64" s="369"/>
      <c r="E64" s="369"/>
      <c r="F64" s="369"/>
      <c r="G64" s="369"/>
      <c r="H64" s="369"/>
      <c r="I64" s="369"/>
      <c r="J64" s="369"/>
      <c r="K64" s="369"/>
      <c r="L64" s="369"/>
      <c r="M64" s="369"/>
      <c r="N64" s="369"/>
      <c r="O64" s="369"/>
      <c r="P64" s="369"/>
      <c r="Q64" s="369"/>
      <c r="R64" s="369"/>
      <c r="S64" s="370">
        <v>559082</v>
      </c>
      <c r="T64" s="370"/>
      <c r="U64" s="370"/>
      <c r="V64" s="370"/>
      <c r="W64" s="370"/>
      <c r="X64" s="370"/>
      <c r="Y64" s="370"/>
      <c r="Z64" s="370"/>
      <c r="AA64" s="370"/>
      <c r="AB64" s="370"/>
      <c r="AC64" s="370"/>
      <c r="AD64" s="370"/>
      <c r="AE64" s="369" t="s">
        <v>5</v>
      </c>
      <c r="AF64" s="369"/>
      <c r="AG64" s="369"/>
      <c r="AH64" s="369"/>
      <c r="AI64" s="369"/>
      <c r="AJ64" s="369"/>
      <c r="AK64" s="369"/>
      <c r="AL64" s="369"/>
      <c r="AM64" s="369"/>
      <c r="AN64" s="369"/>
      <c r="AO64" s="369"/>
      <c r="AP64" s="369"/>
      <c r="AQ64" s="369"/>
      <c r="AR64" s="369"/>
      <c r="AS64" s="394">
        <v>45678</v>
      </c>
      <c r="AT64" s="394"/>
      <c r="AU64" s="394"/>
      <c r="AV64" s="394"/>
      <c r="AW64" s="394"/>
      <c r="AX64" s="394"/>
      <c r="AY64" s="394"/>
      <c r="AZ64" s="394"/>
      <c r="BA64" s="394"/>
      <c r="BB64" s="394"/>
      <c r="BC64" s="394"/>
      <c r="BD64" s="394"/>
      <c r="BE64" s="394"/>
      <c r="BF64" s="394"/>
      <c r="BG64" s="369" t="s">
        <v>6</v>
      </c>
      <c r="BH64" s="369"/>
      <c r="BI64" s="369"/>
      <c r="BJ64" s="369"/>
      <c r="BK64" s="369"/>
      <c r="BL64" s="369"/>
      <c r="BM64" s="369"/>
      <c r="BN64" s="369"/>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71" t="s">
        <v>7</v>
      </c>
      <c r="CO64" s="371"/>
      <c r="CP64" s="371"/>
      <c r="CQ64" s="372" t="s">
        <v>8</v>
      </c>
      <c r="CR64" s="372"/>
      <c r="CS64" s="372"/>
      <c r="CT64" s="372"/>
      <c r="CU64" s="372"/>
      <c r="CV64" s="372"/>
      <c r="CW64" s="372"/>
      <c r="CX64" s="372"/>
      <c r="CY64" s="372"/>
      <c r="CZ64" s="372"/>
      <c r="DA64" s="372"/>
      <c r="DB64" s="372"/>
      <c r="DC64" s="372"/>
      <c r="DD64" s="372"/>
      <c r="DE64" s="373"/>
    </row>
    <row r="65" spans="1:109" ht="15" customHeight="1">
      <c r="A65" s="375" t="s">
        <v>9</v>
      </c>
      <c r="B65" s="369"/>
      <c r="C65" s="369"/>
      <c r="D65" s="369"/>
      <c r="E65" s="369"/>
      <c r="F65" s="369"/>
      <c r="G65" s="369"/>
      <c r="H65" s="369"/>
      <c r="I65" s="369"/>
      <c r="J65" s="369"/>
      <c r="K65" s="369"/>
      <c r="L65" s="369"/>
      <c r="M65" s="369"/>
      <c r="N65" s="369"/>
      <c r="O65" s="369"/>
      <c r="P65" s="369"/>
      <c r="Q65" s="369"/>
      <c r="R65" s="369"/>
      <c r="S65" s="370" t="s">
        <v>10</v>
      </c>
      <c r="T65" s="370"/>
      <c r="U65" s="370"/>
      <c r="V65" s="370"/>
      <c r="W65" s="370"/>
      <c r="X65" s="370"/>
      <c r="Y65" s="370"/>
      <c r="Z65" s="370"/>
      <c r="AA65" s="370"/>
      <c r="AB65" s="370"/>
      <c r="AC65" s="370"/>
      <c r="AD65" s="370"/>
      <c r="AE65" s="369" t="s">
        <v>11</v>
      </c>
      <c r="AF65" s="369"/>
      <c r="AG65" s="369"/>
      <c r="AH65" s="369"/>
      <c r="AI65" s="369"/>
      <c r="AJ65" s="369"/>
      <c r="AK65" s="369"/>
      <c r="AL65" s="369"/>
      <c r="AM65" s="369"/>
      <c r="AN65" s="369"/>
      <c r="AO65" s="369"/>
      <c r="AP65" s="369"/>
      <c r="AQ65" s="369"/>
      <c r="AR65" s="369"/>
      <c r="AS65" s="370" t="s">
        <v>12</v>
      </c>
      <c r="AT65" s="370"/>
      <c r="AU65" s="370"/>
      <c r="AV65" s="370"/>
      <c r="AW65" s="370"/>
      <c r="AX65" s="370"/>
      <c r="AY65" s="370"/>
      <c r="AZ65" s="370"/>
      <c r="BA65" s="370"/>
      <c r="BB65" s="370"/>
      <c r="BC65" s="370"/>
      <c r="BD65" s="370"/>
      <c r="BE65" s="370"/>
      <c r="BF65" s="370"/>
      <c r="BG65" s="369"/>
      <c r="BH65" s="369"/>
      <c r="BI65" s="369"/>
      <c r="BJ65" s="369"/>
      <c r="BK65" s="369"/>
      <c r="BL65" s="369"/>
      <c r="BM65" s="369"/>
      <c r="BN65" s="369"/>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71"/>
      <c r="CO65" s="371"/>
      <c r="CP65" s="371"/>
      <c r="CQ65" s="372" t="s">
        <v>13</v>
      </c>
      <c r="CR65" s="372"/>
      <c r="CS65" s="372"/>
      <c r="CT65" s="372"/>
      <c r="CU65" s="372"/>
      <c r="CV65" s="372"/>
      <c r="CW65" s="372"/>
      <c r="CX65" s="372"/>
      <c r="CY65" s="372"/>
      <c r="CZ65" s="372"/>
      <c r="DA65" s="372"/>
      <c r="DB65" s="372"/>
      <c r="DC65" s="372"/>
      <c r="DD65" s="372"/>
      <c r="DE65" s="373"/>
    </row>
    <row r="66" spans="1:109" ht="15" customHeight="1">
      <c r="A66" s="375" t="s">
        <v>14</v>
      </c>
      <c r="B66" s="369"/>
      <c r="C66" s="369"/>
      <c r="D66" s="369"/>
      <c r="E66" s="369"/>
      <c r="F66" s="369"/>
      <c r="G66" s="369"/>
      <c r="H66" s="369"/>
      <c r="I66" s="369"/>
      <c r="J66" s="369"/>
      <c r="K66" s="369"/>
      <c r="L66" s="369"/>
      <c r="M66" s="369"/>
      <c r="N66" s="369"/>
      <c r="O66" s="369"/>
      <c r="P66" s="369"/>
      <c r="Q66" s="369"/>
      <c r="R66" s="369"/>
      <c r="S66" s="370" t="s">
        <v>15</v>
      </c>
      <c r="T66" s="370"/>
      <c r="U66" s="370"/>
      <c r="V66" s="370"/>
      <c r="W66" s="370"/>
      <c r="X66" s="370"/>
      <c r="Y66" s="370"/>
      <c r="Z66" s="370"/>
      <c r="AA66" s="370"/>
      <c r="AB66" s="370"/>
      <c r="AC66" s="370"/>
      <c r="AD66" s="370"/>
      <c r="AE66" s="369" t="s">
        <v>16</v>
      </c>
      <c r="AF66" s="369"/>
      <c r="AG66" s="369"/>
      <c r="AH66" s="369"/>
      <c r="AI66" s="369"/>
      <c r="AJ66" s="369"/>
      <c r="AK66" s="369"/>
      <c r="AL66" s="369"/>
      <c r="AM66" s="369"/>
      <c r="AN66" s="369"/>
      <c r="AO66" s="369"/>
      <c r="AP66" s="369"/>
      <c r="AQ66" s="369"/>
      <c r="AR66" s="369"/>
      <c r="AS66" s="370" t="s">
        <v>17</v>
      </c>
      <c r="AT66" s="370"/>
      <c r="AU66" s="370"/>
      <c r="AV66" s="370"/>
      <c r="AW66" s="370"/>
      <c r="AX66" s="370"/>
      <c r="AY66" s="370"/>
      <c r="AZ66" s="370"/>
      <c r="BA66" s="370"/>
      <c r="BB66" s="370"/>
      <c r="BC66" s="370"/>
      <c r="BD66" s="370"/>
      <c r="BE66" s="370"/>
      <c r="BF66" s="370"/>
      <c r="BG66" s="369"/>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71"/>
      <c r="CO66" s="371"/>
      <c r="CP66" s="371"/>
      <c r="CQ66" s="372" t="s">
        <v>18</v>
      </c>
      <c r="CR66" s="372"/>
      <c r="CS66" s="372"/>
      <c r="CT66" s="372"/>
      <c r="CU66" s="372"/>
      <c r="CV66" s="372"/>
      <c r="CW66" s="372"/>
      <c r="CX66" s="372"/>
      <c r="CY66" s="372"/>
      <c r="CZ66" s="372"/>
      <c r="DA66" s="372"/>
      <c r="DB66" s="372"/>
      <c r="DC66" s="372"/>
      <c r="DD66" s="372"/>
      <c r="DE66" s="373"/>
    </row>
    <row r="67" spans="1:109" ht="15" customHeight="1">
      <c r="A67" s="3"/>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CN67" s="4"/>
      <c r="CO67" s="4"/>
      <c r="CP67" s="4"/>
      <c r="CQ67" s="4"/>
      <c r="CR67" s="4"/>
      <c r="CS67" s="4"/>
      <c r="CT67" s="4"/>
      <c r="CU67" s="4"/>
      <c r="CV67" s="4"/>
      <c r="CW67" s="4"/>
      <c r="CX67" s="4"/>
      <c r="CY67" s="4"/>
      <c r="CZ67" s="4"/>
      <c r="DA67" s="4"/>
      <c r="DB67" s="4"/>
      <c r="DC67" s="4"/>
      <c r="DD67" s="4"/>
      <c r="DE67" s="23"/>
    </row>
    <row r="68" spans="1:109" ht="15" customHeight="1">
      <c r="A68" s="6"/>
      <c r="B68" s="376" t="s">
        <v>32</v>
      </c>
      <c r="C68" s="377"/>
      <c r="D68" s="377"/>
      <c r="E68" s="377"/>
      <c r="F68" s="377"/>
      <c r="G68" s="377"/>
      <c r="H68" s="378"/>
      <c r="I68" s="376" t="s">
        <v>33</v>
      </c>
      <c r="J68" s="377"/>
      <c r="K68" s="377"/>
      <c r="L68" s="377"/>
      <c r="M68" s="377"/>
      <c r="N68" s="377"/>
      <c r="O68" s="378"/>
      <c r="P68" s="376" t="s">
        <v>34</v>
      </c>
      <c r="Q68" s="377"/>
      <c r="R68" s="377"/>
      <c r="S68" s="377"/>
      <c r="T68" s="377"/>
      <c r="U68" s="377"/>
      <c r="V68" s="378"/>
      <c r="W68" s="376" t="s">
        <v>35</v>
      </c>
      <c r="X68" s="377"/>
      <c r="Y68" s="377"/>
      <c r="Z68" s="377"/>
      <c r="AA68" s="377"/>
      <c r="AB68" s="377"/>
      <c r="AC68" s="378"/>
      <c r="AD68" s="376" t="s">
        <v>36</v>
      </c>
      <c r="AE68" s="377"/>
      <c r="AF68" s="377"/>
      <c r="AG68" s="377"/>
      <c r="AH68" s="377"/>
      <c r="AI68" s="377"/>
      <c r="AJ68" s="378"/>
      <c r="AK68" s="376" t="s">
        <v>37</v>
      </c>
      <c r="AL68" s="377"/>
      <c r="AM68" s="377"/>
      <c r="AN68" s="377"/>
      <c r="AO68" s="377"/>
      <c r="AP68" s="377"/>
      <c r="AQ68" s="378"/>
      <c r="AR68" s="376" t="s">
        <v>38</v>
      </c>
      <c r="AS68" s="377"/>
      <c r="AT68" s="377"/>
      <c r="AU68" s="377"/>
      <c r="AV68" s="377"/>
      <c r="AW68" s="377"/>
      <c r="AX68" s="378"/>
      <c r="AY68" s="376" t="s">
        <v>39</v>
      </c>
      <c r="AZ68" s="377"/>
      <c r="BA68" s="377"/>
      <c r="BB68" s="377"/>
      <c r="BC68" s="377"/>
      <c r="BD68" s="377"/>
      <c r="BE68" s="378"/>
      <c r="BF68" s="376" t="s">
        <v>24</v>
      </c>
      <c r="BG68" s="377"/>
      <c r="BH68" s="377"/>
      <c r="BI68" s="377"/>
      <c r="BJ68" s="377"/>
      <c r="BK68" s="377"/>
      <c r="BL68" s="378"/>
      <c r="BM68" s="376" t="s">
        <v>40</v>
      </c>
      <c r="BN68" s="377"/>
      <c r="BO68" s="377"/>
      <c r="BP68" s="377"/>
      <c r="BQ68" s="377"/>
      <c r="BR68" s="377"/>
      <c r="BS68" s="377"/>
      <c r="BT68" s="377"/>
      <c r="BU68" s="377"/>
      <c r="BV68" s="377"/>
      <c r="BW68" s="377"/>
      <c r="BX68" s="377"/>
      <c r="BY68" s="377"/>
      <c r="BZ68" s="377"/>
      <c r="CA68" s="377"/>
      <c r="CB68" s="377"/>
      <c r="CC68" s="377"/>
      <c r="CD68" s="377"/>
      <c r="CE68" s="377"/>
      <c r="CF68" s="377"/>
      <c r="CG68" s="377"/>
      <c r="CH68" s="377"/>
      <c r="CI68" s="377"/>
      <c r="CJ68" s="377"/>
      <c r="CK68" s="377"/>
      <c r="CL68" s="378"/>
      <c r="CM68" s="376" t="s">
        <v>30</v>
      </c>
      <c r="CN68" s="377"/>
      <c r="CO68" s="377"/>
      <c r="CP68" s="377"/>
      <c r="CQ68" s="377"/>
      <c r="CR68" s="377"/>
      <c r="CS68" s="377"/>
      <c r="CT68" s="377"/>
      <c r="CU68" s="377"/>
      <c r="CV68" s="377"/>
      <c r="CW68" s="377"/>
      <c r="CX68" s="377"/>
      <c r="CY68" s="377"/>
      <c r="CZ68" s="377"/>
      <c r="DA68" s="377"/>
      <c r="DB68" s="377"/>
      <c r="DC68" s="377"/>
      <c r="DD68" s="378"/>
      <c r="DE68" s="7"/>
    </row>
    <row r="69" spans="1:109" ht="15" customHeight="1">
      <c r="A69" s="6"/>
      <c r="B69" s="379"/>
      <c r="C69" s="380"/>
      <c r="D69" s="380"/>
      <c r="E69" s="380"/>
      <c r="F69" s="380"/>
      <c r="G69" s="380"/>
      <c r="H69" s="381"/>
      <c r="I69" s="379"/>
      <c r="J69" s="380"/>
      <c r="K69" s="380"/>
      <c r="L69" s="380"/>
      <c r="M69" s="380"/>
      <c r="N69" s="380"/>
      <c r="O69" s="381"/>
      <c r="P69" s="379"/>
      <c r="Q69" s="380"/>
      <c r="R69" s="380"/>
      <c r="S69" s="380"/>
      <c r="T69" s="380"/>
      <c r="U69" s="380"/>
      <c r="V69" s="381"/>
      <c r="W69" s="379"/>
      <c r="X69" s="380"/>
      <c r="Y69" s="380"/>
      <c r="Z69" s="380"/>
      <c r="AA69" s="380"/>
      <c r="AB69" s="380"/>
      <c r="AC69" s="381"/>
      <c r="AD69" s="379"/>
      <c r="AE69" s="380"/>
      <c r="AF69" s="380"/>
      <c r="AG69" s="380"/>
      <c r="AH69" s="380"/>
      <c r="AI69" s="380"/>
      <c r="AJ69" s="381"/>
      <c r="AK69" s="379"/>
      <c r="AL69" s="380"/>
      <c r="AM69" s="380"/>
      <c r="AN69" s="380"/>
      <c r="AO69" s="380"/>
      <c r="AP69" s="380"/>
      <c r="AQ69" s="381"/>
      <c r="AR69" s="379"/>
      <c r="AS69" s="380"/>
      <c r="AT69" s="380"/>
      <c r="AU69" s="380"/>
      <c r="AV69" s="380"/>
      <c r="AW69" s="380"/>
      <c r="AX69" s="381"/>
      <c r="AY69" s="379"/>
      <c r="AZ69" s="380"/>
      <c r="BA69" s="380"/>
      <c r="BB69" s="380"/>
      <c r="BC69" s="380"/>
      <c r="BD69" s="380"/>
      <c r="BE69" s="381"/>
      <c r="BF69" s="379"/>
      <c r="BG69" s="380"/>
      <c r="BH69" s="380"/>
      <c r="BI69" s="380"/>
      <c r="BJ69" s="380"/>
      <c r="BK69" s="380"/>
      <c r="BL69" s="381"/>
      <c r="BM69" s="379"/>
      <c r="BN69" s="380"/>
      <c r="BO69" s="380"/>
      <c r="BP69" s="380"/>
      <c r="BQ69" s="380"/>
      <c r="BR69" s="380"/>
      <c r="BS69" s="380"/>
      <c r="BT69" s="380"/>
      <c r="BU69" s="380"/>
      <c r="BV69" s="380"/>
      <c r="BW69" s="380"/>
      <c r="BX69" s="380"/>
      <c r="BY69" s="380"/>
      <c r="BZ69" s="380"/>
      <c r="CA69" s="380"/>
      <c r="CB69" s="380"/>
      <c r="CC69" s="380"/>
      <c r="CD69" s="380"/>
      <c r="CE69" s="380"/>
      <c r="CF69" s="380"/>
      <c r="CG69" s="380"/>
      <c r="CH69" s="380"/>
      <c r="CI69" s="380"/>
      <c r="CJ69" s="380"/>
      <c r="CK69" s="380"/>
      <c r="CL69" s="381"/>
      <c r="CM69" s="379"/>
      <c r="CN69" s="380"/>
      <c r="CO69" s="380"/>
      <c r="CP69" s="380"/>
      <c r="CQ69" s="380"/>
      <c r="CR69" s="380"/>
      <c r="CS69" s="380"/>
      <c r="CT69" s="380"/>
      <c r="CU69" s="380"/>
      <c r="CV69" s="380"/>
      <c r="CW69" s="380"/>
      <c r="CX69" s="380"/>
      <c r="CY69" s="380"/>
      <c r="CZ69" s="380"/>
      <c r="DA69" s="380"/>
      <c r="DB69" s="380"/>
      <c r="DC69" s="380"/>
      <c r="DD69" s="381"/>
      <c r="DE69" s="7"/>
    </row>
    <row r="70" spans="1:109" ht="15" customHeight="1">
      <c r="A70" s="6"/>
      <c r="B70" s="353"/>
      <c r="C70" s="354"/>
      <c r="D70" s="354"/>
      <c r="E70" s="354"/>
      <c r="F70" s="354"/>
      <c r="G70" s="354"/>
      <c r="H70" s="355"/>
      <c r="I70" s="353"/>
      <c r="J70" s="354"/>
      <c r="K70" s="354"/>
      <c r="L70" s="354"/>
      <c r="M70" s="354"/>
      <c r="N70" s="354"/>
      <c r="O70" s="355"/>
      <c r="P70" s="353"/>
      <c r="Q70" s="354"/>
      <c r="R70" s="354"/>
      <c r="S70" s="354"/>
      <c r="T70" s="354"/>
      <c r="U70" s="354"/>
      <c r="V70" s="355"/>
      <c r="W70" s="353"/>
      <c r="X70" s="354"/>
      <c r="Y70" s="354"/>
      <c r="Z70" s="354"/>
      <c r="AA70" s="354"/>
      <c r="AB70" s="354"/>
      <c r="AC70" s="355"/>
      <c r="AD70" s="353"/>
      <c r="AE70" s="354"/>
      <c r="AF70" s="354"/>
      <c r="AG70" s="354"/>
      <c r="AH70" s="354"/>
      <c r="AI70" s="354"/>
      <c r="AJ70" s="355"/>
      <c r="AK70" s="353"/>
      <c r="AL70" s="354"/>
      <c r="AM70" s="354"/>
      <c r="AN70" s="354"/>
      <c r="AO70" s="354"/>
      <c r="AP70" s="354"/>
      <c r="AQ70" s="355"/>
      <c r="AR70" s="353"/>
      <c r="AS70" s="354"/>
      <c r="AT70" s="354"/>
      <c r="AU70" s="354"/>
      <c r="AV70" s="354"/>
      <c r="AW70" s="354"/>
      <c r="AX70" s="355"/>
      <c r="AY70" s="353"/>
      <c r="AZ70" s="354"/>
      <c r="BA70" s="354"/>
      <c r="BB70" s="354"/>
      <c r="BC70" s="354"/>
      <c r="BD70" s="354"/>
      <c r="BE70" s="355"/>
      <c r="BF70" s="353"/>
      <c r="BG70" s="354"/>
      <c r="BH70" s="354"/>
      <c r="BI70" s="354"/>
      <c r="BJ70" s="354"/>
      <c r="BK70" s="354"/>
      <c r="BL70" s="355"/>
      <c r="BM70" s="353"/>
      <c r="BN70" s="354"/>
      <c r="BO70" s="354"/>
      <c r="BP70" s="354"/>
      <c r="BQ70" s="354"/>
      <c r="BR70" s="354"/>
      <c r="BS70" s="354"/>
      <c r="BT70" s="354"/>
      <c r="BU70" s="354"/>
      <c r="BV70" s="354"/>
      <c r="BW70" s="354"/>
      <c r="BX70" s="354"/>
      <c r="BY70" s="354"/>
      <c r="BZ70" s="354"/>
      <c r="CA70" s="354"/>
      <c r="CB70" s="354"/>
      <c r="CC70" s="354"/>
      <c r="CD70" s="354"/>
      <c r="CE70" s="354"/>
      <c r="CF70" s="354"/>
      <c r="CG70" s="354"/>
      <c r="CH70" s="354"/>
      <c r="CI70" s="354"/>
      <c r="CJ70" s="354"/>
      <c r="CK70" s="354"/>
      <c r="CL70" s="355"/>
      <c r="CM70" s="353"/>
      <c r="CN70" s="354"/>
      <c r="CO70" s="354"/>
      <c r="CP70" s="354"/>
      <c r="CQ70" s="354"/>
      <c r="CR70" s="354"/>
      <c r="CS70" s="354"/>
      <c r="CT70" s="354"/>
      <c r="CU70" s="354"/>
      <c r="CV70" s="354"/>
      <c r="CW70" s="354"/>
      <c r="CX70" s="354"/>
      <c r="CY70" s="354"/>
      <c r="CZ70" s="354"/>
      <c r="DA70" s="354"/>
      <c r="DB70" s="354"/>
      <c r="DC70" s="354"/>
      <c r="DD70" s="355"/>
      <c r="DE70" s="7"/>
    </row>
    <row r="71" spans="1:109" ht="15" customHeight="1">
      <c r="A71" s="6"/>
      <c r="B71" s="356"/>
      <c r="C71" s="357"/>
      <c r="D71" s="357"/>
      <c r="E71" s="357"/>
      <c r="F71" s="357"/>
      <c r="G71" s="357"/>
      <c r="H71" s="358"/>
      <c r="I71" s="356"/>
      <c r="J71" s="357"/>
      <c r="K71" s="357"/>
      <c r="L71" s="357"/>
      <c r="M71" s="357"/>
      <c r="N71" s="357"/>
      <c r="O71" s="358"/>
      <c r="P71" s="356"/>
      <c r="Q71" s="357"/>
      <c r="R71" s="357"/>
      <c r="S71" s="357"/>
      <c r="T71" s="357"/>
      <c r="U71" s="357"/>
      <c r="V71" s="358"/>
      <c r="W71" s="356"/>
      <c r="X71" s="357"/>
      <c r="Y71" s="357"/>
      <c r="Z71" s="357"/>
      <c r="AA71" s="357"/>
      <c r="AB71" s="357"/>
      <c r="AC71" s="358"/>
      <c r="AD71" s="356"/>
      <c r="AE71" s="357"/>
      <c r="AF71" s="357"/>
      <c r="AG71" s="357"/>
      <c r="AH71" s="357"/>
      <c r="AI71" s="357"/>
      <c r="AJ71" s="358"/>
      <c r="AK71" s="356"/>
      <c r="AL71" s="357"/>
      <c r="AM71" s="357"/>
      <c r="AN71" s="357"/>
      <c r="AO71" s="357"/>
      <c r="AP71" s="357"/>
      <c r="AQ71" s="358"/>
      <c r="AR71" s="356"/>
      <c r="AS71" s="357"/>
      <c r="AT71" s="357"/>
      <c r="AU71" s="357"/>
      <c r="AV71" s="357"/>
      <c r="AW71" s="357"/>
      <c r="AX71" s="358"/>
      <c r="AY71" s="356"/>
      <c r="AZ71" s="357"/>
      <c r="BA71" s="357"/>
      <c r="BB71" s="357"/>
      <c r="BC71" s="357"/>
      <c r="BD71" s="357"/>
      <c r="BE71" s="358"/>
      <c r="BF71" s="356"/>
      <c r="BG71" s="357"/>
      <c r="BH71" s="357"/>
      <c r="BI71" s="357"/>
      <c r="BJ71" s="357"/>
      <c r="BK71" s="357"/>
      <c r="BL71" s="358"/>
      <c r="BM71" s="356"/>
      <c r="BN71" s="357"/>
      <c r="BO71" s="357"/>
      <c r="BP71" s="357"/>
      <c r="BQ71" s="357"/>
      <c r="BR71" s="357"/>
      <c r="BS71" s="357"/>
      <c r="BT71" s="357"/>
      <c r="BU71" s="357"/>
      <c r="BV71" s="357"/>
      <c r="BW71" s="357"/>
      <c r="BX71" s="357"/>
      <c r="BY71" s="357"/>
      <c r="BZ71" s="357"/>
      <c r="CA71" s="357"/>
      <c r="CB71" s="357"/>
      <c r="CC71" s="357"/>
      <c r="CD71" s="357"/>
      <c r="CE71" s="357"/>
      <c r="CF71" s="357"/>
      <c r="CG71" s="357"/>
      <c r="CH71" s="357"/>
      <c r="CI71" s="357"/>
      <c r="CJ71" s="357"/>
      <c r="CK71" s="357"/>
      <c r="CL71" s="358"/>
      <c r="CM71" s="356"/>
      <c r="CN71" s="357"/>
      <c r="CO71" s="357"/>
      <c r="CP71" s="357"/>
      <c r="CQ71" s="357"/>
      <c r="CR71" s="357"/>
      <c r="CS71" s="357"/>
      <c r="CT71" s="357"/>
      <c r="CU71" s="357"/>
      <c r="CV71" s="357"/>
      <c r="CW71" s="357"/>
      <c r="CX71" s="357"/>
      <c r="CY71" s="357"/>
      <c r="CZ71" s="357"/>
      <c r="DA71" s="357"/>
      <c r="DB71" s="357"/>
      <c r="DC71" s="357"/>
      <c r="DD71" s="358"/>
      <c r="DE71" s="7"/>
    </row>
    <row r="72" spans="1:109" ht="15" customHeight="1">
      <c r="A72" s="3"/>
      <c r="B72" s="382"/>
      <c r="C72" s="383"/>
      <c r="D72" s="383"/>
      <c r="E72" s="383"/>
      <c r="F72" s="383"/>
      <c r="G72" s="383"/>
      <c r="H72" s="384"/>
      <c r="I72" s="382"/>
      <c r="J72" s="383"/>
      <c r="K72" s="383"/>
      <c r="L72" s="383"/>
      <c r="M72" s="383"/>
      <c r="N72" s="383"/>
      <c r="O72" s="384"/>
      <c r="P72" s="382"/>
      <c r="Q72" s="383"/>
      <c r="R72" s="383"/>
      <c r="S72" s="383"/>
      <c r="T72" s="383"/>
      <c r="U72" s="383"/>
      <c r="V72" s="384"/>
      <c r="W72" s="382"/>
      <c r="X72" s="383"/>
      <c r="Y72" s="383"/>
      <c r="Z72" s="383"/>
      <c r="AA72" s="383"/>
      <c r="AB72" s="383"/>
      <c r="AC72" s="384"/>
      <c r="AD72" s="382"/>
      <c r="AE72" s="383"/>
      <c r="AF72" s="383"/>
      <c r="AG72" s="383"/>
      <c r="AH72" s="383"/>
      <c r="AI72" s="383"/>
      <c r="AJ72" s="384"/>
      <c r="AK72" s="382"/>
      <c r="AL72" s="383"/>
      <c r="AM72" s="383"/>
      <c r="AN72" s="383"/>
      <c r="AO72" s="383"/>
      <c r="AP72" s="383"/>
      <c r="AQ72" s="384"/>
      <c r="AR72" s="382"/>
      <c r="AS72" s="383"/>
      <c r="AT72" s="383"/>
      <c r="AU72" s="383"/>
      <c r="AV72" s="383"/>
      <c r="AW72" s="383"/>
      <c r="AX72" s="384"/>
      <c r="AY72" s="382"/>
      <c r="AZ72" s="383"/>
      <c r="BA72" s="383"/>
      <c r="BB72" s="383"/>
      <c r="BC72" s="383"/>
      <c r="BD72" s="383"/>
      <c r="BE72" s="384"/>
      <c r="BF72" s="382"/>
      <c r="BG72" s="383"/>
      <c r="BH72" s="383"/>
      <c r="BI72" s="383"/>
      <c r="BJ72" s="383"/>
      <c r="BK72" s="383"/>
      <c r="BL72" s="384"/>
      <c r="BM72" s="382"/>
      <c r="BN72" s="383"/>
      <c r="BO72" s="383"/>
      <c r="BP72" s="383"/>
      <c r="BQ72" s="383"/>
      <c r="BR72" s="383"/>
      <c r="BS72" s="383"/>
      <c r="BT72" s="383"/>
      <c r="BU72" s="383"/>
      <c r="BV72" s="383"/>
      <c r="BW72" s="383"/>
      <c r="BX72" s="383"/>
      <c r="BY72" s="383"/>
      <c r="BZ72" s="383"/>
      <c r="CA72" s="383"/>
      <c r="CB72" s="383"/>
      <c r="CC72" s="383"/>
      <c r="CD72" s="383"/>
      <c r="CE72" s="383"/>
      <c r="CF72" s="383"/>
      <c r="CG72" s="383"/>
      <c r="CH72" s="383"/>
      <c r="CI72" s="383"/>
      <c r="CJ72" s="383"/>
      <c r="CK72" s="383"/>
      <c r="CL72" s="384"/>
      <c r="CM72" s="382"/>
      <c r="CN72" s="383"/>
      <c r="CO72" s="383"/>
      <c r="CP72" s="383"/>
      <c r="CQ72" s="383"/>
      <c r="CR72" s="383"/>
      <c r="CS72" s="383"/>
      <c r="CT72" s="383"/>
      <c r="CU72" s="383"/>
      <c r="CV72" s="383"/>
      <c r="CW72" s="383"/>
      <c r="CX72" s="383"/>
      <c r="CY72" s="383"/>
      <c r="CZ72" s="383"/>
      <c r="DA72" s="383"/>
      <c r="DB72" s="383"/>
      <c r="DC72" s="383"/>
      <c r="DD72" s="384"/>
      <c r="DE72" s="7"/>
    </row>
    <row r="73" spans="1:109" ht="15" customHeight="1">
      <c r="A73" s="6"/>
      <c r="B73" s="385"/>
      <c r="C73" s="386"/>
      <c r="D73" s="386"/>
      <c r="E73" s="386"/>
      <c r="F73" s="386"/>
      <c r="G73" s="386"/>
      <c r="H73" s="387"/>
      <c r="I73" s="385"/>
      <c r="J73" s="386"/>
      <c r="K73" s="386"/>
      <c r="L73" s="386"/>
      <c r="M73" s="386"/>
      <c r="N73" s="386"/>
      <c r="O73" s="387"/>
      <c r="P73" s="385"/>
      <c r="Q73" s="386"/>
      <c r="R73" s="386"/>
      <c r="S73" s="386"/>
      <c r="T73" s="386"/>
      <c r="U73" s="386"/>
      <c r="V73" s="387"/>
      <c r="W73" s="385"/>
      <c r="X73" s="386"/>
      <c r="Y73" s="386"/>
      <c r="Z73" s="386"/>
      <c r="AA73" s="386"/>
      <c r="AB73" s="386"/>
      <c r="AC73" s="387"/>
      <c r="AD73" s="385"/>
      <c r="AE73" s="386"/>
      <c r="AF73" s="386"/>
      <c r="AG73" s="386"/>
      <c r="AH73" s="386"/>
      <c r="AI73" s="386"/>
      <c r="AJ73" s="387"/>
      <c r="AK73" s="385"/>
      <c r="AL73" s="386"/>
      <c r="AM73" s="386"/>
      <c r="AN73" s="386"/>
      <c r="AO73" s="386"/>
      <c r="AP73" s="386"/>
      <c r="AQ73" s="387"/>
      <c r="AR73" s="385"/>
      <c r="AS73" s="386"/>
      <c r="AT73" s="386"/>
      <c r="AU73" s="386"/>
      <c r="AV73" s="386"/>
      <c r="AW73" s="386"/>
      <c r="AX73" s="387"/>
      <c r="AY73" s="385"/>
      <c r="AZ73" s="386"/>
      <c r="BA73" s="386"/>
      <c r="BB73" s="386"/>
      <c r="BC73" s="386"/>
      <c r="BD73" s="386"/>
      <c r="BE73" s="387"/>
      <c r="BF73" s="385"/>
      <c r="BG73" s="386"/>
      <c r="BH73" s="386"/>
      <c r="BI73" s="386"/>
      <c r="BJ73" s="386"/>
      <c r="BK73" s="386"/>
      <c r="BL73" s="387"/>
      <c r="BM73" s="385"/>
      <c r="BN73" s="386"/>
      <c r="BO73" s="386"/>
      <c r="BP73" s="386"/>
      <c r="BQ73" s="386"/>
      <c r="BR73" s="386"/>
      <c r="BS73" s="386"/>
      <c r="BT73" s="386"/>
      <c r="BU73" s="386"/>
      <c r="BV73" s="386"/>
      <c r="BW73" s="386"/>
      <c r="BX73" s="386"/>
      <c r="BY73" s="386"/>
      <c r="BZ73" s="386"/>
      <c r="CA73" s="386"/>
      <c r="CB73" s="386"/>
      <c r="CC73" s="386"/>
      <c r="CD73" s="386"/>
      <c r="CE73" s="386"/>
      <c r="CF73" s="386"/>
      <c r="CG73" s="386"/>
      <c r="CH73" s="386"/>
      <c r="CI73" s="386"/>
      <c r="CJ73" s="386"/>
      <c r="CK73" s="386"/>
      <c r="CL73" s="387"/>
      <c r="CM73" s="385"/>
      <c r="CN73" s="386"/>
      <c r="CO73" s="386"/>
      <c r="CP73" s="386"/>
      <c r="CQ73" s="386"/>
      <c r="CR73" s="386"/>
      <c r="CS73" s="386"/>
      <c r="CT73" s="386"/>
      <c r="CU73" s="386"/>
      <c r="CV73" s="386"/>
      <c r="CW73" s="386"/>
      <c r="CX73" s="386"/>
      <c r="CY73" s="386"/>
      <c r="CZ73" s="386"/>
      <c r="DA73" s="386"/>
      <c r="DB73" s="386"/>
      <c r="DC73" s="386"/>
      <c r="DD73" s="387"/>
      <c r="DE73" s="7"/>
    </row>
    <row r="74" spans="1:109" ht="15" customHeight="1">
      <c r="A74" s="8"/>
      <c r="B74" s="353"/>
      <c r="C74" s="354"/>
      <c r="D74" s="354"/>
      <c r="E74" s="354"/>
      <c r="F74" s="354"/>
      <c r="G74" s="354"/>
      <c r="H74" s="355"/>
      <c r="I74" s="352"/>
      <c r="J74" s="352"/>
      <c r="K74" s="352"/>
      <c r="L74" s="352"/>
      <c r="M74" s="352"/>
      <c r="N74" s="352"/>
      <c r="O74" s="352"/>
      <c r="P74" s="352"/>
      <c r="Q74" s="352"/>
      <c r="R74" s="352"/>
      <c r="S74" s="352"/>
      <c r="T74" s="352"/>
      <c r="U74" s="352"/>
      <c r="V74" s="352"/>
      <c r="W74" s="352"/>
      <c r="X74" s="352"/>
      <c r="Y74" s="352"/>
      <c r="Z74" s="352"/>
      <c r="AA74" s="352"/>
      <c r="AB74" s="352"/>
      <c r="AC74" s="352"/>
      <c r="AD74" s="352"/>
      <c r="AE74" s="352"/>
      <c r="AF74" s="352"/>
      <c r="AG74" s="352"/>
      <c r="AH74" s="352"/>
      <c r="AI74" s="352"/>
      <c r="AJ74" s="352"/>
      <c r="AK74" s="352"/>
      <c r="AL74" s="352"/>
      <c r="AM74" s="352"/>
      <c r="AN74" s="352"/>
      <c r="AO74" s="352"/>
      <c r="AP74" s="352"/>
      <c r="AQ74" s="352"/>
      <c r="AR74" s="352"/>
      <c r="AS74" s="352"/>
      <c r="AT74" s="352"/>
      <c r="AU74" s="352"/>
      <c r="AV74" s="352"/>
      <c r="AW74" s="352"/>
      <c r="AX74" s="352"/>
      <c r="AY74" s="352"/>
      <c r="AZ74" s="352"/>
      <c r="BA74" s="352"/>
      <c r="BB74" s="352"/>
      <c r="BC74" s="352"/>
      <c r="BD74" s="352"/>
      <c r="BE74" s="352"/>
      <c r="BF74" s="352"/>
      <c r="BG74" s="352"/>
      <c r="BH74" s="352"/>
      <c r="BI74" s="352"/>
      <c r="BJ74" s="352"/>
      <c r="BK74" s="352"/>
      <c r="BL74" s="352"/>
      <c r="BM74" s="352"/>
      <c r="BN74" s="352"/>
      <c r="BO74" s="352"/>
      <c r="BP74" s="352"/>
      <c r="BQ74" s="352"/>
      <c r="BR74" s="352"/>
      <c r="BS74" s="352"/>
      <c r="BT74" s="352"/>
      <c r="BU74" s="352"/>
      <c r="BV74" s="352"/>
      <c r="BW74" s="352"/>
      <c r="BX74" s="352"/>
      <c r="BY74" s="352"/>
      <c r="BZ74" s="352"/>
      <c r="CA74" s="352"/>
      <c r="CB74" s="352"/>
      <c r="CC74" s="352"/>
      <c r="CD74" s="352"/>
      <c r="CE74" s="352"/>
      <c r="CF74" s="352"/>
      <c r="CG74" s="352"/>
      <c r="CH74" s="352"/>
      <c r="CI74" s="352"/>
      <c r="CJ74" s="352"/>
      <c r="CK74" s="352"/>
      <c r="CL74" s="352"/>
      <c r="CM74" s="352"/>
      <c r="CN74" s="352"/>
      <c r="CO74" s="352"/>
      <c r="CP74" s="352"/>
      <c r="CQ74" s="352"/>
      <c r="CR74" s="352"/>
      <c r="CS74" s="352"/>
      <c r="CT74" s="352"/>
      <c r="CU74" s="352"/>
      <c r="CV74" s="352"/>
      <c r="CW74" s="352"/>
      <c r="CX74" s="352"/>
      <c r="CY74" s="352"/>
      <c r="CZ74" s="352"/>
      <c r="DA74" s="352"/>
      <c r="DB74" s="352"/>
      <c r="DC74" s="352"/>
      <c r="DD74" s="352"/>
      <c r="DE74" s="7"/>
    </row>
    <row r="75" spans="1:109" ht="15" customHeight="1">
      <c r="A75" s="8"/>
      <c r="B75" s="356"/>
      <c r="C75" s="357"/>
      <c r="D75" s="357"/>
      <c r="E75" s="357"/>
      <c r="F75" s="357"/>
      <c r="G75" s="357"/>
      <c r="H75" s="358"/>
      <c r="I75" s="352"/>
      <c r="J75" s="352"/>
      <c r="K75" s="352"/>
      <c r="L75" s="352"/>
      <c r="M75" s="352"/>
      <c r="N75" s="352"/>
      <c r="O75" s="352"/>
      <c r="P75" s="352"/>
      <c r="Q75" s="352"/>
      <c r="R75" s="352"/>
      <c r="S75" s="352"/>
      <c r="T75" s="352"/>
      <c r="U75" s="352"/>
      <c r="V75" s="352"/>
      <c r="W75" s="352"/>
      <c r="X75" s="352"/>
      <c r="Y75" s="352"/>
      <c r="Z75" s="352"/>
      <c r="AA75" s="352"/>
      <c r="AB75" s="352"/>
      <c r="AC75" s="352"/>
      <c r="AD75" s="352"/>
      <c r="AE75" s="352"/>
      <c r="AF75" s="352"/>
      <c r="AG75" s="352"/>
      <c r="AH75" s="352"/>
      <c r="AI75" s="352"/>
      <c r="AJ75" s="352"/>
      <c r="AK75" s="352"/>
      <c r="AL75" s="352"/>
      <c r="AM75" s="352"/>
      <c r="AN75" s="352"/>
      <c r="AO75" s="352"/>
      <c r="AP75" s="352"/>
      <c r="AQ75" s="352"/>
      <c r="AR75" s="352"/>
      <c r="AS75" s="352"/>
      <c r="AT75" s="352"/>
      <c r="AU75" s="352"/>
      <c r="AV75" s="352"/>
      <c r="AW75" s="352"/>
      <c r="AX75" s="352"/>
      <c r="AY75" s="352"/>
      <c r="AZ75" s="352"/>
      <c r="BA75" s="352"/>
      <c r="BB75" s="352"/>
      <c r="BC75" s="352"/>
      <c r="BD75" s="352"/>
      <c r="BE75" s="352"/>
      <c r="BF75" s="352"/>
      <c r="BG75" s="352"/>
      <c r="BH75" s="352"/>
      <c r="BI75" s="352"/>
      <c r="BJ75" s="352"/>
      <c r="BK75" s="352"/>
      <c r="BL75" s="352"/>
      <c r="BM75" s="352"/>
      <c r="BN75" s="352"/>
      <c r="BO75" s="352"/>
      <c r="BP75" s="352"/>
      <c r="BQ75" s="352"/>
      <c r="BR75" s="352"/>
      <c r="BS75" s="352"/>
      <c r="BT75" s="352"/>
      <c r="BU75" s="352"/>
      <c r="BV75" s="352"/>
      <c r="BW75" s="352"/>
      <c r="BX75" s="352"/>
      <c r="BY75" s="352"/>
      <c r="BZ75" s="352"/>
      <c r="CA75" s="352"/>
      <c r="CB75" s="352"/>
      <c r="CC75" s="352"/>
      <c r="CD75" s="352"/>
      <c r="CE75" s="352"/>
      <c r="CF75" s="352"/>
      <c r="CG75" s="352"/>
      <c r="CH75" s="352"/>
      <c r="CI75" s="352"/>
      <c r="CJ75" s="352"/>
      <c r="CK75" s="352"/>
      <c r="CL75" s="352"/>
      <c r="CM75" s="352"/>
      <c r="CN75" s="352"/>
      <c r="CO75" s="352"/>
      <c r="CP75" s="352"/>
      <c r="CQ75" s="352"/>
      <c r="CR75" s="352"/>
      <c r="CS75" s="352"/>
      <c r="CT75" s="352"/>
      <c r="CU75" s="352"/>
      <c r="CV75" s="352"/>
      <c r="CW75" s="352"/>
      <c r="CX75" s="352"/>
      <c r="CY75" s="352"/>
      <c r="CZ75" s="352"/>
      <c r="DA75" s="352"/>
      <c r="DB75" s="352"/>
      <c r="DC75" s="352"/>
      <c r="DD75" s="352"/>
      <c r="DE75" s="7"/>
    </row>
    <row r="76" spans="1:109" ht="15" customHeight="1">
      <c r="A76" s="3"/>
      <c r="B76" s="382"/>
      <c r="C76" s="383"/>
      <c r="D76" s="383"/>
      <c r="E76" s="383"/>
      <c r="F76" s="383"/>
      <c r="G76" s="383"/>
      <c r="H76" s="384"/>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c r="BI76" s="351"/>
      <c r="BJ76" s="351"/>
      <c r="BK76" s="351"/>
      <c r="BL76" s="351"/>
      <c r="BM76" s="351"/>
      <c r="BN76" s="351"/>
      <c r="BO76" s="351"/>
      <c r="BP76" s="351"/>
      <c r="BQ76" s="351"/>
      <c r="BR76" s="351"/>
      <c r="BS76" s="351"/>
      <c r="BT76" s="351"/>
      <c r="BU76" s="351"/>
      <c r="BV76" s="351"/>
      <c r="BW76" s="351"/>
      <c r="BX76" s="351"/>
      <c r="BY76" s="351"/>
      <c r="BZ76" s="351"/>
      <c r="CA76" s="351"/>
      <c r="CB76" s="351"/>
      <c r="CC76" s="351"/>
      <c r="CD76" s="351"/>
      <c r="CE76" s="351"/>
      <c r="CF76" s="351"/>
      <c r="CG76" s="351"/>
      <c r="CH76" s="351"/>
      <c r="CI76" s="351"/>
      <c r="CJ76" s="351"/>
      <c r="CK76" s="351"/>
      <c r="CL76" s="351"/>
      <c r="CM76" s="351"/>
      <c r="CN76" s="351"/>
      <c r="CO76" s="351"/>
      <c r="CP76" s="351"/>
      <c r="CQ76" s="351"/>
      <c r="CR76" s="351"/>
      <c r="CS76" s="351"/>
      <c r="CT76" s="351"/>
      <c r="CU76" s="351"/>
      <c r="CV76" s="351"/>
      <c r="CW76" s="351"/>
      <c r="CX76" s="351"/>
      <c r="CY76" s="351"/>
      <c r="CZ76" s="351"/>
      <c r="DA76" s="351"/>
      <c r="DB76" s="351"/>
      <c r="DC76" s="351"/>
      <c r="DD76" s="351"/>
      <c r="DE76" s="7"/>
    </row>
    <row r="77" spans="1:109" ht="15" customHeight="1">
      <c r="A77" s="3"/>
      <c r="B77" s="385"/>
      <c r="C77" s="386"/>
      <c r="D77" s="386"/>
      <c r="E77" s="386"/>
      <c r="F77" s="386"/>
      <c r="G77" s="386"/>
      <c r="H77" s="387"/>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c r="BI77" s="351"/>
      <c r="BJ77" s="351"/>
      <c r="BK77" s="351"/>
      <c r="BL77" s="351"/>
      <c r="BM77" s="351"/>
      <c r="BN77" s="351"/>
      <c r="BO77" s="351"/>
      <c r="BP77" s="351"/>
      <c r="BQ77" s="351"/>
      <c r="BR77" s="351"/>
      <c r="BS77" s="351"/>
      <c r="BT77" s="351"/>
      <c r="BU77" s="351"/>
      <c r="BV77" s="351"/>
      <c r="BW77" s="351"/>
      <c r="BX77" s="351"/>
      <c r="BY77" s="351"/>
      <c r="BZ77" s="351"/>
      <c r="CA77" s="351"/>
      <c r="CB77" s="351"/>
      <c r="CC77" s="351"/>
      <c r="CD77" s="351"/>
      <c r="CE77" s="351"/>
      <c r="CF77" s="351"/>
      <c r="CG77" s="351"/>
      <c r="CH77" s="351"/>
      <c r="CI77" s="351"/>
      <c r="CJ77" s="351"/>
      <c r="CK77" s="351"/>
      <c r="CL77" s="351"/>
      <c r="CM77" s="351"/>
      <c r="CN77" s="351"/>
      <c r="CO77" s="351"/>
      <c r="CP77" s="351"/>
      <c r="CQ77" s="351"/>
      <c r="CR77" s="351"/>
      <c r="CS77" s="351"/>
      <c r="CT77" s="351"/>
      <c r="CU77" s="351"/>
      <c r="CV77" s="351"/>
      <c r="CW77" s="351"/>
      <c r="CX77" s="351"/>
      <c r="CY77" s="351"/>
      <c r="CZ77" s="351"/>
      <c r="DA77" s="351"/>
      <c r="DB77" s="351"/>
      <c r="DC77" s="351"/>
      <c r="DD77" s="351"/>
      <c r="DE77" s="7"/>
    </row>
    <row r="78" spans="1:109" ht="15" customHeight="1">
      <c r="A78" s="3"/>
      <c r="B78" s="352"/>
      <c r="C78" s="352"/>
      <c r="D78" s="352"/>
      <c r="E78" s="352"/>
      <c r="F78" s="352"/>
      <c r="G78" s="352"/>
      <c r="H78" s="352"/>
      <c r="I78" s="352"/>
      <c r="J78" s="352"/>
      <c r="K78" s="352"/>
      <c r="L78" s="352"/>
      <c r="M78" s="352"/>
      <c r="N78" s="352"/>
      <c r="O78" s="352"/>
      <c r="P78" s="352"/>
      <c r="Q78" s="352"/>
      <c r="R78" s="352"/>
      <c r="S78" s="352"/>
      <c r="T78" s="352"/>
      <c r="U78" s="352"/>
      <c r="V78" s="352"/>
      <c r="W78" s="352"/>
      <c r="X78" s="352"/>
      <c r="Y78" s="352"/>
      <c r="Z78" s="352"/>
      <c r="AA78" s="352"/>
      <c r="AB78" s="352"/>
      <c r="AC78" s="352"/>
      <c r="AD78" s="416"/>
      <c r="AE78" s="352"/>
      <c r="AF78" s="352"/>
      <c r="AG78" s="352"/>
      <c r="AH78" s="352"/>
      <c r="AI78" s="352"/>
      <c r="AJ78" s="352"/>
      <c r="AK78" s="416"/>
      <c r="AL78" s="352"/>
      <c r="AM78" s="352"/>
      <c r="AN78" s="352"/>
      <c r="AO78" s="352"/>
      <c r="AP78" s="352"/>
      <c r="AQ78" s="352"/>
      <c r="AR78" s="352"/>
      <c r="AS78" s="352"/>
      <c r="AT78" s="352"/>
      <c r="AU78" s="352"/>
      <c r="AV78" s="352"/>
      <c r="AW78" s="352"/>
      <c r="AX78" s="352"/>
      <c r="AY78" s="352"/>
      <c r="AZ78" s="352"/>
      <c r="BA78" s="352"/>
      <c r="BB78" s="352"/>
      <c r="BC78" s="352"/>
      <c r="BD78" s="352"/>
      <c r="BE78" s="352"/>
      <c r="BF78" s="416"/>
      <c r="BG78" s="352"/>
      <c r="BH78" s="352"/>
      <c r="BI78" s="352"/>
      <c r="BJ78" s="352"/>
      <c r="BK78" s="352"/>
      <c r="BL78" s="352"/>
      <c r="BM78" s="416"/>
      <c r="BN78" s="352"/>
      <c r="BO78" s="352"/>
      <c r="BP78" s="352"/>
      <c r="BQ78" s="352"/>
      <c r="BR78" s="352"/>
      <c r="BS78" s="352"/>
      <c r="BT78" s="352"/>
      <c r="BU78" s="352"/>
      <c r="BV78" s="352"/>
      <c r="BW78" s="352"/>
      <c r="BX78" s="352"/>
      <c r="BY78" s="352"/>
      <c r="BZ78" s="352"/>
      <c r="CA78" s="352"/>
      <c r="CB78" s="352"/>
      <c r="CC78" s="352"/>
      <c r="CD78" s="352"/>
      <c r="CE78" s="352"/>
      <c r="CF78" s="352"/>
      <c r="CG78" s="352"/>
      <c r="CH78" s="352"/>
      <c r="CI78" s="352"/>
      <c r="CJ78" s="352"/>
      <c r="CK78" s="352"/>
      <c r="CL78" s="352"/>
      <c r="CM78" s="352"/>
      <c r="CN78" s="352"/>
      <c r="CO78" s="352"/>
      <c r="CP78" s="352"/>
      <c r="CQ78" s="352"/>
      <c r="CR78" s="352"/>
      <c r="CS78" s="352"/>
      <c r="CT78" s="352"/>
      <c r="CU78" s="352"/>
      <c r="CV78" s="352"/>
      <c r="CW78" s="352"/>
      <c r="CX78" s="352"/>
      <c r="CY78" s="352"/>
      <c r="CZ78" s="352"/>
      <c r="DA78" s="352"/>
      <c r="DB78" s="352"/>
      <c r="DC78" s="352"/>
      <c r="DD78" s="352"/>
      <c r="DE78" s="24"/>
    </row>
    <row r="79" spans="1:109" ht="15" customHeight="1">
      <c r="A79" s="3"/>
      <c r="B79" s="352"/>
      <c r="C79" s="352"/>
      <c r="D79" s="352"/>
      <c r="E79" s="352"/>
      <c r="F79" s="352"/>
      <c r="G79" s="352"/>
      <c r="H79" s="352"/>
      <c r="I79" s="352"/>
      <c r="J79" s="352"/>
      <c r="K79" s="352"/>
      <c r="L79" s="352"/>
      <c r="M79" s="352"/>
      <c r="N79" s="352"/>
      <c r="O79" s="352"/>
      <c r="P79" s="352"/>
      <c r="Q79" s="352"/>
      <c r="R79" s="352"/>
      <c r="S79" s="352"/>
      <c r="T79" s="352"/>
      <c r="U79" s="352"/>
      <c r="V79" s="352"/>
      <c r="W79" s="352"/>
      <c r="X79" s="352"/>
      <c r="Y79" s="352"/>
      <c r="Z79" s="352"/>
      <c r="AA79" s="352"/>
      <c r="AB79" s="352"/>
      <c r="AC79" s="352"/>
      <c r="AD79" s="352"/>
      <c r="AE79" s="352"/>
      <c r="AF79" s="352"/>
      <c r="AG79" s="352"/>
      <c r="AH79" s="352"/>
      <c r="AI79" s="352"/>
      <c r="AJ79" s="352"/>
      <c r="AK79" s="352"/>
      <c r="AL79" s="352"/>
      <c r="AM79" s="352"/>
      <c r="AN79" s="352"/>
      <c r="AO79" s="352"/>
      <c r="AP79" s="352"/>
      <c r="AQ79" s="352"/>
      <c r="AR79" s="352"/>
      <c r="AS79" s="352"/>
      <c r="AT79" s="352"/>
      <c r="AU79" s="352"/>
      <c r="AV79" s="352"/>
      <c r="AW79" s="352"/>
      <c r="AX79" s="352"/>
      <c r="AY79" s="352"/>
      <c r="AZ79" s="352"/>
      <c r="BA79" s="352"/>
      <c r="BB79" s="352"/>
      <c r="BC79" s="352"/>
      <c r="BD79" s="352"/>
      <c r="BE79" s="352"/>
      <c r="BF79" s="352"/>
      <c r="BG79" s="352"/>
      <c r="BH79" s="352"/>
      <c r="BI79" s="352"/>
      <c r="BJ79" s="352"/>
      <c r="BK79" s="352"/>
      <c r="BL79" s="352"/>
      <c r="BM79" s="352"/>
      <c r="BN79" s="352"/>
      <c r="BO79" s="352"/>
      <c r="BP79" s="352"/>
      <c r="BQ79" s="352"/>
      <c r="BR79" s="352"/>
      <c r="BS79" s="352"/>
      <c r="BT79" s="352"/>
      <c r="BU79" s="352"/>
      <c r="BV79" s="352"/>
      <c r="BW79" s="352"/>
      <c r="BX79" s="352"/>
      <c r="BY79" s="352"/>
      <c r="BZ79" s="352"/>
      <c r="CA79" s="352"/>
      <c r="CB79" s="352"/>
      <c r="CC79" s="352"/>
      <c r="CD79" s="352"/>
      <c r="CE79" s="352"/>
      <c r="CF79" s="352"/>
      <c r="CG79" s="352"/>
      <c r="CH79" s="352"/>
      <c r="CI79" s="352"/>
      <c r="CJ79" s="352"/>
      <c r="CK79" s="352"/>
      <c r="CL79" s="352"/>
      <c r="CM79" s="352"/>
      <c r="CN79" s="352"/>
      <c r="CO79" s="352"/>
      <c r="CP79" s="352"/>
      <c r="CQ79" s="352"/>
      <c r="CR79" s="352"/>
      <c r="CS79" s="352"/>
      <c r="CT79" s="352"/>
      <c r="CU79" s="352"/>
      <c r="CV79" s="352"/>
      <c r="CW79" s="352"/>
      <c r="CX79" s="352"/>
      <c r="CY79" s="352"/>
      <c r="CZ79" s="352"/>
      <c r="DA79" s="352"/>
      <c r="DB79" s="352"/>
      <c r="DC79" s="352"/>
      <c r="DD79" s="352"/>
      <c r="DE79" s="7"/>
    </row>
    <row r="80" spans="1:109" ht="15" customHeight="1">
      <c r="A80" s="8"/>
      <c r="B80" s="351"/>
      <c r="C80" s="351"/>
      <c r="D80" s="351"/>
      <c r="E80" s="351"/>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c r="BI80" s="351"/>
      <c r="BJ80" s="351"/>
      <c r="BK80" s="351"/>
      <c r="BL80" s="351"/>
      <c r="BM80" s="351"/>
      <c r="BN80" s="351"/>
      <c r="BO80" s="351"/>
      <c r="BP80" s="351"/>
      <c r="BQ80" s="351"/>
      <c r="BR80" s="351"/>
      <c r="BS80" s="351"/>
      <c r="BT80" s="351"/>
      <c r="BU80" s="351"/>
      <c r="BV80" s="351"/>
      <c r="BW80" s="351"/>
      <c r="BX80" s="351"/>
      <c r="BY80" s="351"/>
      <c r="BZ80" s="351"/>
      <c r="CA80" s="351"/>
      <c r="CB80" s="351"/>
      <c r="CC80" s="351"/>
      <c r="CD80" s="351"/>
      <c r="CE80" s="351"/>
      <c r="CF80" s="351"/>
      <c r="CG80" s="351"/>
      <c r="CH80" s="351"/>
      <c r="CI80" s="351"/>
      <c r="CJ80" s="351"/>
      <c r="CK80" s="351"/>
      <c r="CL80" s="351"/>
      <c r="CM80" s="351"/>
      <c r="CN80" s="351"/>
      <c r="CO80" s="351"/>
      <c r="CP80" s="351"/>
      <c r="CQ80" s="351"/>
      <c r="CR80" s="351"/>
      <c r="CS80" s="351"/>
      <c r="CT80" s="351"/>
      <c r="CU80" s="351"/>
      <c r="CV80" s="351"/>
      <c r="CW80" s="351"/>
      <c r="CX80" s="351"/>
      <c r="CY80" s="351"/>
      <c r="CZ80" s="351"/>
      <c r="DA80" s="351"/>
      <c r="DB80" s="351"/>
      <c r="DC80" s="351"/>
      <c r="DD80" s="351"/>
      <c r="DE80" s="7"/>
    </row>
    <row r="81" spans="1:109" ht="15" customHeight="1">
      <c r="A81" s="6"/>
      <c r="B81" s="351"/>
      <c r="C81" s="351"/>
      <c r="D81" s="351"/>
      <c r="E81" s="351"/>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c r="BI81" s="351"/>
      <c r="BJ81" s="351"/>
      <c r="BK81" s="351"/>
      <c r="BL81" s="351"/>
      <c r="BM81" s="351"/>
      <c r="BN81" s="351"/>
      <c r="BO81" s="351"/>
      <c r="BP81" s="351"/>
      <c r="BQ81" s="351"/>
      <c r="BR81" s="351"/>
      <c r="BS81" s="351"/>
      <c r="BT81" s="351"/>
      <c r="BU81" s="351"/>
      <c r="BV81" s="351"/>
      <c r="BW81" s="351"/>
      <c r="BX81" s="351"/>
      <c r="BY81" s="351"/>
      <c r="BZ81" s="351"/>
      <c r="CA81" s="351"/>
      <c r="CB81" s="351"/>
      <c r="CC81" s="351"/>
      <c r="CD81" s="351"/>
      <c r="CE81" s="351"/>
      <c r="CF81" s="351"/>
      <c r="CG81" s="351"/>
      <c r="CH81" s="351"/>
      <c r="CI81" s="351"/>
      <c r="CJ81" s="351"/>
      <c r="CK81" s="351"/>
      <c r="CL81" s="351"/>
      <c r="CM81" s="351"/>
      <c r="CN81" s="351"/>
      <c r="CO81" s="351"/>
      <c r="CP81" s="351"/>
      <c r="CQ81" s="351"/>
      <c r="CR81" s="351"/>
      <c r="CS81" s="351"/>
      <c r="CT81" s="351"/>
      <c r="CU81" s="351"/>
      <c r="CV81" s="351"/>
      <c r="CW81" s="351"/>
      <c r="CX81" s="351"/>
      <c r="CY81" s="351"/>
      <c r="CZ81" s="351"/>
      <c r="DA81" s="351"/>
      <c r="DB81" s="351"/>
      <c r="DC81" s="351"/>
      <c r="DD81" s="351"/>
      <c r="DE81" s="7"/>
    </row>
    <row r="82" spans="1:109" ht="15" customHeight="1">
      <c r="A82" s="3"/>
      <c r="B82" s="353"/>
      <c r="C82" s="354"/>
      <c r="D82" s="354"/>
      <c r="E82" s="354"/>
      <c r="F82" s="354"/>
      <c r="G82" s="354"/>
      <c r="H82" s="355"/>
      <c r="I82" s="352"/>
      <c r="J82" s="352"/>
      <c r="K82" s="352"/>
      <c r="L82" s="352"/>
      <c r="M82" s="352"/>
      <c r="N82" s="352"/>
      <c r="O82" s="352"/>
      <c r="P82" s="352"/>
      <c r="Q82" s="352"/>
      <c r="R82" s="352"/>
      <c r="S82" s="352"/>
      <c r="T82" s="352"/>
      <c r="U82" s="352"/>
      <c r="V82" s="352"/>
      <c r="W82" s="352"/>
      <c r="X82" s="352"/>
      <c r="Y82" s="352"/>
      <c r="Z82" s="352"/>
      <c r="AA82" s="352"/>
      <c r="AB82" s="352"/>
      <c r="AC82" s="352"/>
      <c r="AD82" s="352"/>
      <c r="AE82" s="352"/>
      <c r="AF82" s="352"/>
      <c r="AG82" s="352"/>
      <c r="AH82" s="352"/>
      <c r="AI82" s="352"/>
      <c r="AJ82" s="352"/>
      <c r="AK82" s="352"/>
      <c r="AL82" s="352"/>
      <c r="AM82" s="352"/>
      <c r="AN82" s="352"/>
      <c r="AO82" s="352"/>
      <c r="AP82" s="352"/>
      <c r="AQ82" s="352"/>
      <c r="AR82" s="352"/>
      <c r="AS82" s="352"/>
      <c r="AT82" s="352"/>
      <c r="AU82" s="352"/>
      <c r="AV82" s="352"/>
      <c r="AW82" s="352"/>
      <c r="AX82" s="352"/>
      <c r="AY82" s="352"/>
      <c r="AZ82" s="352"/>
      <c r="BA82" s="352"/>
      <c r="BB82" s="352"/>
      <c r="BC82" s="352"/>
      <c r="BD82" s="352"/>
      <c r="BE82" s="352"/>
      <c r="BF82" s="352"/>
      <c r="BG82" s="352"/>
      <c r="BH82" s="352"/>
      <c r="BI82" s="352"/>
      <c r="BJ82" s="352"/>
      <c r="BK82" s="352"/>
      <c r="BL82" s="352"/>
      <c r="BM82" s="352"/>
      <c r="BN82" s="352"/>
      <c r="BO82" s="352"/>
      <c r="BP82" s="352"/>
      <c r="BQ82" s="352"/>
      <c r="BR82" s="352"/>
      <c r="BS82" s="352"/>
      <c r="BT82" s="352"/>
      <c r="BU82" s="352"/>
      <c r="BV82" s="352"/>
      <c r="BW82" s="352"/>
      <c r="BX82" s="352"/>
      <c r="BY82" s="352"/>
      <c r="BZ82" s="352"/>
      <c r="CA82" s="352"/>
      <c r="CB82" s="352"/>
      <c r="CC82" s="352"/>
      <c r="CD82" s="352"/>
      <c r="CE82" s="352"/>
      <c r="CF82" s="352"/>
      <c r="CG82" s="352"/>
      <c r="CH82" s="352"/>
      <c r="CI82" s="352"/>
      <c r="CJ82" s="352"/>
      <c r="CK82" s="352"/>
      <c r="CL82" s="352"/>
      <c r="CM82" s="352"/>
      <c r="CN82" s="352"/>
      <c r="CO82" s="352"/>
      <c r="CP82" s="352"/>
      <c r="CQ82" s="352"/>
      <c r="CR82" s="352"/>
      <c r="CS82" s="352"/>
      <c r="CT82" s="352"/>
      <c r="CU82" s="352"/>
      <c r="CV82" s="352"/>
      <c r="CW82" s="352"/>
      <c r="CX82" s="352"/>
      <c r="CY82" s="352"/>
      <c r="CZ82" s="352"/>
      <c r="DA82" s="352"/>
      <c r="DB82" s="352"/>
      <c r="DC82" s="352"/>
      <c r="DD82" s="352"/>
      <c r="DE82" s="7"/>
    </row>
    <row r="83" spans="1:109" ht="15" customHeight="1">
      <c r="A83" s="6"/>
      <c r="B83" s="356"/>
      <c r="C83" s="357"/>
      <c r="D83" s="357"/>
      <c r="E83" s="357"/>
      <c r="F83" s="357"/>
      <c r="G83" s="357"/>
      <c r="H83" s="358"/>
      <c r="I83" s="352"/>
      <c r="J83" s="352"/>
      <c r="K83" s="352"/>
      <c r="L83" s="352"/>
      <c r="M83" s="352"/>
      <c r="N83" s="352"/>
      <c r="O83" s="352"/>
      <c r="P83" s="352"/>
      <c r="Q83" s="352"/>
      <c r="R83" s="352"/>
      <c r="S83" s="352"/>
      <c r="T83" s="352"/>
      <c r="U83" s="352"/>
      <c r="V83" s="352"/>
      <c r="W83" s="352"/>
      <c r="X83" s="352"/>
      <c r="Y83" s="352"/>
      <c r="Z83" s="352"/>
      <c r="AA83" s="352"/>
      <c r="AB83" s="352"/>
      <c r="AC83" s="352"/>
      <c r="AD83" s="352"/>
      <c r="AE83" s="352"/>
      <c r="AF83" s="352"/>
      <c r="AG83" s="352"/>
      <c r="AH83" s="352"/>
      <c r="AI83" s="352"/>
      <c r="AJ83" s="352"/>
      <c r="AK83" s="352"/>
      <c r="AL83" s="352"/>
      <c r="AM83" s="352"/>
      <c r="AN83" s="352"/>
      <c r="AO83" s="352"/>
      <c r="AP83" s="352"/>
      <c r="AQ83" s="352"/>
      <c r="AR83" s="352"/>
      <c r="AS83" s="352"/>
      <c r="AT83" s="352"/>
      <c r="AU83" s="352"/>
      <c r="AV83" s="352"/>
      <c r="AW83" s="352"/>
      <c r="AX83" s="352"/>
      <c r="AY83" s="352"/>
      <c r="AZ83" s="352"/>
      <c r="BA83" s="352"/>
      <c r="BB83" s="352"/>
      <c r="BC83" s="352"/>
      <c r="BD83" s="352"/>
      <c r="BE83" s="352"/>
      <c r="BF83" s="352"/>
      <c r="BG83" s="352"/>
      <c r="BH83" s="352"/>
      <c r="BI83" s="352"/>
      <c r="BJ83" s="352"/>
      <c r="BK83" s="352"/>
      <c r="BL83" s="352"/>
      <c r="BM83" s="352"/>
      <c r="BN83" s="352"/>
      <c r="BO83" s="352"/>
      <c r="BP83" s="352"/>
      <c r="BQ83" s="352"/>
      <c r="BR83" s="352"/>
      <c r="BS83" s="352"/>
      <c r="BT83" s="352"/>
      <c r="BU83" s="352"/>
      <c r="BV83" s="352"/>
      <c r="BW83" s="352"/>
      <c r="BX83" s="352"/>
      <c r="BY83" s="352"/>
      <c r="BZ83" s="352"/>
      <c r="CA83" s="352"/>
      <c r="CB83" s="352"/>
      <c r="CC83" s="352"/>
      <c r="CD83" s="352"/>
      <c r="CE83" s="352"/>
      <c r="CF83" s="352"/>
      <c r="CG83" s="352"/>
      <c r="CH83" s="352"/>
      <c r="CI83" s="352"/>
      <c r="CJ83" s="352"/>
      <c r="CK83" s="352"/>
      <c r="CL83" s="352"/>
      <c r="CM83" s="352"/>
      <c r="CN83" s="352"/>
      <c r="CO83" s="352"/>
      <c r="CP83" s="352"/>
      <c r="CQ83" s="352"/>
      <c r="CR83" s="352"/>
      <c r="CS83" s="352"/>
      <c r="CT83" s="352"/>
      <c r="CU83" s="352"/>
      <c r="CV83" s="352"/>
      <c r="CW83" s="352"/>
      <c r="CX83" s="352"/>
      <c r="CY83" s="352"/>
      <c r="CZ83" s="352"/>
      <c r="DA83" s="352"/>
      <c r="DB83" s="352"/>
      <c r="DC83" s="352"/>
      <c r="DD83" s="352"/>
      <c r="DE83" s="7"/>
    </row>
    <row r="84" spans="1:109" ht="15" customHeight="1">
      <c r="A84" s="6"/>
      <c r="B84" s="382"/>
      <c r="C84" s="383"/>
      <c r="D84" s="383"/>
      <c r="E84" s="383"/>
      <c r="F84" s="383"/>
      <c r="G84" s="383"/>
      <c r="H84" s="384"/>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c r="BI84" s="351"/>
      <c r="BJ84" s="351"/>
      <c r="BK84" s="351"/>
      <c r="BL84" s="351"/>
      <c r="BM84" s="351"/>
      <c r="BN84" s="351"/>
      <c r="BO84" s="351"/>
      <c r="BP84" s="351"/>
      <c r="BQ84" s="351"/>
      <c r="BR84" s="351"/>
      <c r="BS84" s="351"/>
      <c r="BT84" s="351"/>
      <c r="BU84" s="351"/>
      <c r="BV84" s="351"/>
      <c r="BW84" s="351"/>
      <c r="BX84" s="351"/>
      <c r="BY84" s="351"/>
      <c r="BZ84" s="351"/>
      <c r="CA84" s="351"/>
      <c r="CB84" s="351"/>
      <c r="CC84" s="351"/>
      <c r="CD84" s="351"/>
      <c r="CE84" s="351"/>
      <c r="CF84" s="351"/>
      <c r="CG84" s="351"/>
      <c r="CH84" s="351"/>
      <c r="CI84" s="351"/>
      <c r="CJ84" s="351"/>
      <c r="CK84" s="351"/>
      <c r="CL84" s="351"/>
      <c r="CM84" s="351"/>
      <c r="CN84" s="351"/>
      <c r="CO84" s="351"/>
      <c r="CP84" s="351"/>
      <c r="CQ84" s="351"/>
      <c r="CR84" s="351"/>
      <c r="CS84" s="351"/>
      <c r="CT84" s="351"/>
      <c r="CU84" s="351"/>
      <c r="CV84" s="351"/>
      <c r="CW84" s="351"/>
      <c r="CX84" s="351"/>
      <c r="CY84" s="351"/>
      <c r="CZ84" s="351"/>
      <c r="DA84" s="351"/>
      <c r="DB84" s="351"/>
      <c r="DC84" s="351"/>
      <c r="DD84" s="351"/>
      <c r="DE84" s="7"/>
    </row>
    <row r="85" spans="1:109" ht="15" customHeight="1">
      <c r="A85" s="3"/>
      <c r="B85" s="385"/>
      <c r="C85" s="386"/>
      <c r="D85" s="386"/>
      <c r="E85" s="386"/>
      <c r="F85" s="386"/>
      <c r="G85" s="386"/>
      <c r="H85" s="387"/>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c r="BI85" s="351"/>
      <c r="BJ85" s="351"/>
      <c r="BK85" s="351"/>
      <c r="BL85" s="351"/>
      <c r="BM85" s="351"/>
      <c r="BN85" s="351"/>
      <c r="BO85" s="351"/>
      <c r="BP85" s="351"/>
      <c r="BQ85" s="351"/>
      <c r="BR85" s="351"/>
      <c r="BS85" s="351"/>
      <c r="BT85" s="351"/>
      <c r="BU85" s="351"/>
      <c r="BV85" s="351"/>
      <c r="BW85" s="351"/>
      <c r="BX85" s="351"/>
      <c r="BY85" s="351"/>
      <c r="BZ85" s="351"/>
      <c r="CA85" s="351"/>
      <c r="CB85" s="351"/>
      <c r="CC85" s="351"/>
      <c r="CD85" s="351"/>
      <c r="CE85" s="351"/>
      <c r="CF85" s="351"/>
      <c r="CG85" s="351"/>
      <c r="CH85" s="351"/>
      <c r="CI85" s="351"/>
      <c r="CJ85" s="351"/>
      <c r="CK85" s="351"/>
      <c r="CL85" s="351"/>
      <c r="CM85" s="351"/>
      <c r="CN85" s="351"/>
      <c r="CO85" s="351"/>
      <c r="CP85" s="351"/>
      <c r="CQ85" s="351"/>
      <c r="CR85" s="351"/>
      <c r="CS85" s="351"/>
      <c r="CT85" s="351"/>
      <c r="CU85" s="351"/>
      <c r="CV85" s="351"/>
      <c r="CW85" s="351"/>
      <c r="CX85" s="351"/>
      <c r="CY85" s="351"/>
      <c r="CZ85" s="351"/>
      <c r="DA85" s="351"/>
      <c r="DB85" s="351"/>
      <c r="DC85" s="351"/>
      <c r="DD85" s="351"/>
      <c r="DE85" s="7"/>
    </row>
    <row r="86" spans="1:109" ht="15" customHeight="1">
      <c r="A86" s="6"/>
      <c r="B86" s="353"/>
      <c r="C86" s="354"/>
      <c r="D86" s="354"/>
      <c r="E86" s="354"/>
      <c r="F86" s="354"/>
      <c r="G86" s="354"/>
      <c r="H86" s="355"/>
      <c r="I86" s="352"/>
      <c r="J86" s="352"/>
      <c r="K86" s="352"/>
      <c r="L86" s="352"/>
      <c r="M86" s="352"/>
      <c r="N86" s="352"/>
      <c r="O86" s="352"/>
      <c r="P86" s="352"/>
      <c r="Q86" s="352"/>
      <c r="R86" s="352"/>
      <c r="S86" s="352"/>
      <c r="T86" s="352"/>
      <c r="U86" s="352"/>
      <c r="V86" s="352"/>
      <c r="W86" s="352"/>
      <c r="X86" s="352"/>
      <c r="Y86" s="352"/>
      <c r="Z86" s="352"/>
      <c r="AA86" s="352"/>
      <c r="AB86" s="352"/>
      <c r="AC86" s="352"/>
      <c r="AD86" s="352"/>
      <c r="AE86" s="352"/>
      <c r="AF86" s="352"/>
      <c r="AG86" s="352"/>
      <c r="AH86" s="352"/>
      <c r="AI86" s="352"/>
      <c r="AJ86" s="352"/>
      <c r="AK86" s="352"/>
      <c r="AL86" s="352"/>
      <c r="AM86" s="352"/>
      <c r="AN86" s="352"/>
      <c r="AO86" s="352"/>
      <c r="AP86" s="352"/>
      <c r="AQ86" s="352"/>
      <c r="AR86" s="352"/>
      <c r="AS86" s="352"/>
      <c r="AT86" s="352"/>
      <c r="AU86" s="352"/>
      <c r="AV86" s="352"/>
      <c r="AW86" s="352"/>
      <c r="AX86" s="352"/>
      <c r="AY86" s="352"/>
      <c r="AZ86" s="352"/>
      <c r="BA86" s="352"/>
      <c r="BB86" s="352"/>
      <c r="BC86" s="352"/>
      <c r="BD86" s="352"/>
      <c r="BE86" s="352"/>
      <c r="BF86" s="352"/>
      <c r="BG86" s="352"/>
      <c r="BH86" s="352"/>
      <c r="BI86" s="352"/>
      <c r="BJ86" s="352"/>
      <c r="BK86" s="352"/>
      <c r="BL86" s="352"/>
      <c r="BM86" s="352"/>
      <c r="BN86" s="352"/>
      <c r="BO86" s="352"/>
      <c r="BP86" s="352"/>
      <c r="BQ86" s="352"/>
      <c r="BR86" s="352"/>
      <c r="BS86" s="352"/>
      <c r="BT86" s="352"/>
      <c r="BU86" s="352"/>
      <c r="BV86" s="352"/>
      <c r="BW86" s="352"/>
      <c r="BX86" s="352"/>
      <c r="BY86" s="352"/>
      <c r="BZ86" s="352"/>
      <c r="CA86" s="352"/>
      <c r="CB86" s="352"/>
      <c r="CC86" s="352"/>
      <c r="CD86" s="352"/>
      <c r="CE86" s="352"/>
      <c r="CF86" s="352"/>
      <c r="CG86" s="352"/>
      <c r="CH86" s="352"/>
      <c r="CI86" s="352"/>
      <c r="CJ86" s="352"/>
      <c r="CK86" s="352"/>
      <c r="CL86" s="352"/>
      <c r="CM86" s="352"/>
      <c r="CN86" s="352"/>
      <c r="CO86" s="352"/>
      <c r="CP86" s="352"/>
      <c r="CQ86" s="352"/>
      <c r="CR86" s="352"/>
      <c r="CS86" s="352"/>
      <c r="CT86" s="352"/>
      <c r="CU86" s="352"/>
      <c r="CV86" s="352"/>
      <c r="CW86" s="352"/>
      <c r="CX86" s="352"/>
      <c r="CY86" s="352"/>
      <c r="CZ86" s="352"/>
      <c r="DA86" s="352"/>
      <c r="DB86" s="352"/>
      <c r="DC86" s="352"/>
      <c r="DD86" s="352"/>
      <c r="DE86" s="7"/>
    </row>
    <row r="87" spans="1:109" ht="15" customHeight="1">
      <c r="A87" s="8"/>
      <c r="B87" s="356"/>
      <c r="C87" s="357"/>
      <c r="D87" s="357"/>
      <c r="E87" s="357"/>
      <c r="F87" s="357"/>
      <c r="G87" s="357"/>
      <c r="H87" s="358"/>
      <c r="I87" s="352"/>
      <c r="J87" s="352"/>
      <c r="K87" s="352"/>
      <c r="L87" s="352"/>
      <c r="M87" s="352"/>
      <c r="N87" s="352"/>
      <c r="O87" s="352"/>
      <c r="P87" s="352"/>
      <c r="Q87" s="352"/>
      <c r="R87" s="352"/>
      <c r="S87" s="352"/>
      <c r="T87" s="352"/>
      <c r="U87" s="352"/>
      <c r="V87" s="352"/>
      <c r="W87" s="352"/>
      <c r="X87" s="352"/>
      <c r="Y87" s="352"/>
      <c r="Z87" s="352"/>
      <c r="AA87" s="352"/>
      <c r="AB87" s="352"/>
      <c r="AC87" s="352"/>
      <c r="AD87" s="352"/>
      <c r="AE87" s="352"/>
      <c r="AF87" s="352"/>
      <c r="AG87" s="352"/>
      <c r="AH87" s="352"/>
      <c r="AI87" s="352"/>
      <c r="AJ87" s="352"/>
      <c r="AK87" s="352"/>
      <c r="AL87" s="352"/>
      <c r="AM87" s="352"/>
      <c r="AN87" s="352"/>
      <c r="AO87" s="352"/>
      <c r="AP87" s="352"/>
      <c r="AQ87" s="352"/>
      <c r="AR87" s="352"/>
      <c r="AS87" s="352"/>
      <c r="AT87" s="352"/>
      <c r="AU87" s="352"/>
      <c r="AV87" s="352"/>
      <c r="AW87" s="352"/>
      <c r="AX87" s="352"/>
      <c r="AY87" s="352"/>
      <c r="AZ87" s="352"/>
      <c r="BA87" s="352"/>
      <c r="BB87" s="352"/>
      <c r="BC87" s="352"/>
      <c r="BD87" s="352"/>
      <c r="BE87" s="352"/>
      <c r="BF87" s="352"/>
      <c r="BG87" s="352"/>
      <c r="BH87" s="352"/>
      <c r="BI87" s="352"/>
      <c r="BJ87" s="352"/>
      <c r="BK87" s="352"/>
      <c r="BL87" s="352"/>
      <c r="BM87" s="352"/>
      <c r="BN87" s="352"/>
      <c r="BO87" s="352"/>
      <c r="BP87" s="352"/>
      <c r="BQ87" s="352"/>
      <c r="BR87" s="352"/>
      <c r="BS87" s="352"/>
      <c r="BT87" s="352"/>
      <c r="BU87" s="352"/>
      <c r="BV87" s="352"/>
      <c r="BW87" s="352"/>
      <c r="BX87" s="352"/>
      <c r="BY87" s="352"/>
      <c r="BZ87" s="352"/>
      <c r="CA87" s="352"/>
      <c r="CB87" s="352"/>
      <c r="CC87" s="352"/>
      <c r="CD87" s="352"/>
      <c r="CE87" s="352"/>
      <c r="CF87" s="352"/>
      <c r="CG87" s="352"/>
      <c r="CH87" s="352"/>
      <c r="CI87" s="352"/>
      <c r="CJ87" s="352"/>
      <c r="CK87" s="352"/>
      <c r="CL87" s="352"/>
      <c r="CM87" s="352"/>
      <c r="CN87" s="352"/>
      <c r="CO87" s="352"/>
      <c r="CP87" s="352"/>
      <c r="CQ87" s="352"/>
      <c r="CR87" s="352"/>
      <c r="CS87" s="352"/>
      <c r="CT87" s="352"/>
      <c r="CU87" s="352"/>
      <c r="CV87" s="352"/>
      <c r="CW87" s="352"/>
      <c r="CX87" s="352"/>
      <c r="CY87" s="352"/>
      <c r="CZ87" s="352"/>
      <c r="DA87" s="352"/>
      <c r="DB87" s="352"/>
      <c r="DC87" s="352"/>
      <c r="DD87" s="352"/>
      <c r="DE87" s="7"/>
    </row>
    <row r="88" spans="1:109" ht="15" customHeight="1">
      <c r="A88" s="8"/>
      <c r="B88" s="382"/>
      <c r="C88" s="383"/>
      <c r="D88" s="383"/>
      <c r="E88" s="383"/>
      <c r="F88" s="383"/>
      <c r="G88" s="383"/>
      <c r="H88" s="384"/>
      <c r="I88" s="351"/>
      <c r="J88" s="351"/>
      <c r="K88" s="351"/>
      <c r="L88" s="351"/>
      <c r="M88" s="351"/>
      <c r="N88" s="351"/>
      <c r="O88" s="351"/>
      <c r="P88" s="351"/>
      <c r="Q88" s="351"/>
      <c r="R88" s="351"/>
      <c r="S88" s="351"/>
      <c r="T88" s="351"/>
      <c r="U88" s="351"/>
      <c r="V88" s="351"/>
      <c r="W88" s="351"/>
      <c r="X88" s="351"/>
      <c r="Y88" s="351"/>
      <c r="Z88" s="351"/>
      <c r="AA88" s="351"/>
      <c r="AB88" s="351"/>
      <c r="AC88" s="351"/>
      <c r="AD88" s="417"/>
      <c r="AE88" s="351"/>
      <c r="AF88" s="351"/>
      <c r="AG88" s="351"/>
      <c r="AH88" s="351"/>
      <c r="AI88" s="351"/>
      <c r="AJ88" s="351"/>
      <c r="AK88" s="417"/>
      <c r="AL88" s="351"/>
      <c r="AM88" s="351"/>
      <c r="AN88" s="351"/>
      <c r="AO88" s="351"/>
      <c r="AP88" s="351"/>
      <c r="AQ88" s="351"/>
      <c r="AR88" s="351"/>
      <c r="AS88" s="351"/>
      <c r="AT88" s="351"/>
      <c r="AU88" s="351"/>
      <c r="AV88" s="351"/>
      <c r="AW88" s="351"/>
      <c r="AX88" s="351"/>
      <c r="AY88" s="351"/>
      <c r="AZ88" s="351"/>
      <c r="BA88" s="351"/>
      <c r="BB88" s="351"/>
      <c r="BC88" s="351"/>
      <c r="BD88" s="351"/>
      <c r="BE88" s="351"/>
      <c r="BF88" s="382"/>
      <c r="BG88" s="383"/>
      <c r="BH88" s="383"/>
      <c r="BI88" s="383"/>
      <c r="BJ88" s="383"/>
      <c r="BK88" s="383"/>
      <c r="BL88" s="384"/>
      <c r="BM88" s="382"/>
      <c r="BN88" s="383"/>
      <c r="BO88" s="383"/>
      <c r="BP88" s="383"/>
      <c r="BQ88" s="383"/>
      <c r="BR88" s="383"/>
      <c r="BS88" s="383"/>
      <c r="BT88" s="383"/>
      <c r="BU88" s="383"/>
      <c r="BV88" s="383"/>
      <c r="BW88" s="383"/>
      <c r="BX88" s="383"/>
      <c r="BY88" s="383"/>
      <c r="BZ88" s="383"/>
      <c r="CA88" s="383"/>
      <c r="CB88" s="383"/>
      <c r="CC88" s="383"/>
      <c r="CD88" s="383"/>
      <c r="CE88" s="383"/>
      <c r="CF88" s="383"/>
      <c r="CG88" s="383"/>
      <c r="CH88" s="383"/>
      <c r="CI88" s="383"/>
      <c r="CJ88" s="383"/>
      <c r="CK88" s="383"/>
      <c r="CL88" s="384"/>
      <c r="CM88" s="351"/>
      <c r="CN88" s="351"/>
      <c r="CO88" s="351"/>
      <c r="CP88" s="351"/>
      <c r="CQ88" s="351"/>
      <c r="CR88" s="351"/>
      <c r="CS88" s="351"/>
      <c r="CT88" s="351"/>
      <c r="CU88" s="351"/>
      <c r="CV88" s="351"/>
      <c r="CW88" s="351"/>
      <c r="CX88" s="351"/>
      <c r="CY88" s="351"/>
      <c r="CZ88" s="351"/>
      <c r="DA88" s="351"/>
      <c r="DB88" s="351"/>
      <c r="DC88" s="351"/>
      <c r="DD88" s="351"/>
      <c r="DE88" s="7"/>
    </row>
    <row r="89" spans="1:109" ht="15" customHeight="1">
      <c r="A89" s="3"/>
      <c r="B89" s="385"/>
      <c r="C89" s="386"/>
      <c r="D89" s="386"/>
      <c r="E89" s="386"/>
      <c r="F89" s="386"/>
      <c r="G89" s="386"/>
      <c r="H89" s="387"/>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85"/>
      <c r="BG89" s="386"/>
      <c r="BH89" s="386"/>
      <c r="BI89" s="386"/>
      <c r="BJ89" s="386"/>
      <c r="BK89" s="386"/>
      <c r="BL89" s="387"/>
      <c r="BM89" s="385"/>
      <c r="BN89" s="386"/>
      <c r="BO89" s="386"/>
      <c r="BP89" s="386"/>
      <c r="BQ89" s="386"/>
      <c r="BR89" s="386"/>
      <c r="BS89" s="386"/>
      <c r="BT89" s="386"/>
      <c r="BU89" s="386"/>
      <c r="BV89" s="386"/>
      <c r="BW89" s="386"/>
      <c r="BX89" s="386"/>
      <c r="BY89" s="386"/>
      <c r="BZ89" s="386"/>
      <c r="CA89" s="386"/>
      <c r="CB89" s="386"/>
      <c r="CC89" s="386"/>
      <c r="CD89" s="386"/>
      <c r="CE89" s="386"/>
      <c r="CF89" s="386"/>
      <c r="CG89" s="386"/>
      <c r="CH89" s="386"/>
      <c r="CI89" s="386"/>
      <c r="CJ89" s="386"/>
      <c r="CK89" s="386"/>
      <c r="CL89" s="387"/>
      <c r="CM89" s="351"/>
      <c r="CN89" s="351"/>
      <c r="CO89" s="351"/>
      <c r="CP89" s="351"/>
      <c r="CQ89" s="351"/>
      <c r="CR89" s="351"/>
      <c r="CS89" s="351"/>
      <c r="CT89" s="351"/>
      <c r="CU89" s="351"/>
      <c r="CV89" s="351"/>
      <c r="CW89" s="351"/>
      <c r="CX89" s="351"/>
      <c r="CY89" s="351"/>
      <c r="CZ89" s="351"/>
      <c r="DA89" s="351"/>
      <c r="DB89" s="351"/>
      <c r="DC89" s="351"/>
      <c r="DD89" s="351"/>
      <c r="DE89" s="7"/>
    </row>
    <row r="90" spans="1:109" ht="15" customHeight="1">
      <c r="A90" s="3"/>
      <c r="B90" s="352"/>
      <c r="C90" s="352"/>
      <c r="D90" s="352"/>
      <c r="E90" s="352"/>
      <c r="F90" s="352"/>
      <c r="G90" s="352"/>
      <c r="H90" s="352"/>
      <c r="I90" s="352"/>
      <c r="J90" s="352"/>
      <c r="K90" s="352"/>
      <c r="L90" s="352"/>
      <c r="M90" s="352"/>
      <c r="N90" s="352"/>
      <c r="O90" s="352"/>
      <c r="P90" s="352"/>
      <c r="Q90" s="352"/>
      <c r="R90" s="352"/>
      <c r="S90" s="352"/>
      <c r="T90" s="352"/>
      <c r="U90" s="352"/>
      <c r="V90" s="352"/>
      <c r="W90" s="352"/>
      <c r="X90" s="352"/>
      <c r="Y90" s="352"/>
      <c r="Z90" s="352"/>
      <c r="AA90" s="352"/>
      <c r="AB90" s="352"/>
      <c r="AC90" s="352"/>
      <c r="AD90" s="352"/>
      <c r="AE90" s="352"/>
      <c r="AF90" s="352"/>
      <c r="AG90" s="352"/>
      <c r="AH90" s="352"/>
      <c r="AI90" s="352"/>
      <c r="AJ90" s="352"/>
      <c r="AK90" s="352"/>
      <c r="AL90" s="352"/>
      <c r="AM90" s="352"/>
      <c r="AN90" s="352"/>
      <c r="AO90" s="352"/>
      <c r="AP90" s="352"/>
      <c r="AQ90" s="352"/>
      <c r="AR90" s="352"/>
      <c r="AS90" s="352"/>
      <c r="AT90" s="352"/>
      <c r="AU90" s="352"/>
      <c r="AV90" s="352"/>
      <c r="AW90" s="352"/>
      <c r="AX90" s="352"/>
      <c r="AY90" s="352"/>
      <c r="AZ90" s="352"/>
      <c r="BA90" s="352"/>
      <c r="BB90" s="352"/>
      <c r="BC90" s="352"/>
      <c r="BD90" s="352"/>
      <c r="BE90" s="352"/>
      <c r="BF90" s="352"/>
      <c r="BG90" s="352"/>
      <c r="BH90" s="352"/>
      <c r="BI90" s="352"/>
      <c r="BJ90" s="352"/>
      <c r="BK90" s="352"/>
      <c r="BL90" s="352"/>
      <c r="BM90" s="352"/>
      <c r="BN90" s="352"/>
      <c r="BO90" s="352"/>
      <c r="BP90" s="352"/>
      <c r="BQ90" s="352"/>
      <c r="BR90" s="352"/>
      <c r="BS90" s="352"/>
      <c r="BT90" s="352"/>
      <c r="BU90" s="352"/>
      <c r="BV90" s="352"/>
      <c r="BW90" s="352"/>
      <c r="BX90" s="352"/>
      <c r="BY90" s="352"/>
      <c r="BZ90" s="352"/>
      <c r="CA90" s="352"/>
      <c r="CB90" s="352"/>
      <c r="CC90" s="352"/>
      <c r="CD90" s="352"/>
      <c r="CE90" s="352"/>
      <c r="CF90" s="352"/>
      <c r="CG90" s="352"/>
      <c r="CH90" s="352"/>
      <c r="CI90" s="352"/>
      <c r="CJ90" s="352"/>
      <c r="CK90" s="352"/>
      <c r="CL90" s="352"/>
      <c r="CM90" s="352"/>
      <c r="CN90" s="352"/>
      <c r="CO90" s="352"/>
      <c r="CP90" s="352"/>
      <c r="CQ90" s="352"/>
      <c r="CR90" s="352"/>
      <c r="CS90" s="352"/>
      <c r="CT90" s="352"/>
      <c r="CU90" s="352"/>
      <c r="CV90" s="352"/>
      <c r="CW90" s="352"/>
      <c r="CX90" s="352"/>
      <c r="CY90" s="352"/>
      <c r="CZ90" s="352"/>
      <c r="DA90" s="352"/>
      <c r="DB90" s="352"/>
      <c r="DC90" s="352"/>
      <c r="DD90" s="352"/>
      <c r="DE90" s="7"/>
    </row>
    <row r="91" spans="1:109" ht="15" customHeight="1">
      <c r="A91" s="6"/>
      <c r="B91" s="352"/>
      <c r="C91" s="352"/>
      <c r="D91" s="352"/>
      <c r="E91" s="352"/>
      <c r="F91" s="352"/>
      <c r="G91" s="352"/>
      <c r="H91" s="352"/>
      <c r="I91" s="352"/>
      <c r="J91" s="352"/>
      <c r="K91" s="352"/>
      <c r="L91" s="352"/>
      <c r="M91" s="352"/>
      <c r="N91" s="352"/>
      <c r="O91" s="352"/>
      <c r="P91" s="352"/>
      <c r="Q91" s="352"/>
      <c r="R91" s="352"/>
      <c r="S91" s="352"/>
      <c r="T91" s="352"/>
      <c r="U91" s="352"/>
      <c r="V91" s="352"/>
      <c r="W91" s="352"/>
      <c r="X91" s="352"/>
      <c r="Y91" s="352"/>
      <c r="Z91" s="352"/>
      <c r="AA91" s="352"/>
      <c r="AB91" s="352"/>
      <c r="AC91" s="352"/>
      <c r="AD91" s="352"/>
      <c r="AE91" s="352"/>
      <c r="AF91" s="352"/>
      <c r="AG91" s="352"/>
      <c r="AH91" s="352"/>
      <c r="AI91" s="352"/>
      <c r="AJ91" s="352"/>
      <c r="AK91" s="352"/>
      <c r="AL91" s="352"/>
      <c r="AM91" s="352"/>
      <c r="AN91" s="352"/>
      <c r="AO91" s="352"/>
      <c r="AP91" s="352"/>
      <c r="AQ91" s="352"/>
      <c r="AR91" s="352"/>
      <c r="AS91" s="352"/>
      <c r="AT91" s="352"/>
      <c r="AU91" s="352"/>
      <c r="AV91" s="352"/>
      <c r="AW91" s="352"/>
      <c r="AX91" s="352"/>
      <c r="AY91" s="352"/>
      <c r="AZ91" s="352"/>
      <c r="BA91" s="352"/>
      <c r="BB91" s="352"/>
      <c r="BC91" s="352"/>
      <c r="BD91" s="352"/>
      <c r="BE91" s="352"/>
      <c r="BF91" s="352"/>
      <c r="BG91" s="352"/>
      <c r="BH91" s="352"/>
      <c r="BI91" s="352"/>
      <c r="BJ91" s="352"/>
      <c r="BK91" s="352"/>
      <c r="BL91" s="352"/>
      <c r="BM91" s="352"/>
      <c r="BN91" s="352"/>
      <c r="BO91" s="352"/>
      <c r="BP91" s="352"/>
      <c r="BQ91" s="352"/>
      <c r="BR91" s="352"/>
      <c r="BS91" s="352"/>
      <c r="BT91" s="352"/>
      <c r="BU91" s="352"/>
      <c r="BV91" s="352"/>
      <c r="BW91" s="352"/>
      <c r="BX91" s="352"/>
      <c r="BY91" s="352"/>
      <c r="BZ91" s="352"/>
      <c r="CA91" s="352"/>
      <c r="CB91" s="352"/>
      <c r="CC91" s="352"/>
      <c r="CD91" s="352"/>
      <c r="CE91" s="352"/>
      <c r="CF91" s="352"/>
      <c r="CG91" s="352"/>
      <c r="CH91" s="352"/>
      <c r="CI91" s="352"/>
      <c r="CJ91" s="352"/>
      <c r="CK91" s="352"/>
      <c r="CL91" s="352"/>
      <c r="CM91" s="352"/>
      <c r="CN91" s="352"/>
      <c r="CO91" s="352"/>
      <c r="CP91" s="352"/>
      <c r="CQ91" s="352"/>
      <c r="CR91" s="352"/>
      <c r="CS91" s="352"/>
      <c r="CT91" s="352"/>
      <c r="CU91" s="352"/>
      <c r="CV91" s="352"/>
      <c r="CW91" s="352"/>
      <c r="CX91" s="352"/>
      <c r="CY91" s="352"/>
      <c r="CZ91" s="352"/>
      <c r="DA91" s="352"/>
      <c r="DB91" s="352"/>
      <c r="DC91" s="352"/>
      <c r="DD91" s="352"/>
      <c r="DE91" s="7"/>
    </row>
    <row r="92" spans="1:109" ht="15" customHeight="1">
      <c r="A92" s="8"/>
      <c r="B92" s="382"/>
      <c r="C92" s="383"/>
      <c r="D92" s="383"/>
      <c r="E92" s="383"/>
      <c r="F92" s="383"/>
      <c r="G92" s="383"/>
      <c r="H92" s="384"/>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c r="BI92" s="351"/>
      <c r="BJ92" s="351"/>
      <c r="BK92" s="351"/>
      <c r="BL92" s="351"/>
      <c r="BM92" s="351"/>
      <c r="BN92" s="351"/>
      <c r="BO92" s="351"/>
      <c r="BP92" s="351"/>
      <c r="BQ92" s="351"/>
      <c r="BR92" s="351"/>
      <c r="BS92" s="351"/>
      <c r="BT92" s="351"/>
      <c r="BU92" s="351"/>
      <c r="BV92" s="351"/>
      <c r="BW92" s="351"/>
      <c r="BX92" s="351"/>
      <c r="BY92" s="351"/>
      <c r="BZ92" s="351"/>
      <c r="CA92" s="351"/>
      <c r="CB92" s="351"/>
      <c r="CC92" s="351"/>
      <c r="CD92" s="351"/>
      <c r="CE92" s="351"/>
      <c r="CF92" s="351"/>
      <c r="CG92" s="351"/>
      <c r="CH92" s="351"/>
      <c r="CI92" s="351"/>
      <c r="CJ92" s="351"/>
      <c r="CK92" s="351"/>
      <c r="CL92" s="351"/>
      <c r="CM92" s="351"/>
      <c r="CN92" s="351"/>
      <c r="CO92" s="351"/>
      <c r="CP92" s="351"/>
      <c r="CQ92" s="351"/>
      <c r="CR92" s="351"/>
      <c r="CS92" s="351"/>
      <c r="CT92" s="351"/>
      <c r="CU92" s="351"/>
      <c r="CV92" s="351"/>
      <c r="CW92" s="351"/>
      <c r="CX92" s="351"/>
      <c r="CY92" s="351"/>
      <c r="CZ92" s="351"/>
      <c r="DA92" s="351"/>
      <c r="DB92" s="351"/>
      <c r="DC92" s="351"/>
      <c r="DD92" s="351"/>
      <c r="DE92" s="7"/>
    </row>
    <row r="93" spans="1:109" ht="15" customHeight="1">
      <c r="A93" s="3"/>
      <c r="B93" s="385"/>
      <c r="C93" s="386"/>
      <c r="D93" s="386"/>
      <c r="E93" s="386"/>
      <c r="F93" s="386"/>
      <c r="G93" s="386"/>
      <c r="H93" s="387"/>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c r="BI93" s="351"/>
      <c r="BJ93" s="351"/>
      <c r="BK93" s="351"/>
      <c r="BL93" s="351"/>
      <c r="BM93" s="351"/>
      <c r="BN93" s="351"/>
      <c r="BO93" s="351"/>
      <c r="BP93" s="351"/>
      <c r="BQ93" s="351"/>
      <c r="BR93" s="351"/>
      <c r="BS93" s="351"/>
      <c r="BT93" s="351"/>
      <c r="BU93" s="351"/>
      <c r="BV93" s="351"/>
      <c r="BW93" s="351"/>
      <c r="BX93" s="351"/>
      <c r="BY93" s="351"/>
      <c r="BZ93" s="351"/>
      <c r="CA93" s="351"/>
      <c r="CB93" s="351"/>
      <c r="CC93" s="351"/>
      <c r="CD93" s="351"/>
      <c r="CE93" s="351"/>
      <c r="CF93" s="351"/>
      <c r="CG93" s="351"/>
      <c r="CH93" s="351"/>
      <c r="CI93" s="351"/>
      <c r="CJ93" s="351"/>
      <c r="CK93" s="351"/>
      <c r="CL93" s="351"/>
      <c r="CM93" s="351"/>
      <c r="CN93" s="351"/>
      <c r="CO93" s="351"/>
      <c r="CP93" s="351"/>
      <c r="CQ93" s="351"/>
      <c r="CR93" s="351"/>
      <c r="CS93" s="351"/>
      <c r="CT93" s="351"/>
      <c r="CU93" s="351"/>
      <c r="CV93" s="351"/>
      <c r="CW93" s="351"/>
      <c r="CX93" s="351"/>
      <c r="CY93" s="351"/>
      <c r="CZ93" s="351"/>
      <c r="DA93" s="351"/>
      <c r="DB93" s="351"/>
      <c r="DC93" s="351"/>
      <c r="DD93" s="351"/>
      <c r="DE93" s="7"/>
    </row>
    <row r="94" spans="1:109" ht="15" customHeight="1">
      <c r="A94" s="3"/>
      <c r="B94" s="353"/>
      <c r="C94" s="354"/>
      <c r="D94" s="354"/>
      <c r="E94" s="354"/>
      <c r="F94" s="354"/>
      <c r="G94" s="354"/>
      <c r="H94" s="355"/>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2"/>
      <c r="BL94" s="352"/>
      <c r="BM94" s="352"/>
      <c r="BN94" s="352"/>
      <c r="BO94" s="352"/>
      <c r="BP94" s="352"/>
      <c r="BQ94" s="352"/>
      <c r="BR94" s="352"/>
      <c r="BS94" s="352"/>
      <c r="BT94" s="352"/>
      <c r="BU94" s="352"/>
      <c r="BV94" s="352"/>
      <c r="BW94" s="352"/>
      <c r="BX94" s="352"/>
      <c r="BY94" s="352"/>
      <c r="BZ94" s="352"/>
      <c r="CA94" s="352"/>
      <c r="CB94" s="352"/>
      <c r="CC94" s="352"/>
      <c r="CD94" s="352"/>
      <c r="CE94" s="352"/>
      <c r="CF94" s="352"/>
      <c r="CG94" s="352"/>
      <c r="CH94" s="352"/>
      <c r="CI94" s="352"/>
      <c r="CJ94" s="352"/>
      <c r="CK94" s="352"/>
      <c r="CL94" s="352"/>
      <c r="CM94" s="352"/>
      <c r="CN94" s="352"/>
      <c r="CO94" s="352"/>
      <c r="CP94" s="352"/>
      <c r="CQ94" s="352"/>
      <c r="CR94" s="352"/>
      <c r="CS94" s="352"/>
      <c r="CT94" s="352"/>
      <c r="CU94" s="352"/>
      <c r="CV94" s="352"/>
      <c r="CW94" s="352"/>
      <c r="CX94" s="352"/>
      <c r="CY94" s="352"/>
      <c r="CZ94" s="352"/>
      <c r="DA94" s="352"/>
      <c r="DB94" s="352"/>
      <c r="DC94" s="352"/>
      <c r="DD94" s="352"/>
      <c r="DE94" s="7"/>
    </row>
    <row r="95" spans="1:109" ht="15" customHeight="1">
      <c r="A95" s="3"/>
      <c r="B95" s="356"/>
      <c r="C95" s="357"/>
      <c r="D95" s="357"/>
      <c r="E95" s="357"/>
      <c r="F95" s="357"/>
      <c r="G95" s="357"/>
      <c r="H95" s="358"/>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2"/>
      <c r="BL95" s="352"/>
      <c r="BM95" s="352"/>
      <c r="BN95" s="352"/>
      <c r="BO95" s="352"/>
      <c r="BP95" s="352"/>
      <c r="BQ95" s="352"/>
      <c r="BR95" s="352"/>
      <c r="BS95" s="352"/>
      <c r="BT95" s="352"/>
      <c r="BU95" s="352"/>
      <c r="BV95" s="352"/>
      <c r="BW95" s="352"/>
      <c r="BX95" s="352"/>
      <c r="BY95" s="352"/>
      <c r="BZ95" s="352"/>
      <c r="CA95" s="352"/>
      <c r="CB95" s="352"/>
      <c r="CC95" s="352"/>
      <c r="CD95" s="352"/>
      <c r="CE95" s="352"/>
      <c r="CF95" s="352"/>
      <c r="CG95" s="352"/>
      <c r="CH95" s="352"/>
      <c r="CI95" s="352"/>
      <c r="CJ95" s="352"/>
      <c r="CK95" s="352"/>
      <c r="CL95" s="352"/>
      <c r="CM95" s="352"/>
      <c r="CN95" s="352"/>
      <c r="CO95" s="352"/>
      <c r="CP95" s="352"/>
      <c r="CQ95" s="352"/>
      <c r="CR95" s="352"/>
      <c r="CS95" s="352"/>
      <c r="CT95" s="352"/>
      <c r="CU95" s="352"/>
      <c r="CV95" s="352"/>
      <c r="CW95" s="352"/>
      <c r="CX95" s="352"/>
      <c r="CY95" s="352"/>
      <c r="CZ95" s="352"/>
      <c r="DA95" s="352"/>
      <c r="DB95" s="352"/>
      <c r="DC95" s="352"/>
      <c r="DD95" s="352"/>
      <c r="DE95" s="7"/>
    </row>
    <row r="96" spans="1:109" ht="15" customHeight="1">
      <c r="A96" s="6"/>
      <c r="B96" s="382"/>
      <c r="C96" s="383"/>
      <c r="D96" s="383"/>
      <c r="E96" s="383"/>
      <c r="F96" s="383"/>
      <c r="G96" s="383"/>
      <c r="H96" s="384"/>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c r="BI96" s="351"/>
      <c r="BJ96" s="351"/>
      <c r="BK96" s="351"/>
      <c r="BL96" s="351"/>
      <c r="BM96" s="351"/>
      <c r="BN96" s="351"/>
      <c r="BO96" s="351"/>
      <c r="BP96" s="351"/>
      <c r="BQ96" s="351"/>
      <c r="BR96" s="351"/>
      <c r="BS96" s="351"/>
      <c r="BT96" s="351"/>
      <c r="BU96" s="351"/>
      <c r="BV96" s="351"/>
      <c r="BW96" s="351"/>
      <c r="BX96" s="351"/>
      <c r="BY96" s="351"/>
      <c r="BZ96" s="351"/>
      <c r="CA96" s="351"/>
      <c r="CB96" s="351"/>
      <c r="CC96" s="351"/>
      <c r="CD96" s="351"/>
      <c r="CE96" s="351"/>
      <c r="CF96" s="351"/>
      <c r="CG96" s="351"/>
      <c r="CH96" s="351"/>
      <c r="CI96" s="351"/>
      <c r="CJ96" s="351"/>
      <c r="CK96" s="351"/>
      <c r="CL96" s="351"/>
      <c r="CM96" s="351"/>
      <c r="CN96" s="351"/>
      <c r="CO96" s="351"/>
      <c r="CP96" s="351"/>
      <c r="CQ96" s="351"/>
      <c r="CR96" s="351"/>
      <c r="CS96" s="351"/>
      <c r="CT96" s="351"/>
      <c r="CU96" s="351"/>
      <c r="CV96" s="351"/>
      <c r="CW96" s="351"/>
      <c r="CX96" s="351"/>
      <c r="CY96" s="351"/>
      <c r="CZ96" s="351"/>
      <c r="DA96" s="351"/>
      <c r="DB96" s="351"/>
      <c r="DC96" s="351"/>
      <c r="DD96" s="351"/>
      <c r="DE96" s="7"/>
    </row>
    <row r="97" spans="1:109" ht="15" customHeight="1">
      <c r="A97" s="8"/>
      <c r="B97" s="385"/>
      <c r="C97" s="386"/>
      <c r="D97" s="386"/>
      <c r="E97" s="386"/>
      <c r="F97" s="386"/>
      <c r="G97" s="386"/>
      <c r="H97" s="387"/>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c r="BT97" s="351"/>
      <c r="BU97" s="351"/>
      <c r="BV97" s="351"/>
      <c r="BW97" s="351"/>
      <c r="BX97" s="351"/>
      <c r="BY97" s="351"/>
      <c r="BZ97" s="351"/>
      <c r="CA97" s="351"/>
      <c r="CB97" s="351"/>
      <c r="CC97" s="351"/>
      <c r="CD97" s="351"/>
      <c r="CE97" s="351"/>
      <c r="CF97" s="351"/>
      <c r="CG97" s="351"/>
      <c r="CH97" s="351"/>
      <c r="CI97" s="351"/>
      <c r="CJ97" s="351"/>
      <c r="CK97" s="351"/>
      <c r="CL97" s="351"/>
      <c r="CM97" s="351"/>
      <c r="CN97" s="351"/>
      <c r="CO97" s="351"/>
      <c r="CP97" s="351"/>
      <c r="CQ97" s="351"/>
      <c r="CR97" s="351"/>
      <c r="CS97" s="351"/>
      <c r="CT97" s="351"/>
      <c r="CU97" s="351"/>
      <c r="CV97" s="351"/>
      <c r="CW97" s="351"/>
      <c r="CX97" s="351"/>
      <c r="CY97" s="351"/>
      <c r="CZ97" s="351"/>
      <c r="DA97" s="351"/>
      <c r="DB97" s="351"/>
      <c r="DC97" s="351"/>
      <c r="DD97" s="351"/>
      <c r="DE97" s="7"/>
    </row>
    <row r="98" spans="1:109" ht="15" customHeight="1">
      <c r="A98" s="8"/>
      <c r="B98" s="353"/>
      <c r="C98" s="354"/>
      <c r="D98" s="354"/>
      <c r="E98" s="354"/>
      <c r="F98" s="354"/>
      <c r="G98" s="354"/>
      <c r="H98" s="355"/>
      <c r="I98" s="352"/>
      <c r="J98" s="352"/>
      <c r="K98" s="352"/>
      <c r="L98" s="352"/>
      <c r="M98" s="352"/>
      <c r="N98" s="352"/>
      <c r="O98" s="352"/>
      <c r="P98" s="352"/>
      <c r="Q98" s="352"/>
      <c r="R98" s="352"/>
      <c r="S98" s="352"/>
      <c r="T98" s="352"/>
      <c r="U98" s="352"/>
      <c r="V98" s="352"/>
      <c r="W98" s="352"/>
      <c r="X98" s="352"/>
      <c r="Y98" s="352"/>
      <c r="Z98" s="352"/>
      <c r="AA98" s="352"/>
      <c r="AB98" s="352"/>
      <c r="AC98" s="352"/>
      <c r="AD98" s="352"/>
      <c r="AE98" s="352"/>
      <c r="AF98" s="352"/>
      <c r="AG98" s="352"/>
      <c r="AH98" s="352"/>
      <c r="AI98" s="352"/>
      <c r="AJ98" s="352"/>
      <c r="AK98" s="352"/>
      <c r="AL98" s="352"/>
      <c r="AM98" s="352"/>
      <c r="AN98" s="352"/>
      <c r="AO98" s="352"/>
      <c r="AP98" s="352"/>
      <c r="AQ98" s="352"/>
      <c r="AR98" s="352"/>
      <c r="AS98" s="352"/>
      <c r="AT98" s="352"/>
      <c r="AU98" s="352"/>
      <c r="AV98" s="352"/>
      <c r="AW98" s="352"/>
      <c r="AX98" s="352"/>
      <c r="AY98" s="352"/>
      <c r="AZ98" s="352"/>
      <c r="BA98" s="352"/>
      <c r="BB98" s="352"/>
      <c r="BC98" s="352"/>
      <c r="BD98" s="352"/>
      <c r="BE98" s="352"/>
      <c r="BF98" s="352"/>
      <c r="BG98" s="352"/>
      <c r="BH98" s="352"/>
      <c r="BI98" s="352"/>
      <c r="BJ98" s="352"/>
      <c r="BK98" s="352"/>
      <c r="BL98" s="352"/>
      <c r="BM98" s="352"/>
      <c r="BN98" s="352"/>
      <c r="BO98" s="352"/>
      <c r="BP98" s="352"/>
      <c r="BQ98" s="352"/>
      <c r="BR98" s="352"/>
      <c r="BS98" s="352"/>
      <c r="BT98" s="352"/>
      <c r="BU98" s="352"/>
      <c r="BV98" s="352"/>
      <c r="BW98" s="352"/>
      <c r="BX98" s="352"/>
      <c r="BY98" s="352"/>
      <c r="BZ98" s="352"/>
      <c r="CA98" s="352"/>
      <c r="CB98" s="352"/>
      <c r="CC98" s="352"/>
      <c r="CD98" s="352"/>
      <c r="CE98" s="352"/>
      <c r="CF98" s="352"/>
      <c r="CG98" s="352"/>
      <c r="CH98" s="352"/>
      <c r="CI98" s="352"/>
      <c r="CJ98" s="352"/>
      <c r="CK98" s="352"/>
      <c r="CL98" s="352"/>
      <c r="CM98" s="352"/>
      <c r="CN98" s="352"/>
      <c r="CO98" s="352"/>
      <c r="CP98" s="352"/>
      <c r="CQ98" s="352"/>
      <c r="CR98" s="352"/>
      <c r="CS98" s="352"/>
      <c r="CT98" s="352"/>
      <c r="CU98" s="352"/>
      <c r="CV98" s="352"/>
      <c r="CW98" s="352"/>
      <c r="CX98" s="352"/>
      <c r="CY98" s="352"/>
      <c r="CZ98" s="352"/>
      <c r="DA98" s="352"/>
      <c r="DB98" s="352"/>
      <c r="DC98" s="352"/>
      <c r="DD98" s="352"/>
      <c r="DE98" s="7"/>
    </row>
    <row r="99" spans="1:109" ht="15" customHeight="1">
      <c r="A99" s="8"/>
      <c r="B99" s="356"/>
      <c r="C99" s="357"/>
      <c r="D99" s="357"/>
      <c r="E99" s="357"/>
      <c r="F99" s="357"/>
      <c r="G99" s="357"/>
      <c r="H99" s="358"/>
      <c r="I99" s="352"/>
      <c r="J99" s="352"/>
      <c r="K99" s="352"/>
      <c r="L99" s="352"/>
      <c r="M99" s="352"/>
      <c r="N99" s="352"/>
      <c r="O99" s="352"/>
      <c r="P99" s="352"/>
      <c r="Q99" s="352"/>
      <c r="R99" s="352"/>
      <c r="S99" s="352"/>
      <c r="T99" s="352"/>
      <c r="U99" s="352"/>
      <c r="V99" s="352"/>
      <c r="W99" s="352"/>
      <c r="X99" s="352"/>
      <c r="Y99" s="352"/>
      <c r="Z99" s="352"/>
      <c r="AA99" s="352"/>
      <c r="AB99" s="352"/>
      <c r="AC99" s="352"/>
      <c r="AD99" s="352"/>
      <c r="AE99" s="352"/>
      <c r="AF99" s="352"/>
      <c r="AG99" s="352"/>
      <c r="AH99" s="352"/>
      <c r="AI99" s="352"/>
      <c r="AJ99" s="352"/>
      <c r="AK99" s="352"/>
      <c r="AL99" s="352"/>
      <c r="AM99" s="352"/>
      <c r="AN99" s="352"/>
      <c r="AO99" s="352"/>
      <c r="AP99" s="352"/>
      <c r="AQ99" s="352"/>
      <c r="AR99" s="352"/>
      <c r="AS99" s="352"/>
      <c r="AT99" s="352"/>
      <c r="AU99" s="352"/>
      <c r="AV99" s="352"/>
      <c r="AW99" s="352"/>
      <c r="AX99" s="352"/>
      <c r="AY99" s="352"/>
      <c r="AZ99" s="352"/>
      <c r="BA99" s="352"/>
      <c r="BB99" s="352"/>
      <c r="BC99" s="352"/>
      <c r="BD99" s="352"/>
      <c r="BE99" s="352"/>
      <c r="BF99" s="352"/>
      <c r="BG99" s="352"/>
      <c r="BH99" s="352"/>
      <c r="BI99" s="352"/>
      <c r="BJ99" s="352"/>
      <c r="BK99" s="352"/>
      <c r="BL99" s="352"/>
      <c r="BM99" s="352"/>
      <c r="BN99" s="352"/>
      <c r="BO99" s="352"/>
      <c r="BP99" s="352"/>
      <c r="BQ99" s="352"/>
      <c r="BR99" s="352"/>
      <c r="BS99" s="352"/>
      <c r="BT99" s="352"/>
      <c r="BU99" s="352"/>
      <c r="BV99" s="352"/>
      <c r="BW99" s="352"/>
      <c r="BX99" s="352"/>
      <c r="BY99" s="352"/>
      <c r="BZ99" s="352"/>
      <c r="CA99" s="352"/>
      <c r="CB99" s="352"/>
      <c r="CC99" s="352"/>
      <c r="CD99" s="352"/>
      <c r="CE99" s="352"/>
      <c r="CF99" s="352"/>
      <c r="CG99" s="352"/>
      <c r="CH99" s="352"/>
      <c r="CI99" s="352"/>
      <c r="CJ99" s="352"/>
      <c r="CK99" s="352"/>
      <c r="CL99" s="352"/>
      <c r="CM99" s="352"/>
      <c r="CN99" s="352"/>
      <c r="CO99" s="352"/>
      <c r="CP99" s="352"/>
      <c r="CQ99" s="352"/>
      <c r="CR99" s="352"/>
      <c r="CS99" s="352"/>
      <c r="CT99" s="352"/>
      <c r="CU99" s="352"/>
      <c r="CV99" s="352"/>
      <c r="CW99" s="352"/>
      <c r="CX99" s="352"/>
      <c r="CY99" s="352"/>
      <c r="CZ99" s="352"/>
      <c r="DA99" s="352"/>
      <c r="DB99" s="352"/>
      <c r="DC99" s="352"/>
      <c r="DD99" s="352"/>
      <c r="DE99" s="7"/>
    </row>
    <row r="100" spans="1:109" ht="15" customHeight="1">
      <c r="A100" s="3"/>
      <c r="B100" s="382"/>
      <c r="C100" s="383"/>
      <c r="D100" s="383"/>
      <c r="E100" s="383"/>
      <c r="F100" s="383"/>
      <c r="G100" s="383"/>
      <c r="H100" s="384"/>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c r="BI100" s="351"/>
      <c r="BJ100" s="351"/>
      <c r="BK100" s="351"/>
      <c r="BL100" s="351"/>
      <c r="BM100" s="351"/>
      <c r="BN100" s="351"/>
      <c r="BO100" s="351"/>
      <c r="BP100" s="351"/>
      <c r="BQ100" s="351"/>
      <c r="BR100" s="351"/>
      <c r="BS100" s="351"/>
      <c r="BT100" s="351"/>
      <c r="BU100" s="351"/>
      <c r="BV100" s="351"/>
      <c r="BW100" s="351"/>
      <c r="BX100" s="351"/>
      <c r="BY100" s="351"/>
      <c r="BZ100" s="351"/>
      <c r="CA100" s="351"/>
      <c r="CB100" s="351"/>
      <c r="CC100" s="351"/>
      <c r="CD100" s="351"/>
      <c r="CE100" s="351"/>
      <c r="CF100" s="351"/>
      <c r="CG100" s="351"/>
      <c r="CH100" s="351"/>
      <c r="CI100" s="351"/>
      <c r="CJ100" s="351"/>
      <c r="CK100" s="351"/>
      <c r="CL100" s="351"/>
      <c r="CM100" s="351"/>
      <c r="CN100" s="351"/>
      <c r="CO100" s="351"/>
      <c r="CP100" s="351"/>
      <c r="CQ100" s="351"/>
      <c r="CR100" s="351"/>
      <c r="CS100" s="351"/>
      <c r="CT100" s="351"/>
      <c r="CU100" s="351"/>
      <c r="CV100" s="351"/>
      <c r="CW100" s="351"/>
      <c r="CX100" s="351"/>
      <c r="CY100" s="351"/>
      <c r="CZ100" s="351"/>
      <c r="DA100" s="351"/>
      <c r="DB100" s="351"/>
      <c r="DC100" s="351"/>
      <c r="DD100" s="351"/>
      <c r="DE100" s="7"/>
    </row>
    <row r="101" spans="1:109" ht="15" customHeight="1">
      <c r="A101" s="3"/>
      <c r="B101" s="385"/>
      <c r="C101" s="386"/>
      <c r="D101" s="386"/>
      <c r="E101" s="386"/>
      <c r="F101" s="386"/>
      <c r="G101" s="386"/>
      <c r="H101" s="387"/>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1"/>
      <c r="BO101" s="351"/>
      <c r="BP101" s="351"/>
      <c r="BQ101" s="351"/>
      <c r="BR101" s="351"/>
      <c r="BS101" s="351"/>
      <c r="BT101" s="351"/>
      <c r="BU101" s="351"/>
      <c r="BV101" s="351"/>
      <c r="BW101" s="351"/>
      <c r="BX101" s="351"/>
      <c r="BY101" s="351"/>
      <c r="BZ101" s="351"/>
      <c r="CA101" s="351"/>
      <c r="CB101" s="351"/>
      <c r="CC101" s="351"/>
      <c r="CD101" s="351"/>
      <c r="CE101" s="351"/>
      <c r="CF101" s="351"/>
      <c r="CG101" s="351"/>
      <c r="CH101" s="351"/>
      <c r="CI101" s="351"/>
      <c r="CJ101" s="351"/>
      <c r="CK101" s="351"/>
      <c r="CL101" s="351"/>
      <c r="CM101" s="351"/>
      <c r="CN101" s="351"/>
      <c r="CO101" s="351"/>
      <c r="CP101" s="351"/>
      <c r="CQ101" s="351"/>
      <c r="CR101" s="351"/>
      <c r="CS101" s="351"/>
      <c r="CT101" s="351"/>
      <c r="CU101" s="351"/>
      <c r="CV101" s="351"/>
      <c r="CW101" s="351"/>
      <c r="CX101" s="351"/>
      <c r="CY101" s="351"/>
      <c r="CZ101" s="351"/>
      <c r="DA101" s="351"/>
      <c r="DB101" s="351"/>
      <c r="DC101" s="351"/>
      <c r="DD101" s="351"/>
      <c r="DE101" s="7"/>
    </row>
    <row r="102" spans="1:109" ht="15" customHeight="1">
      <c r="A102" s="3"/>
      <c r="B102" s="353"/>
      <c r="C102" s="354"/>
      <c r="D102" s="354"/>
      <c r="E102" s="354"/>
      <c r="F102" s="354"/>
      <c r="G102" s="354"/>
      <c r="H102" s="355"/>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c r="AX102" s="352"/>
      <c r="AY102" s="352"/>
      <c r="AZ102" s="352"/>
      <c r="BA102" s="352"/>
      <c r="BB102" s="352"/>
      <c r="BC102" s="352"/>
      <c r="BD102" s="352"/>
      <c r="BE102" s="352"/>
      <c r="BF102" s="352"/>
      <c r="BG102" s="352"/>
      <c r="BH102" s="352"/>
      <c r="BI102" s="352"/>
      <c r="BJ102" s="352"/>
      <c r="BK102" s="352"/>
      <c r="BL102" s="352"/>
      <c r="BM102" s="352"/>
      <c r="BN102" s="352"/>
      <c r="BO102" s="352"/>
      <c r="BP102" s="352"/>
      <c r="BQ102" s="352"/>
      <c r="BR102" s="352"/>
      <c r="BS102" s="352"/>
      <c r="BT102" s="352"/>
      <c r="BU102" s="352"/>
      <c r="BV102" s="352"/>
      <c r="BW102" s="352"/>
      <c r="BX102" s="352"/>
      <c r="BY102" s="352"/>
      <c r="BZ102" s="352"/>
      <c r="CA102" s="352"/>
      <c r="CB102" s="352"/>
      <c r="CC102" s="352"/>
      <c r="CD102" s="352"/>
      <c r="CE102" s="352"/>
      <c r="CF102" s="352"/>
      <c r="CG102" s="352"/>
      <c r="CH102" s="352"/>
      <c r="CI102" s="352"/>
      <c r="CJ102" s="352"/>
      <c r="CK102" s="352"/>
      <c r="CL102" s="352"/>
      <c r="CM102" s="352"/>
      <c r="CN102" s="352"/>
      <c r="CO102" s="352"/>
      <c r="CP102" s="352"/>
      <c r="CQ102" s="352"/>
      <c r="CR102" s="352"/>
      <c r="CS102" s="352"/>
      <c r="CT102" s="352"/>
      <c r="CU102" s="352"/>
      <c r="CV102" s="352"/>
      <c r="CW102" s="352"/>
      <c r="CX102" s="352"/>
      <c r="CY102" s="352"/>
      <c r="CZ102" s="352"/>
      <c r="DA102" s="352"/>
      <c r="DB102" s="352"/>
      <c r="DC102" s="352"/>
      <c r="DD102" s="352"/>
      <c r="DE102" s="24"/>
    </row>
    <row r="103" spans="1:109" ht="15" customHeight="1">
      <c r="A103" s="3"/>
      <c r="B103" s="356"/>
      <c r="C103" s="357"/>
      <c r="D103" s="357"/>
      <c r="E103" s="357"/>
      <c r="F103" s="357"/>
      <c r="G103" s="357"/>
      <c r="H103" s="358"/>
      <c r="I103" s="352"/>
      <c r="J103" s="352"/>
      <c r="K103" s="352"/>
      <c r="L103" s="352"/>
      <c r="M103" s="352"/>
      <c r="N103" s="352"/>
      <c r="O103" s="352"/>
      <c r="P103" s="352"/>
      <c r="Q103" s="352"/>
      <c r="R103" s="352"/>
      <c r="S103" s="352"/>
      <c r="T103" s="352"/>
      <c r="U103" s="352"/>
      <c r="V103" s="352"/>
      <c r="W103" s="352"/>
      <c r="X103" s="352"/>
      <c r="Y103" s="352"/>
      <c r="Z103" s="352"/>
      <c r="AA103" s="352"/>
      <c r="AB103" s="352"/>
      <c r="AC103" s="352"/>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c r="AX103" s="352"/>
      <c r="AY103" s="352"/>
      <c r="AZ103" s="352"/>
      <c r="BA103" s="352"/>
      <c r="BB103" s="352"/>
      <c r="BC103" s="352"/>
      <c r="BD103" s="352"/>
      <c r="BE103" s="352"/>
      <c r="BF103" s="352"/>
      <c r="BG103" s="352"/>
      <c r="BH103" s="352"/>
      <c r="BI103" s="352"/>
      <c r="BJ103" s="352"/>
      <c r="BK103" s="352"/>
      <c r="BL103" s="352"/>
      <c r="BM103" s="352"/>
      <c r="BN103" s="352"/>
      <c r="BO103" s="352"/>
      <c r="BP103" s="352"/>
      <c r="BQ103" s="352"/>
      <c r="BR103" s="352"/>
      <c r="BS103" s="352"/>
      <c r="BT103" s="352"/>
      <c r="BU103" s="352"/>
      <c r="BV103" s="352"/>
      <c r="BW103" s="352"/>
      <c r="BX103" s="352"/>
      <c r="BY103" s="352"/>
      <c r="BZ103" s="352"/>
      <c r="CA103" s="352"/>
      <c r="CB103" s="352"/>
      <c r="CC103" s="352"/>
      <c r="CD103" s="352"/>
      <c r="CE103" s="352"/>
      <c r="CF103" s="352"/>
      <c r="CG103" s="352"/>
      <c r="CH103" s="352"/>
      <c r="CI103" s="352"/>
      <c r="CJ103" s="352"/>
      <c r="CK103" s="352"/>
      <c r="CL103" s="352"/>
      <c r="CM103" s="352"/>
      <c r="CN103" s="352"/>
      <c r="CO103" s="352"/>
      <c r="CP103" s="352"/>
      <c r="CQ103" s="352"/>
      <c r="CR103" s="352"/>
      <c r="CS103" s="352"/>
      <c r="CT103" s="352"/>
      <c r="CU103" s="352"/>
      <c r="CV103" s="352"/>
      <c r="CW103" s="352"/>
      <c r="CX103" s="352"/>
      <c r="CY103" s="352"/>
      <c r="CZ103" s="352"/>
      <c r="DA103" s="352"/>
      <c r="DB103" s="352"/>
      <c r="DC103" s="352"/>
      <c r="DD103" s="352"/>
      <c r="DE103" s="7"/>
    </row>
    <row r="104" spans="1:109" ht="15" customHeight="1">
      <c r="A104" s="3"/>
      <c r="B104" s="382"/>
      <c r="C104" s="383"/>
      <c r="D104" s="383"/>
      <c r="E104" s="383"/>
      <c r="F104" s="383"/>
      <c r="G104" s="383"/>
      <c r="H104" s="384"/>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c r="BI104" s="351"/>
      <c r="BJ104" s="351"/>
      <c r="BK104" s="351"/>
      <c r="BL104" s="351"/>
      <c r="BM104" s="351"/>
      <c r="BN104" s="351"/>
      <c r="BO104" s="351"/>
      <c r="BP104" s="351"/>
      <c r="BQ104" s="351"/>
      <c r="BR104" s="351"/>
      <c r="BS104" s="351"/>
      <c r="BT104" s="351"/>
      <c r="BU104" s="351"/>
      <c r="BV104" s="351"/>
      <c r="BW104" s="351"/>
      <c r="BX104" s="351"/>
      <c r="BY104" s="351"/>
      <c r="BZ104" s="351"/>
      <c r="CA104" s="351"/>
      <c r="CB104" s="351"/>
      <c r="CC104" s="351"/>
      <c r="CD104" s="351"/>
      <c r="CE104" s="351"/>
      <c r="CF104" s="351"/>
      <c r="CG104" s="351"/>
      <c r="CH104" s="351"/>
      <c r="CI104" s="351"/>
      <c r="CJ104" s="351"/>
      <c r="CK104" s="351"/>
      <c r="CL104" s="351"/>
      <c r="CM104" s="351"/>
      <c r="CN104" s="351"/>
      <c r="CO104" s="351"/>
      <c r="CP104" s="351"/>
      <c r="CQ104" s="351"/>
      <c r="CR104" s="351"/>
      <c r="CS104" s="351"/>
      <c r="CT104" s="351"/>
      <c r="CU104" s="351"/>
      <c r="CV104" s="351"/>
      <c r="CW104" s="351"/>
      <c r="CX104" s="351"/>
      <c r="CY104" s="351"/>
      <c r="CZ104" s="351"/>
      <c r="DA104" s="351"/>
      <c r="DB104" s="351"/>
      <c r="DC104" s="351"/>
      <c r="DD104" s="351"/>
      <c r="DE104" s="7"/>
    </row>
    <row r="105" spans="1:109" ht="15" customHeight="1">
      <c r="A105" s="6"/>
      <c r="B105" s="385"/>
      <c r="C105" s="386"/>
      <c r="D105" s="386"/>
      <c r="E105" s="386"/>
      <c r="F105" s="386"/>
      <c r="G105" s="386"/>
      <c r="H105" s="387"/>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c r="BI105" s="351"/>
      <c r="BJ105" s="351"/>
      <c r="BK105" s="351"/>
      <c r="BL105" s="351"/>
      <c r="BM105" s="351"/>
      <c r="BN105" s="351"/>
      <c r="BO105" s="351"/>
      <c r="BP105" s="351"/>
      <c r="BQ105" s="351"/>
      <c r="BR105" s="351"/>
      <c r="BS105" s="351"/>
      <c r="BT105" s="351"/>
      <c r="BU105" s="351"/>
      <c r="BV105" s="351"/>
      <c r="BW105" s="351"/>
      <c r="BX105" s="351"/>
      <c r="BY105" s="351"/>
      <c r="BZ105" s="351"/>
      <c r="CA105" s="351"/>
      <c r="CB105" s="351"/>
      <c r="CC105" s="351"/>
      <c r="CD105" s="351"/>
      <c r="CE105" s="351"/>
      <c r="CF105" s="351"/>
      <c r="CG105" s="351"/>
      <c r="CH105" s="351"/>
      <c r="CI105" s="351"/>
      <c r="CJ105" s="351"/>
      <c r="CK105" s="351"/>
      <c r="CL105" s="351"/>
      <c r="CM105" s="351"/>
      <c r="CN105" s="351"/>
      <c r="CO105" s="351"/>
      <c r="CP105" s="351"/>
      <c r="CQ105" s="351"/>
      <c r="CR105" s="351"/>
      <c r="CS105" s="351"/>
      <c r="CT105" s="351"/>
      <c r="CU105" s="351"/>
      <c r="CV105" s="351"/>
      <c r="CW105" s="351"/>
      <c r="CX105" s="351"/>
      <c r="CY105" s="351"/>
      <c r="CZ105" s="351"/>
      <c r="DA105" s="351"/>
      <c r="DB105" s="351"/>
      <c r="DC105" s="351"/>
      <c r="DD105" s="351"/>
      <c r="DE105" s="7"/>
    </row>
    <row r="106" spans="1:109" ht="15" customHeight="1">
      <c r="A106" s="8"/>
      <c r="B106" s="418"/>
      <c r="C106" s="419"/>
      <c r="D106" s="419"/>
      <c r="E106" s="419"/>
      <c r="F106" s="419"/>
      <c r="G106" s="419"/>
      <c r="H106" s="420"/>
      <c r="I106" s="414"/>
      <c r="J106" s="414"/>
      <c r="K106" s="414"/>
      <c r="L106" s="414"/>
      <c r="M106" s="414"/>
      <c r="N106" s="414"/>
      <c r="O106" s="414"/>
      <c r="P106" s="414"/>
      <c r="Q106" s="414"/>
      <c r="R106" s="414"/>
      <c r="S106" s="414"/>
      <c r="T106" s="414"/>
      <c r="U106" s="414"/>
      <c r="V106" s="414"/>
      <c r="W106" s="414"/>
      <c r="X106" s="414"/>
      <c r="Y106" s="414"/>
      <c r="Z106" s="414"/>
      <c r="AA106" s="414"/>
      <c r="AB106" s="414"/>
      <c r="AC106" s="414"/>
      <c r="AD106" s="414"/>
      <c r="AE106" s="414"/>
      <c r="AF106" s="414"/>
      <c r="AG106" s="414"/>
      <c r="AH106" s="414"/>
      <c r="AI106" s="414"/>
      <c r="AJ106" s="414"/>
      <c r="AK106" s="414"/>
      <c r="AL106" s="414"/>
      <c r="AM106" s="414"/>
      <c r="AN106" s="414"/>
      <c r="AO106" s="414"/>
      <c r="AP106" s="414"/>
      <c r="AQ106" s="414"/>
      <c r="AR106" s="414"/>
      <c r="AS106" s="414"/>
      <c r="AT106" s="414"/>
      <c r="AU106" s="414"/>
      <c r="AV106" s="414"/>
      <c r="AW106" s="414"/>
      <c r="AX106" s="414"/>
      <c r="AY106" s="414"/>
      <c r="AZ106" s="414"/>
      <c r="BA106" s="414"/>
      <c r="BB106" s="414"/>
      <c r="BC106" s="414"/>
      <c r="BD106" s="414"/>
      <c r="BE106" s="414"/>
      <c r="BF106" s="414"/>
      <c r="BG106" s="414"/>
      <c r="BH106" s="414"/>
      <c r="BI106" s="414"/>
      <c r="BJ106" s="414"/>
      <c r="BK106" s="414"/>
      <c r="BL106" s="414"/>
      <c r="BM106" s="414"/>
      <c r="BN106" s="414"/>
      <c r="BO106" s="414"/>
      <c r="BP106" s="414"/>
      <c r="BQ106" s="414"/>
      <c r="BR106" s="414"/>
      <c r="BS106" s="414"/>
      <c r="BT106" s="414"/>
      <c r="BU106" s="414"/>
      <c r="BV106" s="414"/>
      <c r="BW106" s="414"/>
      <c r="BX106" s="414"/>
      <c r="BY106" s="414"/>
      <c r="BZ106" s="414"/>
      <c r="CA106" s="414"/>
      <c r="CB106" s="414"/>
      <c r="CC106" s="414"/>
      <c r="CD106" s="414"/>
      <c r="CE106" s="414"/>
      <c r="CF106" s="414"/>
      <c r="CG106" s="414"/>
      <c r="CH106" s="414"/>
      <c r="CI106" s="414"/>
      <c r="CJ106" s="414"/>
      <c r="CK106" s="414"/>
      <c r="CL106" s="414"/>
      <c r="CM106" s="414"/>
      <c r="CN106" s="414"/>
      <c r="CO106" s="414"/>
      <c r="CP106" s="414"/>
      <c r="CQ106" s="414"/>
      <c r="CR106" s="414"/>
      <c r="CS106" s="414"/>
      <c r="CT106" s="414"/>
      <c r="CU106" s="414"/>
      <c r="CV106" s="414"/>
      <c r="CW106" s="414"/>
      <c r="CX106" s="414"/>
      <c r="CY106" s="414"/>
      <c r="CZ106" s="414"/>
      <c r="DA106" s="414"/>
      <c r="DB106" s="414"/>
      <c r="DC106" s="414"/>
      <c r="DD106" s="414"/>
      <c r="DE106" s="7"/>
    </row>
    <row r="107" spans="1:109" ht="15" customHeight="1">
      <c r="A107" s="8"/>
      <c r="B107" s="421"/>
      <c r="C107" s="422"/>
      <c r="D107" s="422"/>
      <c r="E107" s="422"/>
      <c r="F107" s="422"/>
      <c r="G107" s="422"/>
      <c r="H107" s="423"/>
      <c r="I107" s="414"/>
      <c r="J107" s="414"/>
      <c r="K107" s="414"/>
      <c r="L107" s="414"/>
      <c r="M107" s="414"/>
      <c r="N107" s="414"/>
      <c r="O107" s="414"/>
      <c r="P107" s="414"/>
      <c r="Q107" s="414"/>
      <c r="R107" s="414"/>
      <c r="S107" s="414"/>
      <c r="T107" s="414"/>
      <c r="U107" s="414"/>
      <c r="V107" s="414"/>
      <c r="W107" s="414"/>
      <c r="X107" s="414"/>
      <c r="Y107" s="414"/>
      <c r="Z107" s="414"/>
      <c r="AA107" s="414"/>
      <c r="AB107" s="414"/>
      <c r="AC107" s="414"/>
      <c r="AD107" s="414"/>
      <c r="AE107" s="414"/>
      <c r="AF107" s="414"/>
      <c r="AG107" s="414"/>
      <c r="AH107" s="414"/>
      <c r="AI107" s="414"/>
      <c r="AJ107" s="414"/>
      <c r="AK107" s="414"/>
      <c r="AL107" s="414"/>
      <c r="AM107" s="414"/>
      <c r="AN107" s="414"/>
      <c r="AO107" s="414"/>
      <c r="AP107" s="414"/>
      <c r="AQ107" s="414"/>
      <c r="AR107" s="414"/>
      <c r="AS107" s="414"/>
      <c r="AT107" s="414"/>
      <c r="AU107" s="414"/>
      <c r="AV107" s="414"/>
      <c r="AW107" s="414"/>
      <c r="AX107" s="414"/>
      <c r="AY107" s="414"/>
      <c r="AZ107" s="414"/>
      <c r="BA107" s="414"/>
      <c r="BB107" s="414"/>
      <c r="BC107" s="414"/>
      <c r="BD107" s="414"/>
      <c r="BE107" s="414"/>
      <c r="BF107" s="414"/>
      <c r="BG107" s="414"/>
      <c r="BH107" s="414"/>
      <c r="BI107" s="414"/>
      <c r="BJ107" s="414"/>
      <c r="BK107" s="414"/>
      <c r="BL107" s="414"/>
      <c r="BM107" s="414"/>
      <c r="BN107" s="414"/>
      <c r="BO107" s="414"/>
      <c r="BP107" s="414"/>
      <c r="BQ107" s="414"/>
      <c r="BR107" s="414"/>
      <c r="BS107" s="414"/>
      <c r="BT107" s="414"/>
      <c r="BU107" s="414"/>
      <c r="BV107" s="414"/>
      <c r="BW107" s="414"/>
      <c r="BX107" s="414"/>
      <c r="BY107" s="414"/>
      <c r="BZ107" s="414"/>
      <c r="CA107" s="414"/>
      <c r="CB107" s="414"/>
      <c r="CC107" s="414"/>
      <c r="CD107" s="414"/>
      <c r="CE107" s="414"/>
      <c r="CF107" s="414"/>
      <c r="CG107" s="414"/>
      <c r="CH107" s="414"/>
      <c r="CI107" s="414"/>
      <c r="CJ107" s="414"/>
      <c r="CK107" s="414"/>
      <c r="CL107" s="414"/>
      <c r="CM107" s="414"/>
      <c r="CN107" s="414"/>
      <c r="CO107" s="414"/>
      <c r="CP107" s="414"/>
      <c r="CQ107" s="414"/>
      <c r="CR107" s="414"/>
      <c r="CS107" s="414"/>
      <c r="CT107" s="414"/>
      <c r="CU107" s="414"/>
      <c r="CV107" s="414"/>
      <c r="CW107" s="414"/>
      <c r="CX107" s="414"/>
      <c r="CY107" s="414"/>
      <c r="CZ107" s="414"/>
      <c r="DA107" s="414"/>
      <c r="DB107" s="414"/>
      <c r="DC107" s="414"/>
      <c r="DD107" s="414"/>
      <c r="DE107" s="7"/>
    </row>
    <row r="108" spans="1:109" ht="15" customHeight="1">
      <c r="A108" s="3"/>
      <c r="B108" s="424"/>
      <c r="C108" s="425"/>
      <c r="D108" s="425"/>
      <c r="E108" s="425"/>
      <c r="F108" s="425"/>
      <c r="G108" s="425"/>
      <c r="H108" s="426"/>
      <c r="I108" s="415"/>
      <c r="J108" s="415"/>
      <c r="K108" s="415"/>
      <c r="L108" s="415"/>
      <c r="M108" s="415"/>
      <c r="N108" s="415"/>
      <c r="O108" s="415"/>
      <c r="P108" s="415"/>
      <c r="Q108" s="415"/>
      <c r="R108" s="415"/>
      <c r="S108" s="415"/>
      <c r="T108" s="415"/>
      <c r="U108" s="415"/>
      <c r="V108" s="415"/>
      <c r="W108" s="415"/>
      <c r="X108" s="415"/>
      <c r="Y108" s="415"/>
      <c r="Z108" s="415"/>
      <c r="AA108" s="415"/>
      <c r="AB108" s="415"/>
      <c r="AC108" s="415"/>
      <c r="AD108" s="415"/>
      <c r="AE108" s="415"/>
      <c r="AF108" s="415"/>
      <c r="AG108" s="415"/>
      <c r="AH108" s="415"/>
      <c r="AI108" s="415"/>
      <c r="AJ108" s="415"/>
      <c r="AK108" s="415"/>
      <c r="AL108" s="415"/>
      <c r="AM108" s="415"/>
      <c r="AN108" s="415"/>
      <c r="AO108" s="415"/>
      <c r="AP108" s="415"/>
      <c r="AQ108" s="415"/>
      <c r="AR108" s="415"/>
      <c r="AS108" s="415"/>
      <c r="AT108" s="415"/>
      <c r="AU108" s="415"/>
      <c r="AV108" s="415"/>
      <c r="AW108" s="415"/>
      <c r="AX108" s="415"/>
      <c r="AY108" s="415"/>
      <c r="AZ108" s="415"/>
      <c r="BA108" s="415"/>
      <c r="BB108" s="415"/>
      <c r="BC108" s="415"/>
      <c r="BD108" s="415"/>
      <c r="BE108" s="415"/>
      <c r="BF108" s="415"/>
      <c r="BG108" s="415"/>
      <c r="BH108" s="415"/>
      <c r="BI108" s="415"/>
      <c r="BJ108" s="415"/>
      <c r="BK108" s="415"/>
      <c r="BL108" s="415"/>
      <c r="BM108" s="415"/>
      <c r="BN108" s="415"/>
      <c r="BO108" s="415"/>
      <c r="BP108" s="415"/>
      <c r="BQ108" s="415"/>
      <c r="BR108" s="415"/>
      <c r="BS108" s="415"/>
      <c r="BT108" s="415"/>
      <c r="BU108" s="415"/>
      <c r="BV108" s="415"/>
      <c r="BW108" s="415"/>
      <c r="BX108" s="415"/>
      <c r="BY108" s="415"/>
      <c r="BZ108" s="415"/>
      <c r="CA108" s="415"/>
      <c r="CB108" s="415"/>
      <c r="CC108" s="415"/>
      <c r="CD108" s="415"/>
      <c r="CE108" s="415"/>
      <c r="CF108" s="415"/>
      <c r="CG108" s="415"/>
      <c r="CH108" s="415"/>
      <c r="CI108" s="415"/>
      <c r="CJ108" s="415"/>
      <c r="CK108" s="415"/>
      <c r="CL108" s="415"/>
      <c r="CM108" s="415"/>
      <c r="CN108" s="415"/>
      <c r="CO108" s="415"/>
      <c r="CP108" s="415"/>
      <c r="CQ108" s="415"/>
      <c r="CR108" s="415"/>
      <c r="CS108" s="415"/>
      <c r="CT108" s="415"/>
      <c r="CU108" s="415"/>
      <c r="CV108" s="415"/>
      <c r="CW108" s="415"/>
      <c r="CX108" s="415"/>
      <c r="CY108" s="415"/>
      <c r="CZ108" s="415"/>
      <c r="DA108" s="415"/>
      <c r="DB108" s="415"/>
      <c r="DC108" s="415"/>
      <c r="DD108" s="415"/>
      <c r="DE108" s="7"/>
    </row>
    <row r="109" spans="1:109" ht="15" customHeight="1">
      <c r="A109" s="3"/>
      <c r="B109" s="427"/>
      <c r="C109" s="428"/>
      <c r="D109" s="428"/>
      <c r="E109" s="428"/>
      <c r="F109" s="428"/>
      <c r="G109" s="428"/>
      <c r="H109" s="429"/>
      <c r="I109" s="415"/>
      <c r="J109" s="415"/>
      <c r="K109" s="415"/>
      <c r="L109" s="415"/>
      <c r="M109" s="415"/>
      <c r="N109" s="415"/>
      <c r="O109" s="415"/>
      <c r="P109" s="415"/>
      <c r="Q109" s="415"/>
      <c r="R109" s="415"/>
      <c r="S109" s="415"/>
      <c r="T109" s="415"/>
      <c r="U109" s="415"/>
      <c r="V109" s="415"/>
      <c r="W109" s="415"/>
      <c r="X109" s="415"/>
      <c r="Y109" s="415"/>
      <c r="Z109" s="415"/>
      <c r="AA109" s="415"/>
      <c r="AB109" s="415"/>
      <c r="AC109" s="415"/>
      <c r="AD109" s="415"/>
      <c r="AE109" s="415"/>
      <c r="AF109" s="415"/>
      <c r="AG109" s="415"/>
      <c r="AH109" s="415"/>
      <c r="AI109" s="415"/>
      <c r="AJ109" s="415"/>
      <c r="AK109" s="415"/>
      <c r="AL109" s="415"/>
      <c r="AM109" s="415"/>
      <c r="AN109" s="415"/>
      <c r="AO109" s="415"/>
      <c r="AP109" s="415"/>
      <c r="AQ109" s="415"/>
      <c r="AR109" s="415"/>
      <c r="AS109" s="415"/>
      <c r="AT109" s="415"/>
      <c r="AU109" s="415"/>
      <c r="AV109" s="415"/>
      <c r="AW109" s="415"/>
      <c r="AX109" s="415"/>
      <c r="AY109" s="415"/>
      <c r="AZ109" s="415"/>
      <c r="BA109" s="415"/>
      <c r="BB109" s="415"/>
      <c r="BC109" s="415"/>
      <c r="BD109" s="415"/>
      <c r="BE109" s="415"/>
      <c r="BF109" s="415"/>
      <c r="BG109" s="415"/>
      <c r="BH109" s="415"/>
      <c r="BI109" s="415"/>
      <c r="BJ109" s="415"/>
      <c r="BK109" s="415"/>
      <c r="BL109" s="415"/>
      <c r="BM109" s="415"/>
      <c r="BN109" s="415"/>
      <c r="BO109" s="415"/>
      <c r="BP109" s="415"/>
      <c r="BQ109" s="415"/>
      <c r="BR109" s="415"/>
      <c r="BS109" s="415"/>
      <c r="BT109" s="415"/>
      <c r="BU109" s="415"/>
      <c r="BV109" s="415"/>
      <c r="BW109" s="415"/>
      <c r="BX109" s="415"/>
      <c r="BY109" s="415"/>
      <c r="BZ109" s="415"/>
      <c r="CA109" s="415"/>
      <c r="CB109" s="415"/>
      <c r="CC109" s="415"/>
      <c r="CD109" s="415"/>
      <c r="CE109" s="415"/>
      <c r="CF109" s="415"/>
      <c r="CG109" s="415"/>
      <c r="CH109" s="415"/>
      <c r="CI109" s="415"/>
      <c r="CJ109" s="415"/>
      <c r="CK109" s="415"/>
      <c r="CL109" s="415"/>
      <c r="CM109" s="415"/>
      <c r="CN109" s="415"/>
      <c r="CO109" s="415"/>
      <c r="CP109" s="415"/>
      <c r="CQ109" s="415"/>
      <c r="CR109" s="415"/>
      <c r="CS109" s="415"/>
      <c r="CT109" s="415"/>
      <c r="CU109" s="415"/>
      <c r="CV109" s="415"/>
      <c r="CW109" s="415"/>
      <c r="CX109" s="415"/>
      <c r="CY109" s="415"/>
      <c r="CZ109" s="415"/>
      <c r="DA109" s="415"/>
      <c r="DB109" s="415"/>
      <c r="DC109" s="415"/>
      <c r="DD109" s="415"/>
      <c r="DE109" s="7"/>
    </row>
    <row r="110" spans="1:109" ht="15" customHeight="1" thickBot="1">
      <c r="A110" s="2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4"/>
    </row>
    <row r="111" spans="1:109" ht="15" customHeight="1">
      <c r="A111" s="3"/>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109" ht="15" customHeight="1">
      <c r="A112" s="8" t="s">
        <v>41</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109" ht="15" customHeight="1">
      <c r="A113" s="17" t="s">
        <v>42</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CJ113" s="9"/>
      <c r="CK113" s="9"/>
      <c r="CL113" s="9"/>
      <c r="CM113" s="9"/>
      <c r="CN113" s="10"/>
      <c r="CO113" s="10"/>
      <c r="CP113" s="10"/>
      <c r="CQ113" s="10"/>
      <c r="CR113" s="10"/>
      <c r="CS113" s="10"/>
      <c r="CT113" s="10"/>
      <c r="CU113" s="10"/>
      <c r="CV113" s="10"/>
      <c r="CW113" s="10"/>
      <c r="CX113" s="10"/>
      <c r="CY113" s="10"/>
      <c r="CZ113" s="10"/>
      <c r="DA113" s="10"/>
      <c r="DB113" s="10"/>
      <c r="DC113" s="10"/>
      <c r="DD113" s="10"/>
      <c r="DE113" s="10"/>
    </row>
    <row r="114" spans="1:109" ht="15" customHeight="1">
      <c r="A114" s="15" t="s">
        <v>43</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15"/>
      <c r="AV114" s="15"/>
    </row>
    <row r="115" spans="1:109" ht="15" customHeight="1">
      <c r="A115" s="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W115" s="16"/>
      <c r="AX115" s="16"/>
      <c r="AY115" s="16"/>
      <c r="AZ115" s="16"/>
      <c r="BA115" s="16"/>
      <c r="BB115" s="16"/>
      <c r="BC115" s="16"/>
      <c r="BD115" s="16"/>
      <c r="BE115" s="16"/>
      <c r="BF115" s="16"/>
      <c r="BG115" s="16"/>
      <c r="BH115" s="16"/>
      <c r="BI115" s="16"/>
      <c r="BJ115" s="16"/>
      <c r="BK115" s="16"/>
      <c r="BL115" s="16"/>
      <c r="BM115" s="16"/>
    </row>
    <row r="116" spans="1:109" ht="15" customHeight="1">
      <c r="A116" s="1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15"/>
      <c r="AV116" s="17"/>
    </row>
    <row r="117" spans="1:109" ht="1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5"/>
      <c r="AV117" s="5"/>
      <c r="AW117" s="5"/>
      <c r="AX117" s="5"/>
      <c r="AY117" s="5"/>
      <c r="AZ117" s="5"/>
      <c r="BA117" s="5"/>
      <c r="BB117" s="5"/>
      <c r="BC117" s="5"/>
      <c r="BD117" s="5"/>
      <c r="BE117" s="5"/>
      <c r="BF117" s="5"/>
      <c r="BG117" s="5"/>
      <c r="BH117" s="5"/>
      <c r="BI117" s="5"/>
      <c r="BJ117" s="5"/>
      <c r="BK117" s="5"/>
      <c r="BL117" s="5"/>
      <c r="BM117" s="5"/>
    </row>
    <row r="118" spans="1:109" ht="15" customHeight="1">
      <c r="A118" s="17"/>
      <c r="B118" s="16"/>
      <c r="C118" s="16"/>
      <c r="D118" s="16"/>
      <c r="E118" s="5"/>
      <c r="F118" s="5"/>
      <c r="G118" s="5"/>
      <c r="H118" s="5"/>
      <c r="I118" s="5"/>
      <c r="J118" s="5"/>
      <c r="K118" s="5"/>
      <c r="L118" s="5"/>
      <c r="M118" s="5"/>
      <c r="N118" s="5"/>
      <c r="O118" s="5"/>
      <c r="P118" s="5"/>
      <c r="Q118" s="16"/>
      <c r="R118" s="16"/>
      <c r="S118" s="16"/>
      <c r="T118" s="16"/>
      <c r="U118" s="16"/>
      <c r="V118" s="16"/>
      <c r="W118" s="16"/>
      <c r="X118" s="21"/>
      <c r="Y118" s="21"/>
      <c r="Z118" s="21"/>
      <c r="AA118" s="21"/>
      <c r="AE118" s="16"/>
      <c r="AF118" s="16"/>
      <c r="AG118" s="16"/>
      <c r="AH118" s="16"/>
      <c r="AI118" s="16"/>
      <c r="AJ118" s="16"/>
      <c r="AK118" s="16"/>
      <c r="AL118" s="16"/>
      <c r="AM118" s="16"/>
      <c r="AN118" s="16"/>
      <c r="AO118" s="16"/>
      <c r="AP118" s="16"/>
      <c r="AQ118" s="16"/>
      <c r="AR118" s="16"/>
      <c r="AS118" s="16"/>
      <c r="AU118" s="16"/>
      <c r="AV118" s="16"/>
      <c r="AW118" s="16"/>
      <c r="AX118" s="16"/>
      <c r="AY118" s="16"/>
      <c r="AZ118" s="16"/>
      <c r="BA118" s="16"/>
      <c r="BB118" s="16"/>
      <c r="BC118" s="16"/>
      <c r="BD118" s="16"/>
      <c r="BE118" s="16"/>
      <c r="BF118" s="16"/>
      <c r="BG118" s="16"/>
      <c r="BH118" s="16"/>
      <c r="BI118" s="16"/>
      <c r="BJ118" s="16"/>
      <c r="BK118" s="16"/>
      <c r="BL118" s="16"/>
      <c r="BM118" s="16"/>
      <c r="BN118" s="16"/>
      <c r="BO118" s="11"/>
      <c r="BP118" s="11"/>
      <c r="BQ118" s="11"/>
      <c r="BR118" s="11"/>
      <c r="BS118" s="11"/>
      <c r="BT118" s="11"/>
      <c r="BU118" s="11"/>
      <c r="BV118" s="11"/>
      <c r="BW118" s="11"/>
      <c r="BX118" s="11"/>
      <c r="BY118" s="11"/>
      <c r="BZ118" s="11"/>
      <c r="CA118" s="11"/>
      <c r="CB118" s="11"/>
      <c r="CC118" s="11"/>
      <c r="CD118" s="11"/>
      <c r="CE118" s="11"/>
      <c r="CF118" s="11"/>
      <c r="CG118" s="11"/>
      <c r="CH118" s="11"/>
      <c r="CI118" s="11"/>
    </row>
    <row r="119" spans="1:109" ht="15" customHeight="1">
      <c r="A119" s="17"/>
      <c r="AU119" s="22"/>
      <c r="AV119" s="22"/>
      <c r="AW119" s="19"/>
      <c r="AX119" s="19"/>
      <c r="AY119" s="22"/>
      <c r="AZ119" s="22"/>
      <c r="BA119" s="19"/>
      <c r="BB119" s="19"/>
      <c r="BC119" s="5"/>
      <c r="BD119" s="5"/>
      <c r="BE119" s="5"/>
      <c r="BF119" s="5"/>
      <c r="BG119" s="5"/>
      <c r="BH119" s="5"/>
      <c r="BI119" s="5"/>
      <c r="BJ119" s="5"/>
      <c r="BK119" s="5"/>
      <c r="BL119" s="5"/>
      <c r="BM119" s="5"/>
      <c r="BN119" s="5"/>
      <c r="BO119" s="11"/>
      <c r="BP119" s="11"/>
      <c r="BQ119" s="11"/>
      <c r="BR119" s="11"/>
      <c r="BS119" s="11"/>
      <c r="BT119" s="11"/>
      <c r="BU119" s="11"/>
      <c r="BV119" s="11"/>
      <c r="BW119" s="11"/>
      <c r="BX119" s="11"/>
      <c r="BY119" s="11"/>
      <c r="BZ119" s="11"/>
      <c r="CA119" s="11"/>
      <c r="CB119" s="11"/>
      <c r="CC119" s="11"/>
      <c r="CD119" s="11"/>
      <c r="CE119" s="11"/>
      <c r="CF119" s="11"/>
      <c r="CG119" s="11"/>
      <c r="CH119" s="11"/>
      <c r="CI119" s="11"/>
    </row>
    <row r="120" spans="1:109" ht="15" customHeight="1">
      <c r="A120" s="15"/>
      <c r="B120" s="16"/>
      <c r="C120" s="16"/>
      <c r="D120" s="16"/>
      <c r="E120" s="16"/>
      <c r="F120" s="16"/>
      <c r="G120" s="16"/>
      <c r="H120" s="16"/>
      <c r="I120" s="16"/>
      <c r="J120" s="16"/>
      <c r="K120" s="16"/>
      <c r="L120" s="16"/>
      <c r="M120" s="16"/>
      <c r="N120" s="16"/>
      <c r="O120" s="16"/>
      <c r="P120" s="16"/>
      <c r="Q120" s="16"/>
      <c r="R120" s="16"/>
      <c r="S120" s="16"/>
      <c r="T120" s="5"/>
      <c r="U120" s="5"/>
      <c r="V120" s="5"/>
      <c r="W120" s="5"/>
      <c r="X120" s="5"/>
      <c r="Y120" s="5"/>
      <c r="Z120" s="5"/>
      <c r="AA120" s="5"/>
      <c r="AB120" s="5"/>
      <c r="AC120" s="5"/>
      <c r="AD120" s="5"/>
      <c r="AE120" s="5"/>
      <c r="AF120" s="5"/>
      <c r="AG120" s="5"/>
      <c r="AH120" s="5"/>
      <c r="AI120" s="16"/>
      <c r="AJ120" s="16"/>
      <c r="AK120" s="16"/>
      <c r="AL120" s="16"/>
      <c r="AM120" s="16"/>
      <c r="AN120" s="16"/>
      <c r="AO120" s="5"/>
      <c r="AP120" s="5"/>
      <c r="AQ120" s="5"/>
      <c r="AR120" s="5"/>
      <c r="AS120" s="5"/>
      <c r="AT120" s="5"/>
      <c r="AU120" s="18"/>
      <c r="AV120" s="18"/>
      <c r="AW120" s="18"/>
      <c r="AX120" s="18"/>
      <c r="AY120" s="18"/>
      <c r="AZ120" s="5"/>
      <c r="BA120" s="5"/>
      <c r="BB120" s="5"/>
      <c r="BC120" s="5"/>
      <c r="BD120" s="5"/>
      <c r="BE120" s="5"/>
      <c r="BF120" s="5"/>
      <c r="BG120" s="5"/>
      <c r="BH120" s="5"/>
      <c r="BI120" s="5"/>
      <c r="BJ120" s="5"/>
      <c r="BK120" s="5"/>
      <c r="BL120" s="5"/>
      <c r="BM120" s="5"/>
      <c r="BN120" s="5"/>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109" ht="1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9"/>
      <c r="AV121" s="19"/>
      <c r="AW121" s="19"/>
      <c r="AX121" s="19"/>
      <c r="AY121" s="19"/>
      <c r="AZ121" s="19"/>
      <c r="BA121" s="19"/>
      <c r="BB121" s="19"/>
      <c r="BC121" s="19"/>
      <c r="BD121" s="19"/>
      <c r="BE121" s="19"/>
      <c r="BF121" s="19"/>
      <c r="BG121" s="19"/>
      <c r="BH121" s="19"/>
      <c r="BI121" s="19"/>
      <c r="BJ121" s="19"/>
      <c r="BK121" s="19"/>
      <c r="BL121" s="19"/>
      <c r="BM121" s="19"/>
      <c r="BN121" s="19"/>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109" ht="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18"/>
      <c r="AN122" s="18"/>
      <c r="AO122" s="18"/>
      <c r="AP122" s="19"/>
      <c r="AQ122" s="19"/>
      <c r="AR122" s="19"/>
      <c r="AS122" s="19"/>
      <c r="AT122" s="19"/>
      <c r="AU122" s="20"/>
      <c r="AV122" s="20"/>
      <c r="AW122" s="20"/>
      <c r="AX122" s="20"/>
      <c r="AY122" s="20"/>
      <c r="AZ122" s="20"/>
      <c r="BA122" s="20"/>
      <c r="BB122" s="20"/>
      <c r="BC122" s="20"/>
      <c r="BD122" s="20"/>
      <c r="BE122" s="20"/>
      <c r="BF122" s="20"/>
      <c r="BG122" s="20"/>
      <c r="BH122" s="20"/>
      <c r="BI122" s="20"/>
      <c r="BJ122" s="20"/>
      <c r="BK122" s="20"/>
      <c r="BL122" s="20"/>
      <c r="BM122" s="20"/>
      <c r="BN122" s="20"/>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109" ht="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18"/>
      <c r="AN123" s="18"/>
      <c r="AO123" s="18"/>
      <c r="AP123" s="18"/>
      <c r="AQ123" s="18"/>
      <c r="AR123" s="18"/>
      <c r="AS123" s="18"/>
      <c r="AT123" s="18"/>
      <c r="AU123" s="20"/>
      <c r="AV123" s="20"/>
      <c r="AW123" s="20"/>
      <c r="AX123" s="20"/>
      <c r="AY123" s="20"/>
      <c r="AZ123" s="20"/>
      <c r="BA123" s="20"/>
      <c r="BB123" s="20"/>
      <c r="BC123" s="20"/>
      <c r="BD123" s="20"/>
      <c r="BE123" s="20"/>
      <c r="BF123" s="20"/>
      <c r="BG123" s="20"/>
      <c r="BH123" s="20"/>
      <c r="BI123" s="20"/>
      <c r="BJ123" s="20"/>
      <c r="BK123" s="20"/>
      <c r="BL123" s="20"/>
      <c r="BM123" s="20"/>
      <c r="BN123" s="20"/>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109" ht="1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20"/>
      <c r="AV124" s="20"/>
      <c r="AW124" s="20"/>
      <c r="AX124" s="20"/>
      <c r="AY124" s="20"/>
      <c r="AZ124" s="20"/>
      <c r="BA124" s="20"/>
      <c r="BB124" s="20"/>
      <c r="BC124" s="20"/>
      <c r="BD124" s="20"/>
      <c r="BE124" s="20"/>
      <c r="BF124" s="20"/>
      <c r="BG124" s="20"/>
      <c r="BH124" s="20"/>
      <c r="BI124" s="20"/>
      <c r="BJ124" s="20"/>
      <c r="BK124" s="20"/>
      <c r="BL124" s="20"/>
      <c r="BM124" s="20"/>
      <c r="BN124" s="20"/>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109" ht="1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109" ht="1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109" ht="1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109" ht="1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66" ht="1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BM129" s="12"/>
      <c r="BN129" s="12"/>
    </row>
    <row r="130" spans="1:66" ht="1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row>
    <row r="131" spans="1:66" ht="1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row>
  </sheetData>
  <sheetProtection formatCells="0"/>
  <mergeCells count="508">
    <mergeCell ref="A1:CU6"/>
    <mergeCell ref="CV1:DE6"/>
    <mergeCell ref="A7:CO8"/>
    <mergeCell ref="CP7:DE8"/>
    <mergeCell ref="A9:R9"/>
    <mergeCell ref="S9:AD9"/>
    <mergeCell ref="AE9:AR9"/>
    <mergeCell ref="AS9:BF9"/>
    <mergeCell ref="BG9:CM11"/>
    <mergeCell ref="CN9:CP9"/>
    <mergeCell ref="A11:R11"/>
    <mergeCell ref="S11:AD11"/>
    <mergeCell ref="AE11:AR11"/>
    <mergeCell ref="AS11:BF11"/>
    <mergeCell ref="CN11:CP11"/>
    <mergeCell ref="CQ11:DE11"/>
    <mergeCell ref="CQ9:DE9"/>
    <mergeCell ref="A10:R10"/>
    <mergeCell ref="S10:AD10"/>
    <mergeCell ref="AE10:AR10"/>
    <mergeCell ref="AS10:BF10"/>
    <mergeCell ref="CN10:CP10"/>
    <mergeCell ref="CQ10:DE10"/>
    <mergeCell ref="B15:H16"/>
    <mergeCell ref="I15:O16"/>
    <mergeCell ref="P15:V16"/>
    <mergeCell ref="W15:AC16"/>
    <mergeCell ref="AD15:AJ16"/>
    <mergeCell ref="B13:H14"/>
    <mergeCell ref="I13:O14"/>
    <mergeCell ref="P13:V14"/>
    <mergeCell ref="W13:AC14"/>
    <mergeCell ref="AD13:AJ14"/>
    <mergeCell ref="AK15:AQ16"/>
    <mergeCell ref="AR15:AX16"/>
    <mergeCell ref="AY15:BE16"/>
    <mergeCell ref="BF15:BL16"/>
    <mergeCell ref="BM15:CL16"/>
    <mergeCell ref="CM15:DD16"/>
    <mergeCell ref="AR13:AX14"/>
    <mergeCell ref="AY13:BE14"/>
    <mergeCell ref="BF13:BL14"/>
    <mergeCell ref="BM13:CL14"/>
    <mergeCell ref="CM13:DD14"/>
    <mergeCell ref="AK13:AQ14"/>
    <mergeCell ref="B19:H20"/>
    <mergeCell ref="I19:O20"/>
    <mergeCell ref="P19:V20"/>
    <mergeCell ref="W19:AC20"/>
    <mergeCell ref="AD19:AJ20"/>
    <mergeCell ref="B17:H18"/>
    <mergeCell ref="I17:O18"/>
    <mergeCell ref="P17:V18"/>
    <mergeCell ref="W17:AC18"/>
    <mergeCell ref="AD17:AJ18"/>
    <mergeCell ref="AK19:AQ20"/>
    <mergeCell ref="AR19:AX20"/>
    <mergeCell ref="AY19:BE20"/>
    <mergeCell ref="BF19:BL20"/>
    <mergeCell ref="BM19:CL20"/>
    <mergeCell ref="CM19:DD20"/>
    <mergeCell ref="AR17:AX18"/>
    <mergeCell ref="AY17:BE18"/>
    <mergeCell ref="BF17:BL18"/>
    <mergeCell ref="BM17:CL18"/>
    <mergeCell ref="CM17:DD18"/>
    <mergeCell ref="AK17:AQ18"/>
    <mergeCell ref="B23:H24"/>
    <mergeCell ref="I23:O24"/>
    <mergeCell ref="P23:V24"/>
    <mergeCell ref="W23:AC24"/>
    <mergeCell ref="AD23:AJ24"/>
    <mergeCell ref="B21:H22"/>
    <mergeCell ref="I21:O22"/>
    <mergeCell ref="P21:V22"/>
    <mergeCell ref="W21:AC22"/>
    <mergeCell ref="AD21:AJ22"/>
    <mergeCell ref="AK23:AQ24"/>
    <mergeCell ref="AR23:AX24"/>
    <mergeCell ref="AY23:BE24"/>
    <mergeCell ref="BF23:BL24"/>
    <mergeCell ref="BM23:CL24"/>
    <mergeCell ref="CM23:DD24"/>
    <mergeCell ref="AR21:AX22"/>
    <mergeCell ref="AY21:BE22"/>
    <mergeCell ref="BF21:BL22"/>
    <mergeCell ref="BM21:CL22"/>
    <mergeCell ref="CM21:DD22"/>
    <mergeCell ref="AK21:AQ22"/>
    <mergeCell ref="B27:H28"/>
    <mergeCell ref="I27:O28"/>
    <mergeCell ref="P27:V28"/>
    <mergeCell ref="W27:AC28"/>
    <mergeCell ref="AD27:AJ28"/>
    <mergeCell ref="B25:H26"/>
    <mergeCell ref="I25:O26"/>
    <mergeCell ref="P25:V26"/>
    <mergeCell ref="W25:AC26"/>
    <mergeCell ref="AD25:AJ26"/>
    <mergeCell ref="AK27:AQ28"/>
    <mergeCell ref="AR27:AX28"/>
    <mergeCell ref="AY27:BE28"/>
    <mergeCell ref="BF27:BL28"/>
    <mergeCell ref="BM27:CL28"/>
    <mergeCell ref="CM27:DD28"/>
    <mergeCell ref="AR25:AX26"/>
    <mergeCell ref="AY25:BE26"/>
    <mergeCell ref="BF25:BL26"/>
    <mergeCell ref="BM25:CL26"/>
    <mergeCell ref="CM25:DD26"/>
    <mergeCell ref="AK25:AQ26"/>
    <mergeCell ref="B31:H32"/>
    <mergeCell ref="I31:O32"/>
    <mergeCell ref="P31:V32"/>
    <mergeCell ref="W31:AC32"/>
    <mergeCell ref="AD31:AJ32"/>
    <mergeCell ref="B29:H30"/>
    <mergeCell ref="I29:O30"/>
    <mergeCell ref="P29:V30"/>
    <mergeCell ref="W29:AC30"/>
    <mergeCell ref="AD29:AJ30"/>
    <mergeCell ref="AK31:AQ32"/>
    <mergeCell ref="AR31:AX32"/>
    <mergeCell ref="AY31:BE32"/>
    <mergeCell ref="BF31:BL32"/>
    <mergeCell ref="BM31:CL32"/>
    <mergeCell ref="CM31:DD32"/>
    <mergeCell ref="AR29:AX30"/>
    <mergeCell ref="AY29:BE30"/>
    <mergeCell ref="BF29:BL30"/>
    <mergeCell ref="BM29:CL30"/>
    <mergeCell ref="CM29:DD30"/>
    <mergeCell ref="AK29:AQ30"/>
    <mergeCell ref="B35:H36"/>
    <mergeCell ref="I35:O36"/>
    <mergeCell ref="P35:V36"/>
    <mergeCell ref="W35:AC36"/>
    <mergeCell ref="AD35:AJ36"/>
    <mergeCell ref="B33:H34"/>
    <mergeCell ref="I33:O34"/>
    <mergeCell ref="P33:V34"/>
    <mergeCell ref="W33:AC34"/>
    <mergeCell ref="AD33:AJ34"/>
    <mergeCell ref="AK35:AQ36"/>
    <mergeCell ref="AR35:AX36"/>
    <mergeCell ref="AY35:BE36"/>
    <mergeCell ref="BF35:BL36"/>
    <mergeCell ref="BM35:CL36"/>
    <mergeCell ref="CM35:DD36"/>
    <mergeCell ref="AR33:AX34"/>
    <mergeCell ref="AY33:BE34"/>
    <mergeCell ref="BF33:BL34"/>
    <mergeCell ref="BM33:CL34"/>
    <mergeCell ref="CM33:DD34"/>
    <mergeCell ref="AK33:AQ34"/>
    <mergeCell ref="B39:H40"/>
    <mergeCell ref="I39:O40"/>
    <mergeCell ref="P39:V40"/>
    <mergeCell ref="W39:AC40"/>
    <mergeCell ref="AD39:AJ40"/>
    <mergeCell ref="B37:H38"/>
    <mergeCell ref="I37:O38"/>
    <mergeCell ref="P37:V38"/>
    <mergeCell ref="W37:AC38"/>
    <mergeCell ref="AD37:AJ38"/>
    <mergeCell ref="AK39:AQ40"/>
    <mergeCell ref="AR39:AX40"/>
    <mergeCell ref="AY39:BE40"/>
    <mergeCell ref="BF39:BL40"/>
    <mergeCell ref="BM39:CL40"/>
    <mergeCell ref="CM39:DD40"/>
    <mergeCell ref="AR37:AX38"/>
    <mergeCell ref="AY37:BE38"/>
    <mergeCell ref="BF37:BL38"/>
    <mergeCell ref="BM37:CL38"/>
    <mergeCell ref="CM37:DD38"/>
    <mergeCell ref="AK37:AQ38"/>
    <mergeCell ref="B43:H44"/>
    <mergeCell ref="I43:O44"/>
    <mergeCell ref="P43:V44"/>
    <mergeCell ref="W43:AC44"/>
    <mergeCell ref="AD43:AJ44"/>
    <mergeCell ref="B41:H42"/>
    <mergeCell ref="I41:O42"/>
    <mergeCell ref="P41:V42"/>
    <mergeCell ref="W41:AC42"/>
    <mergeCell ref="AD41:AJ42"/>
    <mergeCell ref="AK43:AQ44"/>
    <mergeCell ref="AR43:AX44"/>
    <mergeCell ref="AY43:BE44"/>
    <mergeCell ref="BF43:BL44"/>
    <mergeCell ref="BM43:CL44"/>
    <mergeCell ref="CM43:DD44"/>
    <mergeCell ref="AR41:AX42"/>
    <mergeCell ref="AY41:BE42"/>
    <mergeCell ref="BF41:BL42"/>
    <mergeCell ref="BM41:CL42"/>
    <mergeCell ref="CM41:DD42"/>
    <mergeCell ref="AK41:AQ42"/>
    <mergeCell ref="B47:H48"/>
    <mergeCell ref="I47:O48"/>
    <mergeCell ref="P47:V48"/>
    <mergeCell ref="W47:AC48"/>
    <mergeCell ref="AD47:AJ48"/>
    <mergeCell ref="B45:H46"/>
    <mergeCell ref="I45:O46"/>
    <mergeCell ref="P45:V46"/>
    <mergeCell ref="W45:AC46"/>
    <mergeCell ref="AD45:AJ46"/>
    <mergeCell ref="AK47:AQ48"/>
    <mergeCell ref="AR47:AX48"/>
    <mergeCell ref="AY47:BE48"/>
    <mergeCell ref="BF47:BL48"/>
    <mergeCell ref="BM47:CL48"/>
    <mergeCell ref="CM47:DD48"/>
    <mergeCell ref="AR45:AX46"/>
    <mergeCell ref="AY45:BE46"/>
    <mergeCell ref="BF45:BL46"/>
    <mergeCell ref="BM45:CL46"/>
    <mergeCell ref="CM45:DD46"/>
    <mergeCell ref="AK45:AQ46"/>
    <mergeCell ref="B51:H52"/>
    <mergeCell ref="I51:O52"/>
    <mergeCell ref="P51:V52"/>
    <mergeCell ref="W51:AC52"/>
    <mergeCell ref="AD51:AJ52"/>
    <mergeCell ref="B49:H50"/>
    <mergeCell ref="I49:O50"/>
    <mergeCell ref="P49:V50"/>
    <mergeCell ref="W49:AC50"/>
    <mergeCell ref="AD49:AJ50"/>
    <mergeCell ref="AK51:AQ52"/>
    <mergeCell ref="AR51:AX52"/>
    <mergeCell ref="AY51:BE52"/>
    <mergeCell ref="BF51:BL52"/>
    <mergeCell ref="BM51:CL52"/>
    <mergeCell ref="CM51:DD52"/>
    <mergeCell ref="AR49:AX50"/>
    <mergeCell ref="AY49:BE50"/>
    <mergeCell ref="BF49:BL50"/>
    <mergeCell ref="BM49:CL50"/>
    <mergeCell ref="CM49:DD50"/>
    <mergeCell ref="AK49:AQ50"/>
    <mergeCell ref="CN66:CP66"/>
    <mergeCell ref="CQ66:DE66"/>
    <mergeCell ref="AR53:AX54"/>
    <mergeCell ref="AY53:BE54"/>
    <mergeCell ref="BF53:BL54"/>
    <mergeCell ref="BM53:CL54"/>
    <mergeCell ref="CM53:DD54"/>
    <mergeCell ref="B53:H54"/>
    <mergeCell ref="I53:O54"/>
    <mergeCell ref="P53:V54"/>
    <mergeCell ref="W53:AC54"/>
    <mergeCell ref="AD53:AJ54"/>
    <mergeCell ref="AK53:AQ54"/>
    <mergeCell ref="A56:CU61"/>
    <mergeCell ref="CV56:DE61"/>
    <mergeCell ref="AD68:AJ69"/>
    <mergeCell ref="AK68:AQ69"/>
    <mergeCell ref="AR68:AX69"/>
    <mergeCell ref="AY68:BE69"/>
    <mergeCell ref="BF68:BL69"/>
    <mergeCell ref="A62:CO63"/>
    <mergeCell ref="CP62:DE63"/>
    <mergeCell ref="A64:R64"/>
    <mergeCell ref="S64:AD64"/>
    <mergeCell ref="AE64:AR64"/>
    <mergeCell ref="AS64:BF64"/>
    <mergeCell ref="BG64:CM66"/>
    <mergeCell ref="CN64:CP64"/>
    <mergeCell ref="CQ64:DE64"/>
    <mergeCell ref="A65:R65"/>
    <mergeCell ref="S65:AD65"/>
    <mergeCell ref="AE65:AR65"/>
    <mergeCell ref="AS65:BF65"/>
    <mergeCell ref="CN65:CP65"/>
    <mergeCell ref="CQ65:DE65"/>
    <mergeCell ref="A66:R66"/>
    <mergeCell ref="S66:AD66"/>
    <mergeCell ref="AE66:AR66"/>
    <mergeCell ref="AS66:BF66"/>
    <mergeCell ref="B76:H77"/>
    <mergeCell ref="I76:O77"/>
    <mergeCell ref="P76:V77"/>
    <mergeCell ref="W76:AC77"/>
    <mergeCell ref="AD76:AJ77"/>
    <mergeCell ref="AK76:AQ77"/>
    <mergeCell ref="AR76:AX77"/>
    <mergeCell ref="BM68:CL69"/>
    <mergeCell ref="CM68:DD69"/>
    <mergeCell ref="B70:H71"/>
    <mergeCell ref="I70:O71"/>
    <mergeCell ref="P70:V71"/>
    <mergeCell ref="W70:AC71"/>
    <mergeCell ref="AD70:AJ71"/>
    <mergeCell ref="AK70:AQ71"/>
    <mergeCell ref="AR70:AX71"/>
    <mergeCell ref="AY70:BE71"/>
    <mergeCell ref="BF70:BL71"/>
    <mergeCell ref="BM70:CL71"/>
    <mergeCell ref="CM70:DD71"/>
    <mergeCell ref="B68:H69"/>
    <mergeCell ref="I68:O69"/>
    <mergeCell ref="P68:V69"/>
    <mergeCell ref="W68:AC69"/>
    <mergeCell ref="AY72:BE73"/>
    <mergeCell ref="BF72:BL73"/>
    <mergeCell ref="BM72:CL73"/>
    <mergeCell ref="CM72:DD73"/>
    <mergeCell ref="B74:H75"/>
    <mergeCell ref="I74:O75"/>
    <mergeCell ref="P74:V75"/>
    <mergeCell ref="W74:AC75"/>
    <mergeCell ref="AD74:AJ75"/>
    <mergeCell ref="AK74:AQ75"/>
    <mergeCell ref="B72:H73"/>
    <mergeCell ref="I72:O73"/>
    <mergeCell ref="P72:V73"/>
    <mergeCell ref="W72:AC73"/>
    <mergeCell ref="AD72:AJ73"/>
    <mergeCell ref="AK72:AQ73"/>
    <mergeCell ref="AR72:AX73"/>
    <mergeCell ref="AY76:BE77"/>
    <mergeCell ref="BF76:BL77"/>
    <mergeCell ref="BM76:CL77"/>
    <mergeCell ref="CM76:DD77"/>
    <mergeCell ref="AR74:AX75"/>
    <mergeCell ref="AY74:BE75"/>
    <mergeCell ref="BF74:BL75"/>
    <mergeCell ref="BM74:CL75"/>
    <mergeCell ref="CM74:DD75"/>
    <mergeCell ref="B80:H81"/>
    <mergeCell ref="I80:O81"/>
    <mergeCell ref="P80:V81"/>
    <mergeCell ref="W80:AC81"/>
    <mergeCell ref="AD80:AJ81"/>
    <mergeCell ref="B78:H79"/>
    <mergeCell ref="I78:O79"/>
    <mergeCell ref="P78:V79"/>
    <mergeCell ref="W78:AC79"/>
    <mergeCell ref="AD78:AJ79"/>
    <mergeCell ref="AK80:AQ81"/>
    <mergeCell ref="AR80:AX81"/>
    <mergeCell ref="AY80:BE81"/>
    <mergeCell ref="BF80:BL81"/>
    <mergeCell ref="BM80:CL81"/>
    <mergeCell ref="CM80:DD81"/>
    <mergeCell ref="AR78:AX79"/>
    <mergeCell ref="AY78:BE79"/>
    <mergeCell ref="BF78:BL79"/>
    <mergeCell ref="BM78:CL79"/>
    <mergeCell ref="CM78:DD79"/>
    <mergeCell ref="AK78:AQ79"/>
    <mergeCell ref="B84:H85"/>
    <mergeCell ref="I84:O85"/>
    <mergeCell ref="P84:V85"/>
    <mergeCell ref="W84:AC85"/>
    <mergeCell ref="AD84:AJ85"/>
    <mergeCell ref="B82:H83"/>
    <mergeCell ref="I82:O83"/>
    <mergeCell ref="P82:V83"/>
    <mergeCell ref="W82:AC83"/>
    <mergeCell ref="AD82:AJ83"/>
    <mergeCell ref="AK84:AQ85"/>
    <mergeCell ref="AR84:AX85"/>
    <mergeCell ref="AY84:BE85"/>
    <mergeCell ref="BF84:BL85"/>
    <mergeCell ref="BM84:CL85"/>
    <mergeCell ref="CM84:DD85"/>
    <mergeCell ref="AR82:AX83"/>
    <mergeCell ref="AY82:BE83"/>
    <mergeCell ref="BF82:BL83"/>
    <mergeCell ref="BM82:CL83"/>
    <mergeCell ref="CM82:DD83"/>
    <mergeCell ref="AK82:AQ83"/>
    <mergeCell ref="B88:H89"/>
    <mergeCell ref="I88:O89"/>
    <mergeCell ref="P88:V89"/>
    <mergeCell ref="W88:AC89"/>
    <mergeCell ref="AD88:AJ89"/>
    <mergeCell ref="B86:H87"/>
    <mergeCell ref="I86:O87"/>
    <mergeCell ref="P86:V87"/>
    <mergeCell ref="W86:AC87"/>
    <mergeCell ref="AD86:AJ87"/>
    <mergeCell ref="AK88:AQ89"/>
    <mergeCell ref="AR88:AX89"/>
    <mergeCell ref="AY88:BE89"/>
    <mergeCell ref="BF88:BL89"/>
    <mergeCell ref="BM88:CL89"/>
    <mergeCell ref="CM88:DD89"/>
    <mergeCell ref="AR86:AX87"/>
    <mergeCell ref="AY86:BE87"/>
    <mergeCell ref="BF86:BL87"/>
    <mergeCell ref="BM86:CL87"/>
    <mergeCell ref="CM86:DD87"/>
    <mergeCell ref="AK86:AQ87"/>
    <mergeCell ref="B92:H93"/>
    <mergeCell ref="I92:O93"/>
    <mergeCell ref="P92:V93"/>
    <mergeCell ref="W92:AC93"/>
    <mergeCell ref="AD92:AJ93"/>
    <mergeCell ref="B90:H91"/>
    <mergeCell ref="I90:O91"/>
    <mergeCell ref="P90:V91"/>
    <mergeCell ref="W90:AC91"/>
    <mergeCell ref="AD90:AJ91"/>
    <mergeCell ref="AK92:AQ93"/>
    <mergeCell ref="AR92:AX93"/>
    <mergeCell ref="AY92:BE93"/>
    <mergeCell ref="BF92:BL93"/>
    <mergeCell ref="BM92:CL93"/>
    <mergeCell ref="CM92:DD93"/>
    <mergeCell ref="AR90:AX91"/>
    <mergeCell ref="AY90:BE91"/>
    <mergeCell ref="BF90:BL91"/>
    <mergeCell ref="BM90:CL91"/>
    <mergeCell ref="CM90:DD91"/>
    <mergeCell ref="AK90:AQ91"/>
    <mergeCell ref="B96:H97"/>
    <mergeCell ref="I96:O97"/>
    <mergeCell ref="P96:V97"/>
    <mergeCell ref="W96:AC97"/>
    <mergeCell ref="AD96:AJ97"/>
    <mergeCell ref="B94:H95"/>
    <mergeCell ref="I94:O95"/>
    <mergeCell ref="P94:V95"/>
    <mergeCell ref="W94:AC95"/>
    <mergeCell ref="AD94:AJ95"/>
    <mergeCell ref="AK96:AQ97"/>
    <mergeCell ref="AR96:AX97"/>
    <mergeCell ref="AY96:BE97"/>
    <mergeCell ref="BF96:BL97"/>
    <mergeCell ref="BM96:CL97"/>
    <mergeCell ref="CM96:DD97"/>
    <mergeCell ref="AR94:AX95"/>
    <mergeCell ref="AY94:BE95"/>
    <mergeCell ref="BF94:BL95"/>
    <mergeCell ref="BM94:CL95"/>
    <mergeCell ref="CM94:DD95"/>
    <mergeCell ref="AK94:AQ95"/>
    <mergeCell ref="B100:H101"/>
    <mergeCell ref="I100:O101"/>
    <mergeCell ref="P100:V101"/>
    <mergeCell ref="W100:AC101"/>
    <mergeCell ref="AD100:AJ101"/>
    <mergeCell ref="B98:H99"/>
    <mergeCell ref="I98:O99"/>
    <mergeCell ref="P98:V99"/>
    <mergeCell ref="W98:AC99"/>
    <mergeCell ref="AD98:AJ99"/>
    <mergeCell ref="AK100:AQ101"/>
    <mergeCell ref="AR100:AX101"/>
    <mergeCell ref="AY100:BE101"/>
    <mergeCell ref="BF100:BL101"/>
    <mergeCell ref="BM100:CL101"/>
    <mergeCell ref="CM100:DD101"/>
    <mergeCell ref="AR98:AX99"/>
    <mergeCell ref="AY98:BE99"/>
    <mergeCell ref="BF98:BL99"/>
    <mergeCell ref="BM98:CL99"/>
    <mergeCell ref="CM98:DD99"/>
    <mergeCell ref="AK98:AQ99"/>
    <mergeCell ref="B104:H105"/>
    <mergeCell ref="I104:O105"/>
    <mergeCell ref="P104:V105"/>
    <mergeCell ref="W104:AC105"/>
    <mergeCell ref="AD104:AJ105"/>
    <mergeCell ref="B102:H103"/>
    <mergeCell ref="I102:O103"/>
    <mergeCell ref="P102:V103"/>
    <mergeCell ref="W102:AC103"/>
    <mergeCell ref="AD102:AJ103"/>
    <mergeCell ref="AK104:AQ105"/>
    <mergeCell ref="AR104:AX105"/>
    <mergeCell ref="AY104:BE105"/>
    <mergeCell ref="BF104:BL105"/>
    <mergeCell ref="BM104:CL105"/>
    <mergeCell ref="CM104:DD105"/>
    <mergeCell ref="AR102:AX103"/>
    <mergeCell ref="AY102:BE103"/>
    <mergeCell ref="BF102:BL103"/>
    <mergeCell ref="BM102:CL103"/>
    <mergeCell ref="CM102:DD103"/>
    <mergeCell ref="AK102:AQ103"/>
    <mergeCell ref="AK108:AQ109"/>
    <mergeCell ref="AR108:AX109"/>
    <mergeCell ref="AY108:BE109"/>
    <mergeCell ref="BF108:BL109"/>
    <mergeCell ref="BM108:CL109"/>
    <mergeCell ref="CM108:DD109"/>
    <mergeCell ref="AR106:AX107"/>
    <mergeCell ref="AY106:BE107"/>
    <mergeCell ref="BF106:BL107"/>
    <mergeCell ref="BM106:CL107"/>
    <mergeCell ref="CM106:DD107"/>
    <mergeCell ref="AK106:AQ107"/>
    <mergeCell ref="B108:H109"/>
    <mergeCell ref="I108:O109"/>
    <mergeCell ref="P108:V109"/>
    <mergeCell ref="W108:AC109"/>
    <mergeCell ref="AD108:AJ109"/>
    <mergeCell ref="B106:H107"/>
    <mergeCell ref="I106:O107"/>
    <mergeCell ref="P106:V107"/>
    <mergeCell ref="W106:AC107"/>
    <mergeCell ref="AD106:AJ107"/>
  </mergeCells>
  <phoneticPr fontId="29" type="noConversion"/>
  <hyperlinks>
    <hyperlink ref="CV1" r:id="rId1" display="www.aes-ab.com" xr:uid="{2EB7697E-9447-4A16-A11A-0EAA0DC5DF61}"/>
    <hyperlink ref="CV1:DE6" r:id="rId2" display="http://www.resapower.com/" xr:uid="{C77811CD-1866-467B-A63B-473DEA0F830A}"/>
    <hyperlink ref="CV56" r:id="rId3" display="www.aes-ab.com" xr:uid="{1354FD2A-636E-476C-81FA-70C2FCE4C9AA}"/>
    <hyperlink ref="CV56:DE61" r:id="rId4" display="http://www.resapower.com/" xr:uid="{DF5266B3-F1F7-43D7-9BC7-53C44F56531F}"/>
  </hyperlinks>
  <printOptions horizontalCentered="1" verticalCentered="1"/>
  <pageMargins left="0.19685039370078741" right="0.19685039370078741" top="0.59055118110236227" bottom="0.59055118110236227" header="0.59055118110236227" footer="0.19685039370078741"/>
  <pageSetup scale="63" fitToHeight="0" orientation="landscape" r:id="rId5"/>
  <headerFooter alignWithMargins="0">
    <oddHeader xml:space="preserve">&amp;R
</oddHeader>
    <oddFooter>&amp;L&amp;F&amp;RPage &amp;P</oddFooter>
  </headerFooter>
  <drawing r:id="rId6"/>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D4B7-8ADC-4C0A-AD49-28169AC12E80}">
  <sheetPr codeName="Sheet1">
    <tabColor rgb="FF0C5485"/>
    <pageSetUpPr fitToPage="1"/>
  </sheetPr>
  <dimension ref="A1:BR78"/>
  <sheetViews>
    <sheetView showGridLines="0" showRuler="0" topLeftCell="B1" zoomScale="43" zoomScaleNormal="70" zoomScalePageLayoutView="70" workbookViewId="0">
      <pane ySplit="7" topLeftCell="A34" activePane="bottomLeft" state="frozen"/>
      <selection activeCell="BF102" sqref="BF102:BL103"/>
      <selection pane="bottomLeft" activeCell="B5" sqref="B5:C5"/>
    </sheetView>
  </sheetViews>
  <sheetFormatPr defaultColWidth="8.85546875" defaultRowHeight="30" customHeight="1"/>
  <cols>
    <col min="1" max="1" width="2.7109375" style="28" customWidth="1"/>
    <col min="2" max="2" width="19.85546875" style="30" customWidth="1"/>
    <col min="3" max="3" width="53.5703125" style="30" customWidth="1"/>
    <col min="4" max="5" width="15.7109375" style="30" customWidth="1"/>
    <col min="6" max="8" width="16.5703125" style="30" hidden="1" customWidth="1"/>
    <col min="9" max="9" width="15.7109375" style="30" customWidth="1"/>
    <col min="10" max="10" width="50.140625" style="30" customWidth="1"/>
    <col min="11" max="11" width="16.85546875" style="29" customWidth="1"/>
    <col min="12" max="12" width="19.5703125" style="30" customWidth="1"/>
    <col min="13" max="13" width="2.7109375" style="30" customWidth="1"/>
    <col min="14" max="14" width="5.7109375" style="30" hidden="1" customWidth="1"/>
    <col min="15" max="20" width="3.42578125" style="30" bestFit="1" customWidth="1"/>
    <col min="21" max="21" width="3.85546875" style="30" bestFit="1" customWidth="1"/>
    <col min="22" max="22" width="3.42578125" style="30" bestFit="1" customWidth="1"/>
    <col min="23" max="31" width="3.85546875" style="30" bestFit="1" customWidth="1"/>
    <col min="32" max="32" width="3.42578125" style="30" bestFit="1" customWidth="1"/>
    <col min="33" max="33" width="2.42578125" style="30" bestFit="1" customWidth="1"/>
    <col min="34" max="35" width="2.5703125" style="30" bestFit="1" customWidth="1"/>
    <col min="36" max="51" width="3.42578125" style="30" bestFit="1" customWidth="1"/>
    <col min="52" max="52" width="3.85546875" style="30" bestFit="1" customWidth="1"/>
    <col min="53" max="53" width="3.42578125" style="30" bestFit="1" customWidth="1"/>
    <col min="54" max="62" width="3.85546875" style="30" bestFit="1" customWidth="1"/>
    <col min="63" max="70" width="3.42578125" style="30" bestFit="1" customWidth="1"/>
    <col min="71" max="16384" width="8.85546875" style="30"/>
  </cols>
  <sheetData>
    <row r="1" spans="1:70" ht="27" customHeight="1">
      <c r="B1" s="430"/>
      <c r="C1" s="430"/>
    </row>
    <row r="2" spans="1:70" ht="30" customHeight="1">
      <c r="A2" s="31" t="s">
        <v>44</v>
      </c>
      <c r="B2" s="68" t="s">
        <v>45</v>
      </c>
      <c r="C2" s="69"/>
      <c r="D2" s="69"/>
      <c r="E2" s="69"/>
      <c r="F2" s="69"/>
      <c r="G2" s="69"/>
      <c r="H2" s="69"/>
      <c r="I2" s="32"/>
      <c r="J2" s="32"/>
      <c r="K2" s="33"/>
      <c r="L2" s="34"/>
      <c r="N2" s="32"/>
      <c r="O2" s="35"/>
    </row>
    <row r="3" spans="1:70" ht="30" customHeight="1">
      <c r="B3" s="75" t="s">
        <v>46</v>
      </c>
      <c r="D3" s="431"/>
      <c r="E3" s="431"/>
      <c r="F3" s="431"/>
      <c r="O3" s="36"/>
    </row>
    <row r="4" spans="1:70" ht="30" customHeight="1">
      <c r="A4" s="28" t="s">
        <v>47</v>
      </c>
      <c r="B4" s="75" t="s">
        <v>169</v>
      </c>
      <c r="C4" s="82"/>
      <c r="D4" s="432" t="s">
        <v>48</v>
      </c>
      <c r="E4" s="432"/>
      <c r="F4" s="432"/>
      <c r="G4" s="432"/>
      <c r="H4" s="432"/>
      <c r="I4" s="433"/>
      <c r="J4" s="37"/>
      <c r="K4" s="434">
        <v>45839</v>
      </c>
      <c r="L4" s="434"/>
    </row>
    <row r="5" spans="1:70" ht="30" customHeight="1">
      <c r="A5" s="31" t="s">
        <v>49</v>
      </c>
      <c r="B5" s="435">
        <v>45894</v>
      </c>
      <c r="C5" s="436"/>
      <c r="D5" s="432" t="s">
        <v>50</v>
      </c>
      <c r="E5" s="432"/>
      <c r="F5" s="432"/>
      <c r="G5" s="432"/>
      <c r="H5" s="432"/>
      <c r="I5" s="433"/>
      <c r="J5" s="166"/>
      <c r="K5" s="104">
        <v>3</v>
      </c>
      <c r="L5" s="167"/>
      <c r="M5" s="168"/>
      <c r="N5" s="168"/>
      <c r="O5" s="437">
        <f>O6</f>
        <v>45852</v>
      </c>
      <c r="P5" s="438"/>
      <c r="Q5" s="438"/>
      <c r="R5" s="438"/>
      <c r="S5" s="438"/>
      <c r="T5" s="438"/>
      <c r="U5" s="439"/>
      <c r="V5" s="437">
        <f>V6</f>
        <v>45859</v>
      </c>
      <c r="W5" s="438"/>
      <c r="X5" s="438"/>
      <c r="Y5" s="438"/>
      <c r="Z5" s="438"/>
      <c r="AA5" s="438"/>
      <c r="AB5" s="439"/>
      <c r="AC5" s="437">
        <f>AC6</f>
        <v>45866</v>
      </c>
      <c r="AD5" s="438"/>
      <c r="AE5" s="438"/>
      <c r="AF5" s="438"/>
      <c r="AG5" s="438"/>
      <c r="AH5" s="438"/>
      <c r="AI5" s="439"/>
      <c r="AJ5" s="437">
        <f>AJ6</f>
        <v>45873</v>
      </c>
      <c r="AK5" s="438"/>
      <c r="AL5" s="438"/>
      <c r="AM5" s="438"/>
      <c r="AN5" s="438"/>
      <c r="AO5" s="438"/>
      <c r="AP5" s="439"/>
      <c r="AQ5" s="437">
        <f>AQ6</f>
        <v>45880</v>
      </c>
      <c r="AR5" s="438"/>
      <c r="AS5" s="438"/>
      <c r="AT5" s="438"/>
      <c r="AU5" s="438"/>
      <c r="AV5" s="438"/>
      <c r="AW5" s="439"/>
      <c r="AX5" s="437">
        <f>AX6</f>
        <v>45887</v>
      </c>
      <c r="AY5" s="438"/>
      <c r="AZ5" s="438"/>
      <c r="BA5" s="438"/>
      <c r="BB5" s="438"/>
      <c r="BC5" s="438"/>
      <c r="BD5" s="439"/>
      <c r="BE5" s="437">
        <f>BE6</f>
        <v>45894</v>
      </c>
      <c r="BF5" s="438"/>
      <c r="BG5" s="438"/>
      <c r="BH5" s="438"/>
      <c r="BI5" s="438"/>
      <c r="BJ5" s="438"/>
      <c r="BK5" s="439"/>
      <c r="BL5" s="437">
        <f>BL6</f>
        <v>45901</v>
      </c>
      <c r="BM5" s="438"/>
      <c r="BN5" s="438"/>
      <c r="BO5" s="438"/>
      <c r="BP5" s="438"/>
      <c r="BQ5" s="438"/>
      <c r="BR5" s="439"/>
    </row>
    <row r="6" spans="1:70" ht="15" customHeight="1">
      <c r="A6" s="31" t="s">
        <v>51</v>
      </c>
      <c r="B6" s="169"/>
      <c r="C6" s="169"/>
      <c r="D6" s="169"/>
      <c r="E6" s="169"/>
      <c r="F6" s="169"/>
      <c r="G6" s="169"/>
      <c r="H6" s="169"/>
      <c r="I6" s="169"/>
      <c r="J6" s="169"/>
      <c r="K6" s="169"/>
      <c r="L6" s="169"/>
      <c r="M6" s="169"/>
      <c r="N6" s="168"/>
      <c r="O6" s="71">
        <f>Project_Start-WEEKDAY(Project_Start,1)+2+7*(Display_Week-1)</f>
        <v>45852</v>
      </c>
      <c r="P6" s="72">
        <f>O6+1</f>
        <v>45853</v>
      </c>
      <c r="Q6" s="72">
        <f t="shared" ref="Q6:BD6" si="0">P6+1</f>
        <v>45854</v>
      </c>
      <c r="R6" s="72">
        <f t="shared" si="0"/>
        <v>45855</v>
      </c>
      <c r="S6" s="72">
        <f t="shared" si="0"/>
        <v>45856</v>
      </c>
      <c r="T6" s="72">
        <f t="shared" si="0"/>
        <v>45857</v>
      </c>
      <c r="U6" s="73">
        <f t="shared" si="0"/>
        <v>45858</v>
      </c>
      <c r="V6" s="71">
        <f>U6+1</f>
        <v>45859</v>
      </c>
      <c r="W6" s="72">
        <f>V6+1</f>
        <v>45860</v>
      </c>
      <c r="X6" s="72">
        <f t="shared" si="0"/>
        <v>45861</v>
      </c>
      <c r="Y6" s="72">
        <f t="shared" si="0"/>
        <v>45862</v>
      </c>
      <c r="Z6" s="72">
        <f t="shared" si="0"/>
        <v>45863</v>
      </c>
      <c r="AA6" s="72">
        <f t="shared" si="0"/>
        <v>45864</v>
      </c>
      <c r="AB6" s="73">
        <f t="shared" si="0"/>
        <v>45865</v>
      </c>
      <c r="AC6" s="71">
        <f>AB6+1</f>
        <v>45866</v>
      </c>
      <c r="AD6" s="72">
        <f>AC6+1</f>
        <v>45867</v>
      </c>
      <c r="AE6" s="72">
        <f t="shared" si="0"/>
        <v>45868</v>
      </c>
      <c r="AF6" s="72">
        <f t="shared" si="0"/>
        <v>45869</v>
      </c>
      <c r="AG6" s="72">
        <f t="shared" si="0"/>
        <v>45870</v>
      </c>
      <c r="AH6" s="72">
        <f t="shared" si="0"/>
        <v>45871</v>
      </c>
      <c r="AI6" s="73">
        <f t="shared" si="0"/>
        <v>45872</v>
      </c>
      <c r="AJ6" s="71">
        <f>AI6+1</f>
        <v>45873</v>
      </c>
      <c r="AK6" s="72">
        <f>AJ6+1</f>
        <v>45874</v>
      </c>
      <c r="AL6" s="72">
        <f t="shared" si="0"/>
        <v>45875</v>
      </c>
      <c r="AM6" s="72">
        <f t="shared" si="0"/>
        <v>45876</v>
      </c>
      <c r="AN6" s="72">
        <f t="shared" si="0"/>
        <v>45877</v>
      </c>
      <c r="AO6" s="72">
        <f t="shared" si="0"/>
        <v>45878</v>
      </c>
      <c r="AP6" s="73">
        <f t="shared" si="0"/>
        <v>45879</v>
      </c>
      <c r="AQ6" s="71">
        <f>AP6+1</f>
        <v>45880</v>
      </c>
      <c r="AR6" s="72">
        <f>AQ6+1</f>
        <v>45881</v>
      </c>
      <c r="AS6" s="72">
        <f t="shared" si="0"/>
        <v>45882</v>
      </c>
      <c r="AT6" s="72">
        <f t="shared" si="0"/>
        <v>45883</v>
      </c>
      <c r="AU6" s="72">
        <f t="shared" si="0"/>
        <v>45884</v>
      </c>
      <c r="AV6" s="72">
        <f t="shared" si="0"/>
        <v>45885</v>
      </c>
      <c r="AW6" s="73">
        <f t="shared" si="0"/>
        <v>45886</v>
      </c>
      <c r="AX6" s="71">
        <f>AW6+1</f>
        <v>45887</v>
      </c>
      <c r="AY6" s="72">
        <f>AX6+1</f>
        <v>45888</v>
      </c>
      <c r="AZ6" s="72">
        <f t="shared" si="0"/>
        <v>45889</v>
      </c>
      <c r="BA6" s="72">
        <f t="shared" si="0"/>
        <v>45890</v>
      </c>
      <c r="BB6" s="72">
        <f t="shared" si="0"/>
        <v>45891</v>
      </c>
      <c r="BC6" s="72">
        <f t="shared" si="0"/>
        <v>45892</v>
      </c>
      <c r="BD6" s="73">
        <f t="shared" si="0"/>
        <v>45893</v>
      </c>
      <c r="BE6" s="71">
        <f>BD6+1</f>
        <v>45894</v>
      </c>
      <c r="BF6" s="72">
        <f>BE6+1</f>
        <v>45895</v>
      </c>
      <c r="BG6" s="72">
        <f t="shared" ref="BG6:BK6" si="1">BF6+1</f>
        <v>45896</v>
      </c>
      <c r="BH6" s="72">
        <f t="shared" si="1"/>
        <v>45897</v>
      </c>
      <c r="BI6" s="72">
        <f t="shared" si="1"/>
        <v>45898</v>
      </c>
      <c r="BJ6" s="72">
        <f t="shared" si="1"/>
        <v>45899</v>
      </c>
      <c r="BK6" s="73">
        <f t="shared" si="1"/>
        <v>45900</v>
      </c>
      <c r="BL6" s="71">
        <f>BK6+1</f>
        <v>45901</v>
      </c>
      <c r="BM6" s="72">
        <f>BL6+1</f>
        <v>45902</v>
      </c>
      <c r="BN6" s="72">
        <f t="shared" ref="BN6:BR6" si="2">BM6+1</f>
        <v>45903</v>
      </c>
      <c r="BO6" s="72">
        <f t="shared" si="2"/>
        <v>45904</v>
      </c>
      <c r="BP6" s="72">
        <f t="shared" si="2"/>
        <v>45905</v>
      </c>
      <c r="BQ6" s="72">
        <f t="shared" si="2"/>
        <v>45906</v>
      </c>
      <c r="BR6" s="73">
        <f t="shared" si="2"/>
        <v>45907</v>
      </c>
    </row>
    <row r="7" spans="1:70" ht="30" customHeight="1" thickBot="1">
      <c r="A7" s="31" t="s">
        <v>52</v>
      </c>
      <c r="B7" s="112" t="s">
        <v>53</v>
      </c>
      <c r="C7" s="70" t="s">
        <v>54</v>
      </c>
      <c r="D7" s="70" t="s">
        <v>55</v>
      </c>
      <c r="E7" s="70" t="s">
        <v>56</v>
      </c>
      <c r="F7" s="70" t="s">
        <v>57</v>
      </c>
      <c r="G7" s="70" t="s">
        <v>58</v>
      </c>
      <c r="H7" s="70" t="s">
        <v>59</v>
      </c>
      <c r="I7" s="70" t="s">
        <v>60</v>
      </c>
      <c r="J7" s="70" t="s">
        <v>61</v>
      </c>
      <c r="K7" s="70" t="s">
        <v>62</v>
      </c>
      <c r="L7" s="70" t="s">
        <v>63</v>
      </c>
      <c r="M7" s="70"/>
      <c r="N7" s="70" t="s">
        <v>64</v>
      </c>
      <c r="O7" s="74" t="str">
        <f t="shared" ref="O7:BR7" si="3">LEFT(TEXT(O6,"ddd"),1)</f>
        <v>M</v>
      </c>
      <c r="P7" s="74" t="str">
        <f t="shared" si="3"/>
        <v>T</v>
      </c>
      <c r="Q7" s="74" t="str">
        <f t="shared" si="3"/>
        <v>W</v>
      </c>
      <c r="R7" s="74" t="str">
        <f t="shared" si="3"/>
        <v>T</v>
      </c>
      <c r="S7" s="74" t="str">
        <f t="shared" si="3"/>
        <v>F</v>
      </c>
      <c r="T7" s="74" t="str">
        <f t="shared" si="3"/>
        <v>S</v>
      </c>
      <c r="U7" s="74" t="str">
        <f t="shared" si="3"/>
        <v>S</v>
      </c>
      <c r="V7" s="74" t="str">
        <f t="shared" si="3"/>
        <v>M</v>
      </c>
      <c r="W7" s="74" t="str">
        <f t="shared" si="3"/>
        <v>T</v>
      </c>
      <c r="X7" s="74" t="str">
        <f t="shared" si="3"/>
        <v>W</v>
      </c>
      <c r="Y7" s="74" t="str">
        <f t="shared" si="3"/>
        <v>T</v>
      </c>
      <c r="Z7" s="74" t="str">
        <f t="shared" si="3"/>
        <v>F</v>
      </c>
      <c r="AA7" s="74" t="str">
        <f t="shared" si="3"/>
        <v>S</v>
      </c>
      <c r="AB7" s="74" t="str">
        <f t="shared" si="3"/>
        <v>S</v>
      </c>
      <c r="AC7" s="74" t="str">
        <f t="shared" si="3"/>
        <v>M</v>
      </c>
      <c r="AD7" s="74" t="str">
        <f t="shared" si="3"/>
        <v>T</v>
      </c>
      <c r="AE7" s="74" t="str">
        <f t="shared" si="3"/>
        <v>W</v>
      </c>
      <c r="AF7" s="74" t="str">
        <f t="shared" si="3"/>
        <v>T</v>
      </c>
      <c r="AG7" s="74" t="str">
        <f t="shared" si="3"/>
        <v>F</v>
      </c>
      <c r="AH7" s="74" t="str">
        <f t="shared" si="3"/>
        <v>S</v>
      </c>
      <c r="AI7" s="74" t="str">
        <f t="shared" si="3"/>
        <v>S</v>
      </c>
      <c r="AJ7" s="74" t="str">
        <f t="shared" si="3"/>
        <v>M</v>
      </c>
      <c r="AK7" s="74" t="str">
        <f t="shared" si="3"/>
        <v>T</v>
      </c>
      <c r="AL7" s="74" t="str">
        <f t="shared" si="3"/>
        <v>W</v>
      </c>
      <c r="AM7" s="74" t="str">
        <f t="shared" si="3"/>
        <v>T</v>
      </c>
      <c r="AN7" s="74" t="str">
        <f t="shared" si="3"/>
        <v>F</v>
      </c>
      <c r="AO7" s="74" t="str">
        <f t="shared" si="3"/>
        <v>S</v>
      </c>
      <c r="AP7" s="74" t="str">
        <f t="shared" si="3"/>
        <v>S</v>
      </c>
      <c r="AQ7" s="74" t="str">
        <f t="shared" si="3"/>
        <v>M</v>
      </c>
      <c r="AR7" s="74" t="str">
        <f t="shared" si="3"/>
        <v>T</v>
      </c>
      <c r="AS7" s="74" t="str">
        <f t="shared" si="3"/>
        <v>W</v>
      </c>
      <c r="AT7" s="74" t="str">
        <f t="shared" si="3"/>
        <v>T</v>
      </c>
      <c r="AU7" s="74" t="str">
        <f t="shared" si="3"/>
        <v>F</v>
      </c>
      <c r="AV7" s="74" t="str">
        <f t="shared" si="3"/>
        <v>S</v>
      </c>
      <c r="AW7" s="74" t="str">
        <f t="shared" si="3"/>
        <v>S</v>
      </c>
      <c r="AX7" s="74" t="str">
        <f t="shared" si="3"/>
        <v>M</v>
      </c>
      <c r="AY7" s="74" t="str">
        <f t="shared" si="3"/>
        <v>T</v>
      </c>
      <c r="AZ7" s="74" t="str">
        <f t="shared" si="3"/>
        <v>W</v>
      </c>
      <c r="BA7" s="74" t="str">
        <f t="shared" si="3"/>
        <v>T</v>
      </c>
      <c r="BB7" s="74" t="str">
        <f t="shared" si="3"/>
        <v>F</v>
      </c>
      <c r="BC7" s="74" t="str">
        <f t="shared" si="3"/>
        <v>S</v>
      </c>
      <c r="BD7" s="74" t="str">
        <f t="shared" si="3"/>
        <v>S</v>
      </c>
      <c r="BE7" s="74" t="str">
        <f t="shared" si="3"/>
        <v>M</v>
      </c>
      <c r="BF7" s="74" t="str">
        <f t="shared" si="3"/>
        <v>T</v>
      </c>
      <c r="BG7" s="74" t="str">
        <f t="shared" si="3"/>
        <v>W</v>
      </c>
      <c r="BH7" s="74" t="str">
        <f t="shared" si="3"/>
        <v>T</v>
      </c>
      <c r="BI7" s="74" t="str">
        <f t="shared" si="3"/>
        <v>F</v>
      </c>
      <c r="BJ7" s="74" t="str">
        <f t="shared" si="3"/>
        <v>S</v>
      </c>
      <c r="BK7" s="74" t="str">
        <f t="shared" si="3"/>
        <v>S</v>
      </c>
      <c r="BL7" s="74" t="str">
        <f t="shared" si="3"/>
        <v>M</v>
      </c>
      <c r="BM7" s="74" t="str">
        <f t="shared" si="3"/>
        <v>T</v>
      </c>
      <c r="BN7" s="74" t="str">
        <f t="shared" si="3"/>
        <v>W</v>
      </c>
      <c r="BO7" s="74" t="str">
        <f t="shared" si="3"/>
        <v>T</v>
      </c>
      <c r="BP7" s="74" t="str">
        <f t="shared" si="3"/>
        <v>F</v>
      </c>
      <c r="BQ7" s="74" t="str">
        <f t="shared" si="3"/>
        <v>S</v>
      </c>
      <c r="BR7" s="74" t="str">
        <f t="shared" si="3"/>
        <v>S</v>
      </c>
    </row>
    <row r="8" spans="1:70" ht="18.600000000000001" customHeight="1" thickBot="1">
      <c r="A8" s="28" t="s">
        <v>65</v>
      </c>
      <c r="C8" s="113"/>
      <c r="D8" s="113"/>
      <c r="E8" s="113"/>
      <c r="F8" s="113"/>
      <c r="G8" s="113"/>
      <c r="H8" s="113"/>
      <c r="K8" s="30"/>
      <c r="N8" s="30" t="str">
        <f>IF(OR(ISBLANK(task_start),ISBLANK(task_end)),"",task_end-task_start+1)</f>
        <v/>
      </c>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row>
    <row r="9" spans="1:70" s="40" customFormat="1" ht="30" customHeight="1" thickBot="1">
      <c r="A9" s="31" t="s">
        <v>66</v>
      </c>
      <c r="B9" s="283" t="s">
        <v>67</v>
      </c>
      <c r="C9" s="284" t="s">
        <v>181</v>
      </c>
      <c r="D9" s="285"/>
      <c r="E9" s="286"/>
      <c r="F9" s="285"/>
      <c r="G9" s="284">
        <f>SUM(G10:G16)</f>
        <v>101</v>
      </c>
      <c r="H9" s="284">
        <f>SUM(H10:H16)</f>
        <v>89</v>
      </c>
      <c r="I9" s="287">
        <f>(1-(H9/G9))</f>
        <v>0.11881188118811881</v>
      </c>
      <c r="J9" s="288"/>
      <c r="K9" s="296">
        <v>45839</v>
      </c>
      <c r="L9" s="325">
        <v>45901</v>
      </c>
      <c r="M9" s="39"/>
      <c r="N9" s="39">
        <f t="shared" ref="N9:N10" si="4">IF(OR(ISBLANK(task_start),ISBLANK(task_end)),"",task_end-task_start+1)</f>
        <v>63</v>
      </c>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row>
    <row r="10" spans="1:70" s="40" customFormat="1" ht="30" customHeight="1" thickBot="1">
      <c r="A10" s="28"/>
      <c r="B10" s="289" t="s">
        <v>170</v>
      </c>
      <c r="C10" s="290" t="s">
        <v>251</v>
      </c>
      <c r="D10" s="290">
        <v>2</v>
      </c>
      <c r="E10" s="291">
        <f>SUM('Emergency Generator Dist'!E4,'Emergency Generator Dist'!E13)</f>
        <v>0</v>
      </c>
      <c r="F10" s="290">
        <v>4</v>
      </c>
      <c r="G10" s="290">
        <f t="shared" ref="G10:G15" si="5">D10*F10</f>
        <v>8</v>
      </c>
      <c r="H10" s="290">
        <f t="shared" ref="H10:H15" si="6">(D10-E10)*F10</f>
        <v>8</v>
      </c>
      <c r="I10" s="292">
        <f t="shared" ref="I10:I15" si="7">(1-(H10/G10))</f>
        <v>0</v>
      </c>
      <c r="J10" s="293"/>
      <c r="K10" s="295">
        <v>45839</v>
      </c>
      <c r="L10" s="326">
        <v>45901</v>
      </c>
      <c r="M10" s="39"/>
      <c r="N10" s="39">
        <f t="shared" si="4"/>
        <v>63</v>
      </c>
      <c r="O10" s="38"/>
      <c r="P10" s="38"/>
      <c r="Q10" s="38"/>
      <c r="R10" s="38"/>
      <c r="S10" s="38"/>
      <c r="T10" s="38"/>
      <c r="U10" s="38"/>
      <c r="V10" s="38"/>
      <c r="W10" s="38"/>
      <c r="X10" s="38"/>
      <c r="Y10" s="38"/>
      <c r="Z10" s="38"/>
      <c r="AA10" s="41"/>
      <c r="AB10" s="41"/>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row>
    <row r="11" spans="1:70" s="40" customFormat="1" ht="30" customHeight="1" thickBot="1">
      <c r="A11" s="28"/>
      <c r="B11" s="289" t="s">
        <v>172</v>
      </c>
      <c r="C11" s="294" t="s">
        <v>173</v>
      </c>
      <c r="D11" s="294">
        <v>6</v>
      </c>
      <c r="E11" s="291">
        <f>SUM('Emergency Generator Dist'!E5,'Emergency Generator Dist'!E14)</f>
        <v>0</v>
      </c>
      <c r="F11" s="294">
        <v>3</v>
      </c>
      <c r="G11" s="290">
        <f t="shared" si="5"/>
        <v>18</v>
      </c>
      <c r="H11" s="290">
        <f t="shared" si="6"/>
        <v>18</v>
      </c>
      <c r="I11" s="292">
        <f t="shared" si="7"/>
        <v>0</v>
      </c>
      <c r="J11" s="293"/>
      <c r="K11" s="295">
        <v>45839</v>
      </c>
      <c r="L11" s="326">
        <v>45901</v>
      </c>
      <c r="M11" s="39"/>
      <c r="N11" s="39"/>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row>
    <row r="12" spans="1:70" s="40" customFormat="1" ht="30" customHeight="1" thickBot="1">
      <c r="A12" s="28"/>
      <c r="B12" s="289" t="s">
        <v>174</v>
      </c>
      <c r="C12" s="294" t="s">
        <v>175</v>
      </c>
      <c r="D12" s="294">
        <v>7</v>
      </c>
      <c r="E12" s="291">
        <f>SUM('Emergency Generator Dist'!E7,'Emergency Generator Dist'!E16,'Emergency Generator Dist'!E23)</f>
        <v>3</v>
      </c>
      <c r="F12" s="294">
        <v>4</v>
      </c>
      <c r="G12" s="290">
        <f t="shared" si="5"/>
        <v>28</v>
      </c>
      <c r="H12" s="290">
        <f t="shared" si="6"/>
        <v>16</v>
      </c>
      <c r="I12" s="292">
        <f t="shared" si="7"/>
        <v>0.4285714285714286</v>
      </c>
      <c r="J12" s="293"/>
      <c r="K12" s="295">
        <v>45839</v>
      </c>
      <c r="L12" s="326">
        <v>45901</v>
      </c>
      <c r="M12" s="39"/>
      <c r="N12" s="39"/>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row>
    <row r="13" spans="1:70" s="40" customFormat="1" ht="30" customHeight="1" thickBot="1">
      <c r="A13" s="28"/>
      <c r="B13" s="289" t="s">
        <v>176</v>
      </c>
      <c r="C13" s="294" t="s">
        <v>187</v>
      </c>
      <c r="D13" s="294">
        <v>3</v>
      </c>
      <c r="E13" s="291">
        <f>SUM('Emergency Generator Dist'!E8,'Emergency Generator Dist'!E17,'Emergency Generator Dist'!E22)</f>
        <v>0</v>
      </c>
      <c r="F13" s="294">
        <v>4</v>
      </c>
      <c r="G13" s="290">
        <f t="shared" si="5"/>
        <v>12</v>
      </c>
      <c r="H13" s="290">
        <f>(D13-E13)*F13</f>
        <v>12</v>
      </c>
      <c r="I13" s="292">
        <f t="shared" si="7"/>
        <v>0</v>
      </c>
      <c r="J13" s="293"/>
      <c r="K13" s="295">
        <v>45839</v>
      </c>
      <c r="L13" s="326">
        <v>45901</v>
      </c>
      <c r="M13" s="39"/>
      <c r="N13" s="39"/>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row>
    <row r="14" spans="1:70" s="40" customFormat="1" ht="30" customHeight="1" thickBot="1">
      <c r="A14" s="28"/>
      <c r="B14" s="289" t="s">
        <v>177</v>
      </c>
      <c r="C14" s="294" t="s">
        <v>179</v>
      </c>
      <c r="D14" s="294">
        <v>26</v>
      </c>
      <c r="E14" s="291">
        <f>SUM('Emergency Generator Dist'!E9,'Emergency Generator Dist'!E18,'Emergency Generator Dist'!E24)</f>
        <v>0</v>
      </c>
      <c r="F14" s="294">
        <v>1</v>
      </c>
      <c r="G14" s="290">
        <f t="shared" si="5"/>
        <v>26</v>
      </c>
      <c r="H14" s="290">
        <f>(D14-E14)*F14</f>
        <v>26</v>
      </c>
      <c r="I14" s="292">
        <f t="shared" si="7"/>
        <v>0</v>
      </c>
      <c r="J14" s="293"/>
      <c r="K14" s="295">
        <v>45839</v>
      </c>
      <c r="L14" s="326">
        <v>45901</v>
      </c>
      <c r="M14" s="39"/>
      <c r="N14" s="39"/>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row>
    <row r="15" spans="1:70" s="40" customFormat="1" ht="30" customHeight="1" thickBot="1">
      <c r="A15" s="28"/>
      <c r="B15" s="289" t="s">
        <v>178</v>
      </c>
      <c r="C15" s="294" t="s">
        <v>180</v>
      </c>
      <c r="D15" s="294">
        <v>8</v>
      </c>
      <c r="E15" s="291">
        <f>SUM('Emergency Generator Dist'!E10,'Emergency Generator Dist'!E19,'Emergency Generator Dist'!E25)</f>
        <v>0</v>
      </c>
      <c r="F15" s="294">
        <v>0.5</v>
      </c>
      <c r="G15" s="290">
        <f t="shared" si="5"/>
        <v>4</v>
      </c>
      <c r="H15" s="290">
        <f t="shared" si="6"/>
        <v>4</v>
      </c>
      <c r="I15" s="292">
        <f t="shared" si="7"/>
        <v>0</v>
      </c>
      <c r="J15" s="293"/>
      <c r="K15" s="295">
        <v>45839</v>
      </c>
      <c r="L15" s="326">
        <v>45901</v>
      </c>
      <c r="M15" s="39"/>
      <c r="N15" s="39"/>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row>
    <row r="16" spans="1:70" s="40" customFormat="1" ht="30" customHeight="1" thickBot="1">
      <c r="A16" s="28"/>
      <c r="B16" s="289" t="s">
        <v>190</v>
      </c>
      <c r="C16" s="294" t="s">
        <v>194</v>
      </c>
      <c r="D16" s="294">
        <v>4</v>
      </c>
      <c r="E16" s="291">
        <f>SUM('Emergency Generator Dist'!E11,'Emergency Generator Dist'!E20)</f>
        <v>0</v>
      </c>
      <c r="F16" s="294">
        <v>1.25</v>
      </c>
      <c r="G16" s="290">
        <f t="shared" ref="G16" si="8">D16*F16</f>
        <v>5</v>
      </c>
      <c r="H16" s="290">
        <f t="shared" ref="H16" si="9">(D16-E16)*F16</f>
        <v>5</v>
      </c>
      <c r="I16" s="292">
        <f t="shared" ref="I16" si="10">(1-(H16/G16))</f>
        <v>0</v>
      </c>
      <c r="J16" s="293"/>
      <c r="K16" s="295">
        <v>45839</v>
      </c>
      <c r="L16" s="326">
        <v>45901</v>
      </c>
      <c r="M16" s="39"/>
      <c r="N16" s="39"/>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row>
    <row r="17" spans="1:70" s="40" customFormat="1" ht="30" customHeight="1" thickBot="1">
      <c r="A17" s="31" t="s">
        <v>66</v>
      </c>
      <c r="B17" s="260" t="s">
        <v>69</v>
      </c>
      <c r="C17" s="261" t="s">
        <v>184</v>
      </c>
      <c r="D17" s="262"/>
      <c r="E17" s="263"/>
      <c r="F17" s="262"/>
      <c r="G17" s="261">
        <f>SUM(G18:G24)</f>
        <v>85</v>
      </c>
      <c r="H17" s="261">
        <f>SUM(H18:H24)</f>
        <v>85</v>
      </c>
      <c r="I17" s="264">
        <f>(1-(H17/G17))</f>
        <v>0</v>
      </c>
      <c r="J17" s="265"/>
      <c r="K17" s="297">
        <v>45839</v>
      </c>
      <c r="L17" s="327">
        <v>45901</v>
      </c>
      <c r="M17" s="39"/>
      <c r="N17" s="39">
        <f t="shared" ref="N17:N18" si="11">IF(OR(ISBLANK(task_start),ISBLANK(task_end)),"",task_end-task_start+1)</f>
        <v>63</v>
      </c>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row>
    <row r="18" spans="1:70" s="40" customFormat="1" ht="30" customHeight="1" thickBot="1">
      <c r="A18" s="28"/>
      <c r="B18" s="266" t="s">
        <v>170</v>
      </c>
      <c r="C18" s="267" t="s">
        <v>185</v>
      </c>
      <c r="D18" s="267">
        <v>2</v>
      </c>
      <c r="E18" s="268">
        <f>'Datacenter Distribution'!D4</f>
        <v>0</v>
      </c>
      <c r="F18" s="267">
        <v>4</v>
      </c>
      <c r="G18" s="267">
        <f t="shared" ref="G18:G23" si="12">D18*F18</f>
        <v>8</v>
      </c>
      <c r="H18" s="267">
        <f t="shared" ref="H18:H23" si="13">(D18-E18)*F18</f>
        <v>8</v>
      </c>
      <c r="I18" s="269">
        <f t="shared" ref="I18:I23" si="14">(1-(H18/G18))</f>
        <v>0</v>
      </c>
      <c r="J18" s="270"/>
      <c r="K18" s="298">
        <v>45839</v>
      </c>
      <c r="L18" s="328">
        <v>45901</v>
      </c>
      <c r="M18" s="39"/>
      <c r="N18" s="39">
        <f t="shared" si="11"/>
        <v>63</v>
      </c>
      <c r="O18" s="38"/>
      <c r="P18" s="38"/>
      <c r="Q18" s="38"/>
      <c r="R18" s="38"/>
      <c r="S18" s="38"/>
      <c r="T18" s="38"/>
      <c r="U18" s="38"/>
      <c r="V18" s="38"/>
      <c r="W18" s="38"/>
      <c r="X18" s="38"/>
      <c r="Y18" s="38"/>
      <c r="Z18" s="38"/>
      <c r="AA18" s="41"/>
      <c r="AB18" s="41"/>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row>
    <row r="19" spans="1:70" s="40" customFormat="1" ht="30" customHeight="1" thickBot="1">
      <c r="A19" s="28"/>
      <c r="B19" s="266" t="s">
        <v>172</v>
      </c>
      <c r="C19" s="271" t="s">
        <v>186</v>
      </c>
      <c r="D19" s="271">
        <v>4</v>
      </c>
      <c r="E19" s="268">
        <f>SUM('Datacenter Distribution'!D5,'Datacenter Distribution'!D11)</f>
        <v>0</v>
      </c>
      <c r="F19" s="271">
        <v>4</v>
      </c>
      <c r="G19" s="267">
        <f t="shared" si="12"/>
        <v>16</v>
      </c>
      <c r="H19" s="267">
        <f t="shared" si="13"/>
        <v>16</v>
      </c>
      <c r="I19" s="269">
        <f t="shared" si="14"/>
        <v>0</v>
      </c>
      <c r="J19" s="270"/>
      <c r="K19" s="298">
        <v>45839</v>
      </c>
      <c r="L19" s="328">
        <v>45901</v>
      </c>
      <c r="M19" s="39"/>
      <c r="N19" s="39"/>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row>
    <row r="20" spans="1:70" s="40" customFormat="1" ht="30" customHeight="1" thickBot="1">
      <c r="A20" s="28"/>
      <c r="B20" s="266" t="s">
        <v>174</v>
      </c>
      <c r="C20" s="271" t="s">
        <v>173</v>
      </c>
      <c r="D20" s="271">
        <v>10</v>
      </c>
      <c r="E20" s="268">
        <f>SUM('Datacenter Distribution'!D6,'Datacenter Distribution'!D12)</f>
        <v>0</v>
      </c>
      <c r="F20" s="271">
        <v>3</v>
      </c>
      <c r="G20" s="267">
        <f t="shared" si="12"/>
        <v>30</v>
      </c>
      <c r="H20" s="267">
        <f t="shared" si="13"/>
        <v>30</v>
      </c>
      <c r="I20" s="269">
        <f t="shared" si="14"/>
        <v>0</v>
      </c>
      <c r="J20" s="270"/>
      <c r="K20" s="298">
        <v>45839</v>
      </c>
      <c r="L20" s="328">
        <v>45901</v>
      </c>
      <c r="M20" s="39"/>
      <c r="N20" s="39"/>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row>
    <row r="21" spans="1:70" s="40" customFormat="1" ht="30" customHeight="1" thickBot="1">
      <c r="A21" s="28"/>
      <c r="B21" s="266" t="s">
        <v>176</v>
      </c>
      <c r="C21" s="271" t="s">
        <v>187</v>
      </c>
      <c r="D21" s="271">
        <v>2</v>
      </c>
      <c r="E21" s="268">
        <f>'Datacenter Distribution'!D7</f>
        <v>0</v>
      </c>
      <c r="F21" s="271">
        <v>4</v>
      </c>
      <c r="G21" s="267">
        <f t="shared" si="12"/>
        <v>8</v>
      </c>
      <c r="H21" s="267">
        <f t="shared" si="13"/>
        <v>8</v>
      </c>
      <c r="I21" s="269">
        <f t="shared" si="14"/>
        <v>0</v>
      </c>
      <c r="J21" s="270"/>
      <c r="K21" s="298">
        <v>45839</v>
      </c>
      <c r="L21" s="328">
        <v>45901</v>
      </c>
      <c r="M21" s="39"/>
      <c r="N21" s="39"/>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row>
    <row r="22" spans="1:70" s="40" customFormat="1" ht="30" customHeight="1" thickBot="1">
      <c r="A22" s="28"/>
      <c r="B22" s="266" t="s">
        <v>177</v>
      </c>
      <c r="C22" s="271" t="s">
        <v>179</v>
      </c>
      <c r="D22" s="271">
        <v>1</v>
      </c>
      <c r="E22" s="268">
        <f>'Datacenter Distribution'!D8</f>
        <v>0</v>
      </c>
      <c r="F22" s="271">
        <v>1</v>
      </c>
      <c r="G22" s="267">
        <f t="shared" si="12"/>
        <v>1</v>
      </c>
      <c r="H22" s="267">
        <f t="shared" si="13"/>
        <v>1</v>
      </c>
      <c r="I22" s="269">
        <f t="shared" si="14"/>
        <v>0</v>
      </c>
      <c r="J22" s="270"/>
      <c r="K22" s="298">
        <v>45839</v>
      </c>
      <c r="L22" s="328">
        <v>45901</v>
      </c>
      <c r="M22" s="39"/>
      <c r="N22" s="39"/>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row>
    <row r="23" spans="1:70" s="40" customFormat="1" ht="30" customHeight="1" thickBot="1">
      <c r="A23" s="28"/>
      <c r="B23" s="266" t="s">
        <v>178</v>
      </c>
      <c r="C23" s="271" t="s">
        <v>199</v>
      </c>
      <c r="D23" s="271">
        <v>2</v>
      </c>
      <c r="E23" s="268">
        <f>'Datacenter Distribution'!D10</f>
        <v>0</v>
      </c>
      <c r="F23" s="271">
        <v>4</v>
      </c>
      <c r="G23" s="267">
        <f t="shared" si="12"/>
        <v>8</v>
      </c>
      <c r="H23" s="267">
        <f t="shared" si="13"/>
        <v>8</v>
      </c>
      <c r="I23" s="269">
        <f t="shared" si="14"/>
        <v>0</v>
      </c>
      <c r="J23" s="270"/>
      <c r="K23" s="298">
        <v>45839</v>
      </c>
      <c r="L23" s="328">
        <v>45901</v>
      </c>
      <c r="M23" s="39"/>
      <c r="N23" s="39"/>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row>
    <row r="24" spans="1:70" s="40" customFormat="1" ht="30" customHeight="1" thickBot="1">
      <c r="A24" s="28"/>
      <c r="B24" s="266" t="s">
        <v>190</v>
      </c>
      <c r="C24" s="271" t="s">
        <v>180</v>
      </c>
      <c r="D24" s="271">
        <v>28</v>
      </c>
      <c r="E24" s="268">
        <f>'Datacenter Distribution'!D13</f>
        <v>0</v>
      </c>
      <c r="F24" s="271">
        <v>0.5</v>
      </c>
      <c r="G24" s="267">
        <f t="shared" ref="G24" si="15">D24*F24</f>
        <v>14</v>
      </c>
      <c r="H24" s="267">
        <f t="shared" ref="H24" si="16">(D24-E24)*F24</f>
        <v>14</v>
      </c>
      <c r="I24" s="269">
        <f t="shared" ref="I24" si="17">(1-(H24/G24))</f>
        <v>0</v>
      </c>
      <c r="J24" s="270"/>
      <c r="K24" s="298">
        <v>45839</v>
      </c>
      <c r="L24" s="328">
        <v>45901</v>
      </c>
      <c r="M24" s="39"/>
      <c r="N24" s="39"/>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row>
    <row r="25" spans="1:70" s="40" customFormat="1" ht="30" customHeight="1" thickBot="1">
      <c r="A25" s="31" t="s">
        <v>66</v>
      </c>
      <c r="B25" s="114" t="s">
        <v>70</v>
      </c>
      <c r="C25" s="115" t="s">
        <v>189</v>
      </c>
      <c r="D25" s="116"/>
      <c r="E25" s="153"/>
      <c r="F25" s="116"/>
      <c r="G25" s="115">
        <f>SUM(G26:G32)</f>
        <v>292</v>
      </c>
      <c r="H25" s="115">
        <f>SUM(H26:H32)</f>
        <v>154</v>
      </c>
      <c r="I25" s="99">
        <f>(1-(H25/G25))</f>
        <v>0.4726027397260274</v>
      </c>
      <c r="J25" s="129"/>
      <c r="K25" s="105">
        <v>45839</v>
      </c>
      <c r="L25" s="329">
        <v>45901</v>
      </c>
      <c r="M25" s="39"/>
      <c r="N25" s="39">
        <f t="shared" ref="N25" si="18">IF(OR(ISBLANK(task_start),ISBLANK(task_end)),"",task_end-task_start+1)</f>
        <v>63</v>
      </c>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row>
    <row r="26" spans="1:70" s="40" customFormat="1" ht="30" customHeight="1" thickBot="1">
      <c r="A26" s="28"/>
      <c r="B26" s="117" t="s">
        <v>170</v>
      </c>
      <c r="C26" s="118" t="s">
        <v>191</v>
      </c>
      <c r="D26" s="118">
        <f>SUM('A1 Electrical Room'!B3,'A1 Electrical Room'!B10,'A1 Electrical Room'!B15,'A1 Electrical Room'!B18,'A1 Electrical Room'!B23,'A1 Electrical Room'!B29,'A1 Electrical Room'!B35)</f>
        <v>46</v>
      </c>
      <c r="E26" s="154">
        <f>SUM('A1 Electrical Room'!E3,'A1 Electrical Room'!E10,'A1 Electrical Room'!E15,'A1 Electrical Room'!E18,'A1 Electrical Room'!E23,'A1 Electrical Room'!E29,'A1 Electrical Room'!E35)</f>
        <v>46</v>
      </c>
      <c r="F26" s="118">
        <v>3</v>
      </c>
      <c r="G26" s="118">
        <f t="shared" ref="G26:G32" si="19">D26*F26</f>
        <v>138</v>
      </c>
      <c r="H26" s="118">
        <f t="shared" ref="H26:H32" si="20">(D26-E26)*F26</f>
        <v>0</v>
      </c>
      <c r="I26" s="100">
        <f t="shared" ref="I26:I32" si="21">(1-(H26/G26))</f>
        <v>1</v>
      </c>
      <c r="J26" s="110"/>
      <c r="K26" s="106">
        <v>45839</v>
      </c>
      <c r="L26" s="330">
        <v>45901</v>
      </c>
      <c r="M26" s="39"/>
      <c r="N26" s="39">
        <f t="shared" ref="N26:N33" si="22">IF(OR(ISBLANK(task_start),ISBLANK(task_end)),"",task_end-task_start+1)</f>
        <v>63</v>
      </c>
      <c r="O26" s="38"/>
      <c r="P26" s="38"/>
      <c r="Q26" s="38"/>
      <c r="R26" s="38"/>
      <c r="S26" s="38"/>
      <c r="T26" s="38"/>
      <c r="U26" s="38"/>
      <c r="V26" s="38"/>
      <c r="W26" s="38"/>
      <c r="X26" s="38"/>
      <c r="Y26" s="38"/>
      <c r="Z26" s="38"/>
      <c r="AA26" s="41"/>
      <c r="AB26" s="41"/>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row>
    <row r="27" spans="1:70" s="40" customFormat="1" ht="30" customHeight="1" thickBot="1">
      <c r="A27" s="28"/>
      <c r="B27" s="117" t="s">
        <v>172</v>
      </c>
      <c r="C27" s="119" t="s">
        <v>192</v>
      </c>
      <c r="D27" s="119">
        <f>SUM('A1 Electrical Room'!B4,'A1 Electrical Room'!B11,'A1 Electrical Room'!B30,'A1 Electrical Room'!B36)</f>
        <v>11</v>
      </c>
      <c r="E27" s="154">
        <f>SUM('A1 Electrical Room'!E4,'A1 Electrical Room'!E11,'A1 Electrical Room'!E30,'A1 Electrical Room'!E36)</f>
        <v>0</v>
      </c>
      <c r="F27" s="119">
        <v>4</v>
      </c>
      <c r="G27" s="118">
        <f t="shared" si="19"/>
        <v>44</v>
      </c>
      <c r="H27" s="118">
        <f t="shared" si="20"/>
        <v>44</v>
      </c>
      <c r="I27" s="100">
        <f t="shared" si="21"/>
        <v>0</v>
      </c>
      <c r="J27" s="110"/>
      <c r="K27" s="106">
        <v>45839</v>
      </c>
      <c r="L27" s="330">
        <v>45901</v>
      </c>
      <c r="M27" s="39"/>
      <c r="N27" s="39"/>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row>
    <row r="28" spans="1:70" s="40" customFormat="1" ht="30" customHeight="1" thickBot="1">
      <c r="A28" s="28"/>
      <c r="B28" s="117" t="s">
        <v>174</v>
      </c>
      <c r="C28" s="119" t="s">
        <v>193</v>
      </c>
      <c r="D28" s="119">
        <f>SUM('A1 Electrical Room'!B5,'A1 Electrical Room'!B12,'A1 Electrical Room'!B19,'A1 Electrical Room'!B24,'A1 Electrical Room'!B31,'A1 Electrical Room'!B37)</f>
        <v>49</v>
      </c>
      <c r="E28" s="154">
        <f>SUM('A1 Electrical Room'!E5,'A1 Electrical Room'!E12,'A1 Electrical Room'!E19,'A1 Electrical Room'!E24,'A1 Electrical Room'!E31,'A1 Electrical Room'!E37)</f>
        <v>0</v>
      </c>
      <c r="F28" s="119">
        <v>1</v>
      </c>
      <c r="G28" s="118">
        <f t="shared" si="19"/>
        <v>49</v>
      </c>
      <c r="H28" s="118">
        <f t="shared" si="20"/>
        <v>49</v>
      </c>
      <c r="I28" s="100">
        <f t="shared" si="21"/>
        <v>0</v>
      </c>
      <c r="J28" s="110"/>
      <c r="K28" s="106">
        <v>45839</v>
      </c>
      <c r="L28" s="330">
        <v>45901</v>
      </c>
      <c r="M28" s="39"/>
      <c r="N28" s="39"/>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row>
    <row r="29" spans="1:70" s="40" customFormat="1" ht="30" customHeight="1" thickBot="1">
      <c r="A29" s="28"/>
      <c r="B29" s="117" t="s">
        <v>176</v>
      </c>
      <c r="C29" s="119" t="s">
        <v>180</v>
      </c>
      <c r="D29" s="119">
        <f>SUM('A1 Electrical Room'!B6,'A1 Electrical Room'!B13,'A1 Electrical Room'!B25,'A1 Electrical Room'!B32,'A1 Electrical Room'!B38)</f>
        <v>38</v>
      </c>
      <c r="E29" s="154">
        <f>SUM('A1 Electrical Room'!E6,'A1 Electrical Room'!E13,'A1 Electrical Room'!E25,'A1 Electrical Room'!E32,'A1 Electrical Room'!E38)</f>
        <v>0</v>
      </c>
      <c r="F29" s="119">
        <v>0.5</v>
      </c>
      <c r="G29" s="118">
        <f t="shared" si="19"/>
        <v>19</v>
      </c>
      <c r="H29" s="118">
        <f t="shared" si="20"/>
        <v>19</v>
      </c>
      <c r="I29" s="100">
        <f t="shared" si="21"/>
        <v>0</v>
      </c>
      <c r="J29" s="110"/>
      <c r="K29" s="106">
        <v>45839</v>
      </c>
      <c r="L29" s="330">
        <v>45901</v>
      </c>
      <c r="M29" s="39"/>
      <c r="N29" s="39"/>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row>
    <row r="30" spans="1:70" s="40" customFormat="1" ht="30" customHeight="1" thickBot="1">
      <c r="A30" s="28"/>
      <c r="B30" s="117" t="s">
        <v>177</v>
      </c>
      <c r="C30" s="119" t="s">
        <v>194</v>
      </c>
      <c r="D30" s="119">
        <f>SUM('A1 Electrical Room'!B33,'A1 Electrical Room'!B39)</f>
        <v>6</v>
      </c>
      <c r="E30" s="154">
        <f>SUM('A1 Electrical Room'!E39,'A1 Electrical Room'!E33)</f>
        <v>0</v>
      </c>
      <c r="F30" s="119">
        <v>1.25</v>
      </c>
      <c r="G30" s="118">
        <f t="shared" si="19"/>
        <v>7.5</v>
      </c>
      <c r="H30" s="118">
        <f t="shared" si="20"/>
        <v>7.5</v>
      </c>
      <c r="I30" s="100">
        <f t="shared" si="21"/>
        <v>0</v>
      </c>
      <c r="J30" s="110"/>
      <c r="K30" s="106">
        <v>45839</v>
      </c>
      <c r="L30" s="330">
        <v>45901</v>
      </c>
      <c r="M30" s="39"/>
      <c r="N30" s="39"/>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row>
    <row r="31" spans="1:70" s="40" customFormat="1" ht="30" customHeight="1" thickBot="1">
      <c r="A31" s="28"/>
      <c r="B31" s="117" t="s">
        <v>178</v>
      </c>
      <c r="C31" s="119" t="s">
        <v>195</v>
      </c>
      <c r="D31" s="119">
        <f>SUM('A1 Electrical Room'!B7,'A1 Electrical Room'!B16,'A1 Electrical Room'!B20,'A1 Electrical Room'!B26)</f>
        <v>4</v>
      </c>
      <c r="E31" s="154">
        <f>SUM('A1 Electrical Room'!E7,'A1 Electrical Room'!E16,'A1 Electrical Room'!E20,'A1 Electrical Room'!E26)</f>
        <v>0</v>
      </c>
      <c r="F31" s="119">
        <v>4</v>
      </c>
      <c r="G31" s="118">
        <f t="shared" si="19"/>
        <v>16</v>
      </c>
      <c r="H31" s="118">
        <f t="shared" si="20"/>
        <v>16</v>
      </c>
      <c r="I31" s="100">
        <f t="shared" si="21"/>
        <v>0</v>
      </c>
      <c r="J31" s="110"/>
      <c r="K31" s="106">
        <v>45839</v>
      </c>
      <c r="L31" s="330">
        <v>45901</v>
      </c>
      <c r="M31" s="39"/>
      <c r="N31" s="39"/>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row>
    <row r="32" spans="1:70" s="40" customFormat="1" ht="30" customHeight="1" thickBot="1">
      <c r="A32" s="28"/>
      <c r="B32" s="117" t="s">
        <v>190</v>
      </c>
      <c r="C32" s="119" t="s">
        <v>196</v>
      </c>
      <c r="D32" s="119">
        <f>SUM('A1 Electrical Room'!B8,'A1 Electrical Room'!B21,'A1 Electrical Room'!B27)</f>
        <v>37</v>
      </c>
      <c r="E32" s="154">
        <f>SUM('A1 Electrical Room'!E8,'A1 Electrical Room'!E21,'A1 Electrical Room'!E27)</f>
        <v>0</v>
      </c>
      <c r="F32" s="119">
        <v>0.5</v>
      </c>
      <c r="G32" s="118">
        <f t="shared" si="19"/>
        <v>18.5</v>
      </c>
      <c r="H32" s="118">
        <f t="shared" si="20"/>
        <v>18.5</v>
      </c>
      <c r="I32" s="100">
        <f t="shared" si="21"/>
        <v>0</v>
      </c>
      <c r="J32" s="110"/>
      <c r="K32" s="106">
        <v>45839</v>
      </c>
      <c r="L32" s="330">
        <v>45901</v>
      </c>
      <c r="M32" s="39"/>
      <c r="N32" s="39"/>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row>
    <row r="33" spans="1:70" s="40" customFormat="1" ht="30" customHeight="1" thickBot="1">
      <c r="A33" s="28" t="s">
        <v>68</v>
      </c>
      <c r="B33" s="120" t="s">
        <v>234</v>
      </c>
      <c r="C33" s="121" t="s">
        <v>197</v>
      </c>
      <c r="D33" s="122"/>
      <c r="E33" s="155"/>
      <c r="F33" s="122"/>
      <c r="G33" s="121">
        <f>SUM(G34:G40)</f>
        <v>221.75</v>
      </c>
      <c r="H33" s="123">
        <f>SUM(H34:H40)</f>
        <v>120.25</v>
      </c>
      <c r="I33" s="101">
        <f>(1-(H33/G33))</f>
        <v>0.45772266065388956</v>
      </c>
      <c r="J33" s="130"/>
      <c r="K33" s="107">
        <v>45839</v>
      </c>
      <c r="L33" s="331">
        <v>45901</v>
      </c>
      <c r="M33" s="39"/>
      <c r="N33" s="39">
        <f t="shared" si="22"/>
        <v>63</v>
      </c>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row>
    <row r="34" spans="1:70" s="40" customFormat="1" ht="30" customHeight="1" thickBot="1">
      <c r="A34" s="28"/>
      <c r="B34" s="124" t="s">
        <v>170</v>
      </c>
      <c r="C34" s="126" t="s">
        <v>191</v>
      </c>
      <c r="D34" s="126">
        <f>SUM('A2 Electrical Room'!B3,'A2 Electrical Room'!B9,'A2 Electrical Room'!B14,'A2 Electrical Room'!B19)</f>
        <v>33</v>
      </c>
      <c r="E34" s="156">
        <f>SUM('A2 Electrical Room'!E3,'A2 Electrical Room'!E9,'A2 Electrical Room'!E14,'A2 Electrical Room'!E19)</f>
        <v>33</v>
      </c>
      <c r="F34" s="126">
        <v>3</v>
      </c>
      <c r="G34" s="125">
        <f t="shared" ref="G34:G35" si="23">D34*F34</f>
        <v>99</v>
      </c>
      <c r="H34" s="125">
        <f t="shared" ref="H34:H35" si="24">(D34-E34)*F34</f>
        <v>0</v>
      </c>
      <c r="I34" s="102">
        <f t="shared" ref="I34:I35" si="25">(1-(H34/G34))</f>
        <v>1</v>
      </c>
      <c r="J34" s="111"/>
      <c r="K34" s="108">
        <v>45839</v>
      </c>
      <c r="L34" s="108">
        <v>45901</v>
      </c>
      <c r="M34" s="39"/>
      <c r="N34" s="39">
        <f t="shared" ref="N34:N39" si="26">IF(OR(ISBLANK(task_start),ISBLANK(task_end)),"",task_end-task_start+1)</f>
        <v>63</v>
      </c>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row>
    <row r="35" spans="1:70" s="40" customFormat="1" ht="30" customHeight="1" thickBot="1">
      <c r="A35" s="28"/>
      <c r="B35" s="124" t="s">
        <v>172</v>
      </c>
      <c r="C35" s="126" t="s">
        <v>192</v>
      </c>
      <c r="D35" s="126">
        <f>SUM('A2 Electrical Room'!B4,'A2 Electrical Room'!B15,'A2 Electrical Room'!B20)</f>
        <v>12</v>
      </c>
      <c r="E35" s="156">
        <f>SUM('A2 Electrical Room'!E4,'A2 Electrical Room'!E15,'A2 Electrical Room'!E20)</f>
        <v>0</v>
      </c>
      <c r="F35" s="126">
        <v>4</v>
      </c>
      <c r="G35" s="125">
        <f t="shared" si="23"/>
        <v>48</v>
      </c>
      <c r="H35" s="125">
        <f t="shared" si="24"/>
        <v>48</v>
      </c>
      <c r="I35" s="102">
        <f t="shared" si="25"/>
        <v>0</v>
      </c>
      <c r="J35" s="111"/>
      <c r="K35" s="108">
        <v>45839</v>
      </c>
      <c r="L35" s="108">
        <v>45901</v>
      </c>
      <c r="M35" s="39"/>
      <c r="N35" s="39"/>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row>
    <row r="36" spans="1:70" s="40" customFormat="1" ht="30" customHeight="1" thickBot="1">
      <c r="A36" s="28"/>
      <c r="B36" s="124" t="s">
        <v>174</v>
      </c>
      <c r="C36" s="125" t="s">
        <v>193</v>
      </c>
      <c r="D36" s="125">
        <f>SUM('A2 Electrical Room'!B5,'A2 Electrical Room'!B10,'A2 Electrical Room'!B16,'A2 Electrical Room'!B21)</f>
        <v>43</v>
      </c>
      <c r="E36" s="156">
        <f>SUM('A2 Electrical Room'!E5,'A2 Electrical Room'!E10,'A2 Electrical Room'!E16,'A2 Electrical Room'!E21)</f>
        <v>0</v>
      </c>
      <c r="F36" s="125">
        <v>1</v>
      </c>
      <c r="G36" s="125">
        <f>D36*F36</f>
        <v>43</v>
      </c>
      <c r="H36" s="125">
        <f>(D36-E36)*F36</f>
        <v>43</v>
      </c>
      <c r="I36" s="102">
        <f>(1-(H36/G36))</f>
        <v>0</v>
      </c>
      <c r="J36" s="111"/>
      <c r="K36" s="108">
        <v>45839</v>
      </c>
      <c r="L36" s="108">
        <v>45901</v>
      </c>
      <c r="M36" s="39"/>
      <c r="N36" s="39">
        <f t="shared" si="26"/>
        <v>63</v>
      </c>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row>
    <row r="37" spans="1:70" s="40" customFormat="1" ht="30" customHeight="1" thickBot="1">
      <c r="A37" s="28"/>
      <c r="B37" s="124" t="s">
        <v>176</v>
      </c>
      <c r="C37" s="126" t="s">
        <v>180</v>
      </c>
      <c r="D37" s="126">
        <f>SUM('A2 Electrical Room'!B6,'A2 Electrical Room'!B17,'A2 Electrical Room'!B22)</f>
        <v>29</v>
      </c>
      <c r="E37" s="156">
        <f>SUM('A2 Electrical Room'!E6,'A2 Electrical Room'!E17,'A2 Electrical Room'!E22)</f>
        <v>0</v>
      </c>
      <c r="F37" s="126">
        <v>0.5</v>
      </c>
      <c r="G37" s="125">
        <f t="shared" ref="G37:G40" si="27">D37*F37</f>
        <v>14.5</v>
      </c>
      <c r="H37" s="125">
        <f t="shared" ref="H37:H40" si="28">(D37-E37)*F37</f>
        <v>14.5</v>
      </c>
      <c r="I37" s="102">
        <f t="shared" ref="I37:I40" si="29">(1-(H37/G37))</f>
        <v>0</v>
      </c>
      <c r="J37" s="111"/>
      <c r="K37" s="108">
        <v>45839</v>
      </c>
      <c r="L37" s="108">
        <v>45901</v>
      </c>
      <c r="M37" s="39"/>
      <c r="N37" s="39">
        <f t="shared" si="26"/>
        <v>63</v>
      </c>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row>
    <row r="38" spans="1:70" s="40" customFormat="1" ht="30" customHeight="1" thickBot="1">
      <c r="A38" s="28"/>
      <c r="B38" s="124" t="s">
        <v>177</v>
      </c>
      <c r="C38" s="126" t="s">
        <v>194</v>
      </c>
      <c r="D38" s="126">
        <f>SUM('A2 Electrical Room'!B7)</f>
        <v>3</v>
      </c>
      <c r="E38" s="156">
        <f>SUM('A2 Electrical Room'!E7)</f>
        <v>2</v>
      </c>
      <c r="F38" s="126">
        <v>1.25</v>
      </c>
      <c r="G38" s="125">
        <f t="shared" si="27"/>
        <v>3.75</v>
      </c>
      <c r="H38" s="125">
        <f t="shared" si="28"/>
        <v>1.25</v>
      </c>
      <c r="I38" s="102">
        <f t="shared" si="29"/>
        <v>0.66666666666666674</v>
      </c>
      <c r="J38" s="111"/>
      <c r="K38" s="108">
        <v>45839</v>
      </c>
      <c r="L38" s="108">
        <v>45901</v>
      </c>
      <c r="M38" s="39"/>
      <c r="N38" s="39"/>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row>
    <row r="39" spans="1:70" s="40" customFormat="1" ht="30" customHeight="1" thickBot="1">
      <c r="A39" s="28"/>
      <c r="B39" s="124" t="s">
        <v>178</v>
      </c>
      <c r="C39" s="126" t="s">
        <v>195</v>
      </c>
      <c r="D39" s="126">
        <f>SUM('A2 Electrical Room'!B11,'A2 Electrical Room'!B23)</f>
        <v>3</v>
      </c>
      <c r="E39" s="156">
        <f>SUM('A2 Electrical Room'!E11,'A2 Electrical Room'!E23)</f>
        <v>0</v>
      </c>
      <c r="F39" s="126">
        <v>4</v>
      </c>
      <c r="G39" s="125">
        <f t="shared" si="27"/>
        <v>12</v>
      </c>
      <c r="H39" s="125">
        <f t="shared" si="28"/>
        <v>12</v>
      </c>
      <c r="I39" s="102">
        <f t="shared" si="29"/>
        <v>0</v>
      </c>
      <c r="J39" s="111"/>
      <c r="K39" s="108">
        <v>45839</v>
      </c>
      <c r="L39" s="108">
        <v>45901</v>
      </c>
      <c r="M39" s="39"/>
      <c r="N39" s="39">
        <f t="shared" si="26"/>
        <v>63</v>
      </c>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row>
    <row r="40" spans="1:70" s="40" customFormat="1" ht="30" customHeight="1" thickBot="1">
      <c r="A40" s="28"/>
      <c r="B40" s="124" t="s">
        <v>190</v>
      </c>
      <c r="C40" s="126" t="s">
        <v>196</v>
      </c>
      <c r="D40" s="126">
        <f>SUM('A2 Electrical Room'!B12)</f>
        <v>3</v>
      </c>
      <c r="E40" s="156">
        <f>SUM('A2 Electrical Room'!E12)</f>
        <v>0</v>
      </c>
      <c r="F40" s="126">
        <v>0.5</v>
      </c>
      <c r="G40" s="125">
        <f t="shared" si="27"/>
        <v>1.5</v>
      </c>
      <c r="H40" s="125">
        <f t="shared" si="28"/>
        <v>1.5</v>
      </c>
      <c r="I40" s="102">
        <f t="shared" si="29"/>
        <v>0</v>
      </c>
      <c r="J40" s="111"/>
      <c r="K40" s="108">
        <v>45839</v>
      </c>
      <c r="L40" s="108">
        <v>45901</v>
      </c>
      <c r="M40" s="39"/>
      <c r="N40" s="39"/>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row>
    <row r="41" spans="1:70" s="40" customFormat="1" ht="30" customHeight="1" thickBot="1">
      <c r="A41" s="28"/>
      <c r="B41" s="140" t="s">
        <v>233</v>
      </c>
      <c r="C41" s="141" t="s">
        <v>262</v>
      </c>
      <c r="D41" s="142"/>
      <c r="E41" s="157"/>
      <c r="F41" s="142"/>
      <c r="G41" s="141">
        <f>SUM(G42:G50)</f>
        <v>709.7</v>
      </c>
      <c r="H41" s="143">
        <f>SUM(H42:H50)</f>
        <v>338.34999999999997</v>
      </c>
      <c r="I41" s="144">
        <f>(1-(H41/G41))</f>
        <v>0.52324926025081031</v>
      </c>
      <c r="J41" s="145"/>
      <c r="K41" s="146">
        <v>45839</v>
      </c>
      <c r="L41" s="146">
        <v>45901</v>
      </c>
      <c r="M41" s="39"/>
      <c r="N41" s="39"/>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row>
    <row r="42" spans="1:70" s="40" customFormat="1" ht="30" customHeight="1" thickBot="1">
      <c r="A42" s="28"/>
      <c r="B42" s="147" t="s">
        <v>170</v>
      </c>
      <c r="C42" s="152" t="s">
        <v>191</v>
      </c>
      <c r="D42" s="152">
        <f>SUM('E Electrical Room'!B3,'E Electrical Room'!B9,'E Electrical Room'!B13,'E Electrical Room'!B17,'E Electrical Room'!B21,'E Electrical Room'!B28,'E Electrical Room'!B34,'E Electrical Room'!B40,'E Electrical Room'!B45,'E Electrical Room'!B51,'E Electrical Room'!B55,'E Electrical Room'!B60,'E Electrical Room'!B65,'E Electrical Room'!B72)</f>
        <v>85</v>
      </c>
      <c r="E42" s="158">
        <f>SUM('E Electrical Room'!E3,'E Electrical Room'!E9,'E Electrical Room'!E13,'E Electrical Room'!E17,'E Electrical Room'!E21,'E Electrical Room'!E28,'E Electrical Room'!E34,'E Electrical Room'!E40,'E Electrical Room'!E45,'E Electrical Room'!E51,'E Electrical Room'!E55,'E Electrical Room'!E60,'E Electrical Room'!E65,'E Electrical Room'!E72)</f>
        <v>85</v>
      </c>
      <c r="F42" s="152">
        <v>3</v>
      </c>
      <c r="G42" s="148">
        <f t="shared" ref="G42:G43" si="30">D42*F42</f>
        <v>255</v>
      </c>
      <c r="H42" s="148">
        <f t="shared" ref="H42:H43" si="31">(D42-E42)*F42</f>
        <v>0</v>
      </c>
      <c r="I42" s="149">
        <f t="shared" ref="I42:I43" si="32">(1-(H42/G42))</f>
        <v>1</v>
      </c>
      <c r="J42" s="150"/>
      <c r="K42" s="151">
        <v>45839</v>
      </c>
      <c r="L42" s="151">
        <v>45901</v>
      </c>
      <c r="M42" s="39"/>
      <c r="N42" s="39"/>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row>
    <row r="43" spans="1:70" s="40" customFormat="1" ht="30" customHeight="1" thickBot="1">
      <c r="A43" s="28"/>
      <c r="B43" s="147" t="s">
        <v>172</v>
      </c>
      <c r="C43" s="152" t="s">
        <v>192</v>
      </c>
      <c r="D43" s="152">
        <f>SUM('E Electrical Room'!B22,'E Electrical Room'!B29,'E Electrical Room'!B35,'E Electrical Room'!B41,'E Electrical Room'!B46,'E Electrical Room'!B66,'E Electrical Room'!B73)</f>
        <v>29</v>
      </c>
      <c r="E43" s="158">
        <f>SUM('E Electrical Room'!E22,'E Electrical Room'!E29,'E Electrical Room'!E35,'E Electrical Room'!E41,'E Electrical Room'!E46,'E Electrical Room'!E66,'E Electrical Room'!E73)</f>
        <v>19</v>
      </c>
      <c r="F43" s="152">
        <v>4</v>
      </c>
      <c r="G43" s="148">
        <f t="shared" si="30"/>
        <v>116</v>
      </c>
      <c r="H43" s="148">
        <f t="shared" si="31"/>
        <v>40</v>
      </c>
      <c r="I43" s="149">
        <f t="shared" si="32"/>
        <v>0.65517241379310343</v>
      </c>
      <c r="J43" s="150"/>
      <c r="K43" s="151">
        <v>45839</v>
      </c>
      <c r="L43" s="151">
        <v>45901</v>
      </c>
      <c r="M43" s="39"/>
      <c r="N43" s="39"/>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row>
    <row r="44" spans="1:70" s="40" customFormat="1" ht="30" customHeight="1" thickBot="1">
      <c r="A44" s="28"/>
      <c r="B44" s="147" t="s">
        <v>174</v>
      </c>
      <c r="C44" s="148" t="s">
        <v>193</v>
      </c>
      <c r="D44" s="148">
        <f>SUM('E Electrical Room'!B4,'E Electrical Room'!B23,'E Electrical Room'!B30,'E Electrical Room'!B36,'E Electrical Room'!B42,'E Electrical Room'!B47,'E Electrical Room'!B56,'E Electrical Room'!B61,'E Electrical Room'!B67,'E Electrical Room'!B74)</f>
        <v>85</v>
      </c>
      <c r="E44" s="158">
        <f>SUM('E Electrical Room'!E4,'E Electrical Room'!E23,'E Electrical Room'!E30,'E Electrical Room'!E36,'E Electrical Room'!E42,'E Electrical Room'!E47,'E Electrical Room'!E56,'E Electrical Room'!E61,'E Electrical Room'!E67,'E Electrical Room'!E74)</f>
        <v>18</v>
      </c>
      <c r="F44" s="148">
        <v>1</v>
      </c>
      <c r="G44" s="148">
        <f>D44*F44</f>
        <v>85</v>
      </c>
      <c r="H44" s="148">
        <f>(D44-E44)*F44</f>
        <v>67</v>
      </c>
      <c r="I44" s="149">
        <f>(1-(H44/G44))</f>
        <v>0.21176470588235297</v>
      </c>
      <c r="J44" s="150"/>
      <c r="K44" s="151">
        <v>45839</v>
      </c>
      <c r="L44" s="151">
        <v>45901</v>
      </c>
      <c r="M44" s="39"/>
      <c r="N44" s="39"/>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row>
    <row r="45" spans="1:70" s="40" customFormat="1" ht="30" customHeight="1" thickBot="1">
      <c r="A45" s="28"/>
      <c r="B45" s="147" t="s">
        <v>176</v>
      </c>
      <c r="C45" s="152" t="s">
        <v>180</v>
      </c>
      <c r="D45" s="152">
        <f>SUM('E Electrical Room'!B5,'E Electrical Room'!B24,'E Electrical Room'!B31,'E Electrical Room'!B37,'E Electrical Room'!B43,'E Electrical Room'!B48,'E Electrical Room'!B68,'E Electrical Room'!B75)</f>
        <v>90</v>
      </c>
      <c r="E45" s="158">
        <f>SUM('E Electrical Room'!E5,'E Electrical Room'!E24,'E Electrical Room'!E31,'E Electrical Room'!E37,'E Electrical Room'!E43,'E Electrical Room'!E48,'E Electrical Room'!E68,'E Electrical Room'!E75)</f>
        <v>0</v>
      </c>
      <c r="F45" s="152">
        <v>0.5</v>
      </c>
      <c r="G45" s="148">
        <f t="shared" ref="G45:G48" si="33">D45*F45</f>
        <v>45</v>
      </c>
      <c r="H45" s="148">
        <f t="shared" ref="H45:H48" si="34">(D45-E45)*F45</f>
        <v>45</v>
      </c>
      <c r="I45" s="149">
        <f t="shared" ref="I45:I48" si="35">(1-(H45/G45))</f>
        <v>0</v>
      </c>
      <c r="J45" s="150"/>
      <c r="K45" s="151">
        <v>45839</v>
      </c>
      <c r="L45" s="151">
        <v>45901</v>
      </c>
      <c r="M45" s="39"/>
      <c r="N45" s="39"/>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row>
    <row r="46" spans="1:70" s="40" customFormat="1" ht="30" customHeight="1" thickBot="1">
      <c r="A46" s="28"/>
      <c r="B46" s="147" t="s">
        <v>177</v>
      </c>
      <c r="C46" s="152" t="s">
        <v>194</v>
      </c>
      <c r="D46" s="152">
        <f>SUM('E Electrical Room'!B32,'E Electrical Room'!B38,'E Electrical Room'!B49,'E Electrical Room'!B76)</f>
        <v>14</v>
      </c>
      <c r="E46" s="158">
        <f>SUM('E Electrical Room'!E32,'E Electrical Room'!E38,'E Electrical Room'!E49,'E Electrical Room'!E76)</f>
        <v>11</v>
      </c>
      <c r="F46" s="152">
        <v>1.25</v>
      </c>
      <c r="G46" s="148">
        <f t="shared" si="33"/>
        <v>17.5</v>
      </c>
      <c r="H46" s="148">
        <f t="shared" si="34"/>
        <v>3.75</v>
      </c>
      <c r="I46" s="149">
        <f t="shared" si="35"/>
        <v>0.7857142857142857</v>
      </c>
      <c r="J46" s="150"/>
      <c r="K46" s="151">
        <v>45839</v>
      </c>
      <c r="L46" s="151">
        <v>45901</v>
      </c>
      <c r="M46" s="39"/>
      <c r="N46" s="39"/>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row>
    <row r="47" spans="1:70" s="40" customFormat="1" ht="30" customHeight="1" thickBot="1">
      <c r="A47" s="28"/>
      <c r="B47" s="147" t="s">
        <v>178</v>
      </c>
      <c r="C47" s="152" t="s">
        <v>195</v>
      </c>
      <c r="D47" s="152">
        <f>SUM('E Electrical Room'!B6,'E Electrical Room'!B10,'E Electrical Room'!B14,'E Electrical Room'!B18,'E Electrical Room'!B25,'E Electrical Room'!B52,'E Electrical Room'!B57,'E Electrical Room'!B62,'E Electrical Room'!B69)</f>
        <v>12</v>
      </c>
      <c r="E47" s="158">
        <f>SUM('E Electrical Room'!E6,'E Electrical Room'!E10,'E Electrical Room'!E14,'E Electrical Room'!E18,'E Electrical Room'!E25,'E Electrical Room'!E52,'E Electrical Room'!E57,'E Electrical Room'!E62,'E Electrical Room'!E69)</f>
        <v>2</v>
      </c>
      <c r="F47" s="152">
        <v>4</v>
      </c>
      <c r="G47" s="148">
        <f t="shared" si="33"/>
        <v>48</v>
      </c>
      <c r="H47" s="148">
        <f t="shared" si="34"/>
        <v>40</v>
      </c>
      <c r="I47" s="149">
        <f t="shared" si="35"/>
        <v>0.16666666666666663</v>
      </c>
      <c r="J47" s="150"/>
      <c r="K47" s="151">
        <v>45839</v>
      </c>
      <c r="L47" s="151">
        <v>45901</v>
      </c>
      <c r="M47" s="39"/>
      <c r="N47" s="39"/>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row>
    <row r="48" spans="1:70" s="40" customFormat="1" ht="30" customHeight="1" thickBot="1">
      <c r="A48" s="28"/>
      <c r="B48" s="147" t="s">
        <v>190</v>
      </c>
      <c r="C48" s="152" t="s">
        <v>196</v>
      </c>
      <c r="D48" s="152">
        <f>SUM('E Electrical Room'!B7,'E Electrical Room'!B11,'E Electrical Room'!B15,'E Electrical Room'!B19,'E Electrical Room'!B26,'E Electrical Room'!B53,'E Electrical Room'!B58,'E Electrical Room'!B63,'E Electrical Room'!B70)</f>
        <v>281</v>
      </c>
      <c r="E48" s="158">
        <f>SUM('E Electrical Room'!E7,'E Electrical Room'!E11,'E Electrical Room'!E15,'E Electrical Room'!E19,'E Electrical Room'!E26,'E Electrical Room'!E53,'E Electrical Room'!E58,'E Electrical Room'!E63,'E Electrical Room'!E70)</f>
        <v>0</v>
      </c>
      <c r="F48" s="152">
        <v>0.5</v>
      </c>
      <c r="G48" s="148">
        <f t="shared" si="33"/>
        <v>140.5</v>
      </c>
      <c r="H48" s="148">
        <f t="shared" si="34"/>
        <v>140.5</v>
      </c>
      <c r="I48" s="149">
        <f t="shared" si="35"/>
        <v>0</v>
      </c>
      <c r="J48" s="150"/>
      <c r="K48" s="151">
        <v>45839</v>
      </c>
      <c r="L48" s="151">
        <v>45901</v>
      </c>
      <c r="M48" s="39"/>
      <c r="N48" s="39"/>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row>
    <row r="49" spans="1:70" s="40" customFormat="1" ht="30" customHeight="1" thickBot="1">
      <c r="A49" s="28"/>
      <c r="B49" s="147" t="s">
        <v>252</v>
      </c>
      <c r="C49" s="152" t="s">
        <v>263</v>
      </c>
      <c r="D49" s="152">
        <v>5</v>
      </c>
      <c r="E49" s="158">
        <f>SUM('E Electrical Room'!E79)</f>
        <v>2</v>
      </c>
      <c r="F49" s="152">
        <v>0.3</v>
      </c>
      <c r="G49" s="148">
        <f t="shared" ref="G49" si="36">D49*F49</f>
        <v>1.5</v>
      </c>
      <c r="H49" s="148">
        <f t="shared" ref="H49" si="37">(D49-E49)*F49</f>
        <v>0.89999999999999991</v>
      </c>
      <c r="I49" s="149">
        <f t="shared" ref="I49" si="38">(1-(H49/G49))</f>
        <v>0.4</v>
      </c>
      <c r="J49" s="150"/>
      <c r="K49" s="151">
        <v>45839</v>
      </c>
      <c r="L49" s="151">
        <v>45901</v>
      </c>
      <c r="M49" s="39"/>
      <c r="N49" s="39"/>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row>
    <row r="50" spans="1:70" s="40" customFormat="1" ht="30" customHeight="1" thickBot="1">
      <c r="A50" s="28"/>
      <c r="B50" s="147" t="s">
        <v>265</v>
      </c>
      <c r="C50" s="152" t="s">
        <v>264</v>
      </c>
      <c r="D50" s="152">
        <v>4</v>
      </c>
      <c r="E50" s="158">
        <f>SUM('E Electrical Room'!E80)</f>
        <v>0</v>
      </c>
      <c r="F50" s="152">
        <v>0.3</v>
      </c>
      <c r="G50" s="148">
        <f t="shared" ref="G50" si="39">D50*F50</f>
        <v>1.2</v>
      </c>
      <c r="H50" s="148">
        <f t="shared" ref="H50" si="40">(D50-E50)*F50</f>
        <v>1.2</v>
      </c>
      <c r="I50" s="149">
        <f t="shared" ref="I50" si="41">(1-(H50/G50))</f>
        <v>0</v>
      </c>
      <c r="J50" s="150"/>
      <c r="K50" s="151">
        <v>45839</v>
      </c>
      <c r="L50" s="151">
        <v>45901</v>
      </c>
      <c r="M50" s="39"/>
      <c r="N50" s="39"/>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row>
    <row r="51" spans="1:70" s="40" customFormat="1" ht="30" customHeight="1" thickBot="1">
      <c r="A51" s="28"/>
      <c r="B51" s="193" t="s">
        <v>249</v>
      </c>
      <c r="C51" s="194" t="s">
        <v>235</v>
      </c>
      <c r="D51" s="195"/>
      <c r="E51" s="196"/>
      <c r="F51" s="195"/>
      <c r="G51" s="194">
        <f>SUM(G52:G56)</f>
        <v>331.75</v>
      </c>
      <c r="H51" s="197">
        <f>SUM(H52:H56)</f>
        <v>61.75</v>
      </c>
      <c r="I51" s="198">
        <f>(1-(H51/G51))</f>
        <v>0.81386586284853046</v>
      </c>
      <c r="J51" s="199"/>
      <c r="K51" s="200">
        <v>45839</v>
      </c>
      <c r="L51" s="200">
        <v>45901</v>
      </c>
      <c r="M51" s="39"/>
      <c r="N51" s="39"/>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row>
    <row r="52" spans="1:70" s="40" customFormat="1" ht="30" customHeight="1" thickBot="1">
      <c r="A52" s="28"/>
      <c r="B52" s="201" t="s">
        <v>170</v>
      </c>
      <c r="C52" s="202" t="s">
        <v>191</v>
      </c>
      <c r="D52" s="202">
        <f>SUM('F1 Electrical Room'!B3,'F1 Electrical Room'!B7,'F1 Electrical Room'!B12,'F1 Electrical Room'!B18,'F1 Electrical Room'!B22,'F1 Electrical Room'!B26,'F1 Electrical Room'!B29,'F1 Electrical Room'!B33,'F1 Electrical Room'!B37,'F1 Electrical Room'!B41)</f>
        <v>90</v>
      </c>
      <c r="E52" s="203">
        <f>SUM('F1 Electrical Room'!E3,'F1 Electrical Room'!E7,'F1 Electrical Room'!E12,'F1 Electrical Room'!E18,'F1 Electrical Room'!E22,'F1 Electrical Room'!E26,'F1 Electrical Room'!E29,'F1 Electrical Room'!E33,'F1 Electrical Room'!E37,'F1 Electrical Room'!E41)</f>
        <v>90</v>
      </c>
      <c r="F52" s="202">
        <v>3</v>
      </c>
      <c r="G52" s="204">
        <f t="shared" ref="G52:G53" si="42">D52*F52</f>
        <v>270</v>
      </c>
      <c r="H52" s="204">
        <f t="shared" ref="H52:H53" si="43">(D52-E52)*F52</f>
        <v>0</v>
      </c>
      <c r="I52" s="205">
        <f t="shared" ref="I52:I53" si="44">(1-(H52/G52))</f>
        <v>1</v>
      </c>
      <c r="J52" s="206"/>
      <c r="K52" s="207">
        <v>45839</v>
      </c>
      <c r="L52" s="207">
        <v>45901</v>
      </c>
      <c r="M52" s="39"/>
      <c r="N52" s="39"/>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row>
    <row r="53" spans="1:70" s="40" customFormat="1" ht="30" customHeight="1" thickBot="1">
      <c r="A53" s="28"/>
      <c r="B53" s="201" t="s">
        <v>172</v>
      </c>
      <c r="C53" s="202" t="s">
        <v>192</v>
      </c>
      <c r="D53" s="202">
        <f>SUM('F1 Electrical Room'!B8,'F1 Electrical Room'!B13,'F1 Electrical Room'!B30)</f>
        <v>7</v>
      </c>
      <c r="E53" s="203">
        <f>SUM('F1 Electrical Room'!E8,'F1 Electrical Room'!E13,'F1 Electrical Room'!E30)</f>
        <v>0</v>
      </c>
      <c r="F53" s="202">
        <v>4</v>
      </c>
      <c r="G53" s="204">
        <f t="shared" si="42"/>
        <v>28</v>
      </c>
      <c r="H53" s="204">
        <f t="shared" si="43"/>
        <v>28</v>
      </c>
      <c r="I53" s="205">
        <f t="shared" si="44"/>
        <v>0</v>
      </c>
      <c r="J53" s="206"/>
      <c r="K53" s="207">
        <v>45839</v>
      </c>
      <c r="L53" s="207">
        <v>45901</v>
      </c>
      <c r="M53" s="39"/>
      <c r="N53" s="39"/>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row>
    <row r="54" spans="1:70" s="40" customFormat="1" ht="30" customHeight="1" thickBot="1">
      <c r="A54" s="28"/>
      <c r="B54" s="201" t="s">
        <v>174</v>
      </c>
      <c r="C54" s="204" t="s">
        <v>193</v>
      </c>
      <c r="D54" s="204">
        <f>SUM('F1 Electrical Room'!B9,'F1 Electrical Room'!B14)</f>
        <v>22</v>
      </c>
      <c r="E54" s="203">
        <f>SUM('F1 Electrical Room'!E9,'F1 Electrical Room'!E14)</f>
        <v>0</v>
      </c>
      <c r="F54" s="204">
        <v>1</v>
      </c>
      <c r="G54" s="204">
        <f>D54*F54</f>
        <v>22</v>
      </c>
      <c r="H54" s="204">
        <f>(D54-E54)*F54</f>
        <v>22</v>
      </c>
      <c r="I54" s="205">
        <f>(1-(H54/G54))</f>
        <v>0</v>
      </c>
      <c r="J54" s="206"/>
      <c r="K54" s="207">
        <v>45839</v>
      </c>
      <c r="L54" s="207">
        <v>45901</v>
      </c>
      <c r="M54" s="39"/>
      <c r="N54" s="39"/>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row>
    <row r="55" spans="1:70" s="40" customFormat="1" ht="30" customHeight="1" thickBot="1">
      <c r="A55" s="28"/>
      <c r="B55" s="201" t="s">
        <v>176</v>
      </c>
      <c r="C55" s="202" t="s">
        <v>180</v>
      </c>
      <c r="D55" s="202">
        <f>SUM('F1 Electrical Room'!B10,'F1 Electrical Room'!B15,'F1 Electrical Room'!B31)</f>
        <v>16</v>
      </c>
      <c r="E55" s="203">
        <f>SUM('F1 Electrical Room'!E10,'F1 Electrical Room'!E15,'F1 Electrical Room'!E31)</f>
        <v>0</v>
      </c>
      <c r="F55" s="202">
        <v>0.5</v>
      </c>
      <c r="G55" s="204">
        <f t="shared" ref="G55:G56" si="45">D55*F55</f>
        <v>8</v>
      </c>
      <c r="H55" s="204">
        <f t="shared" ref="H55:H56" si="46">(D55-E55)*F55</f>
        <v>8</v>
      </c>
      <c r="I55" s="205">
        <f t="shared" ref="I55:I56" si="47">(1-(H55/G55))</f>
        <v>0</v>
      </c>
      <c r="J55" s="206"/>
      <c r="K55" s="207">
        <v>45839</v>
      </c>
      <c r="L55" s="207">
        <v>45901</v>
      </c>
      <c r="M55" s="39"/>
      <c r="N55" s="39"/>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row>
    <row r="56" spans="1:70" s="40" customFormat="1" ht="30" customHeight="1" thickBot="1">
      <c r="A56" s="28"/>
      <c r="B56" s="201" t="s">
        <v>177</v>
      </c>
      <c r="C56" s="202" t="s">
        <v>194</v>
      </c>
      <c r="D56" s="202">
        <f>SUM('F1 Electrical Room'!B16,'F1 Electrical Room'!B27)</f>
        <v>3</v>
      </c>
      <c r="E56" s="203">
        <f>SUM('F1 Electrical Room'!E16,'F1 Electrical Room'!E27)</f>
        <v>0</v>
      </c>
      <c r="F56" s="202">
        <v>1.25</v>
      </c>
      <c r="G56" s="204">
        <f t="shared" si="45"/>
        <v>3.75</v>
      </c>
      <c r="H56" s="204">
        <f t="shared" si="46"/>
        <v>3.75</v>
      </c>
      <c r="I56" s="205">
        <f t="shared" si="47"/>
        <v>0</v>
      </c>
      <c r="J56" s="206"/>
      <c r="K56" s="207">
        <v>45839</v>
      </c>
      <c r="L56" s="207">
        <v>45901</v>
      </c>
      <c r="M56" s="39"/>
      <c r="N56" s="39"/>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row>
    <row r="57" spans="1:70" s="40" customFormat="1" ht="30" customHeight="1" thickBot="1">
      <c r="A57" s="28"/>
      <c r="B57" s="231" t="s">
        <v>250</v>
      </c>
      <c r="C57" s="232" t="s">
        <v>236</v>
      </c>
      <c r="D57" s="233"/>
      <c r="E57" s="234"/>
      <c r="F57" s="233"/>
      <c r="G57" s="232">
        <f>SUM(G58:G62)</f>
        <v>418.5</v>
      </c>
      <c r="H57" s="235">
        <f>SUM(H58:H62)</f>
        <v>190.5</v>
      </c>
      <c r="I57" s="236">
        <f>(1-(H57/G57))</f>
        <v>0.54480286738351258</v>
      </c>
      <c r="J57" s="237"/>
      <c r="K57" s="238">
        <v>45839</v>
      </c>
      <c r="L57" s="238">
        <v>45901</v>
      </c>
      <c r="M57" s="39"/>
      <c r="N57" s="39"/>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row>
    <row r="58" spans="1:70" s="40" customFormat="1" ht="30" customHeight="1" thickBot="1">
      <c r="A58" s="28"/>
      <c r="B58" s="239" t="s">
        <v>170</v>
      </c>
      <c r="C58" s="240" t="s">
        <v>191</v>
      </c>
      <c r="D58" s="240">
        <f>+SUM('F2 Eletrical Room'!B3,'F2 Eletrical Room'!B9,'F2 Eletrical Room'!B14,'F2 Eletrical Room'!B18,'F2 Eletrical Room'!B23,'F2 Eletrical Room'!B27,'F2 Eletrical Room'!B31,'F2 Eletrical Room'!B35)</f>
        <v>76</v>
      </c>
      <c r="E58" s="241">
        <f>+SUM('F2 Eletrical Room'!E3,'F2 Eletrical Room'!E9,'F2 Eletrical Room'!E14,'F2 Eletrical Room'!E18,'F2 Eletrical Room'!E23,'F2 Eletrical Room'!E27,'F2 Eletrical Room'!E31,'F2 Eletrical Room'!E35)</f>
        <v>76</v>
      </c>
      <c r="F58" s="240">
        <v>3</v>
      </c>
      <c r="G58" s="242">
        <f t="shared" ref="G58:G59" si="48">D58*F58</f>
        <v>228</v>
      </c>
      <c r="H58" s="242">
        <f t="shared" ref="H58:H59" si="49">(D58-E58)*F58</f>
        <v>0</v>
      </c>
      <c r="I58" s="243">
        <f t="shared" ref="I58:I59" si="50">(1-(H58/G58))</f>
        <v>1</v>
      </c>
      <c r="J58" s="244"/>
      <c r="K58" s="245">
        <v>45839</v>
      </c>
      <c r="L58" s="245">
        <v>45901</v>
      </c>
      <c r="M58" s="39"/>
      <c r="N58" s="39"/>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row>
    <row r="59" spans="1:70" s="40" customFormat="1" ht="30" customHeight="1" thickBot="1">
      <c r="A59" s="28"/>
      <c r="B59" s="239" t="s">
        <v>172</v>
      </c>
      <c r="C59" s="240" t="s">
        <v>192</v>
      </c>
      <c r="D59" s="240">
        <f>SUM('F2 Eletrical Room'!B4,'F2 Eletrical Room'!B10,'F2 Eletrical Room'!B15,'F2 Eletrical Room'!B19,'F2 Eletrical Room'!B24,'F2 Eletrical Room'!B28,'F2 Eletrical Room'!B32,'F2 Eletrical Room'!B36)</f>
        <v>27</v>
      </c>
      <c r="E59" s="241">
        <f>SUM('F2 Eletrical Room'!E4,'F2 Eletrical Room'!E10,'F2 Eletrical Room'!E15,'F2 Eletrical Room'!E19,'F2 Eletrical Room'!E24,'F2 Eletrical Room'!E28,'F2 Eletrical Room'!E32,'F2 Eletrical Room'!E36)</f>
        <v>0</v>
      </c>
      <c r="F59" s="240">
        <v>4</v>
      </c>
      <c r="G59" s="242">
        <f t="shared" si="48"/>
        <v>108</v>
      </c>
      <c r="H59" s="242">
        <f t="shared" si="49"/>
        <v>108</v>
      </c>
      <c r="I59" s="243">
        <f t="shared" si="50"/>
        <v>0</v>
      </c>
      <c r="J59" s="244"/>
      <c r="K59" s="245">
        <v>45839</v>
      </c>
      <c r="L59" s="245">
        <v>45901</v>
      </c>
      <c r="M59" s="39"/>
      <c r="N59" s="39"/>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row>
    <row r="60" spans="1:70" s="40" customFormat="1" ht="30" customHeight="1" thickBot="1">
      <c r="A60" s="28"/>
      <c r="B60" s="239" t="s">
        <v>174</v>
      </c>
      <c r="C60" s="242" t="s">
        <v>193</v>
      </c>
      <c r="D60" s="242">
        <f>SUM('F2 Eletrical Room'!B5,'F2 Eletrical Room'!B11,'F2 Eletrical Room'!B20)</f>
        <v>23</v>
      </c>
      <c r="E60" s="241">
        <f>SUM('F2 Eletrical Room'!E5,'F2 Eletrical Room'!E11,'F2 Eletrical Room'!E20)</f>
        <v>0</v>
      </c>
      <c r="F60" s="242">
        <v>1</v>
      </c>
      <c r="G60" s="242">
        <f>D60*F60</f>
        <v>23</v>
      </c>
      <c r="H60" s="242">
        <f>(D60-E60)*F60</f>
        <v>23</v>
      </c>
      <c r="I60" s="243">
        <f>(1-(H60/G60))</f>
        <v>0</v>
      </c>
      <c r="J60" s="244"/>
      <c r="K60" s="245">
        <v>45839</v>
      </c>
      <c r="L60" s="245">
        <v>45901</v>
      </c>
      <c r="M60" s="39"/>
      <c r="N60" s="39"/>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row>
    <row r="61" spans="1:70" s="40" customFormat="1" ht="30" customHeight="1" thickBot="1">
      <c r="A61" s="28"/>
      <c r="B61" s="239" t="s">
        <v>176</v>
      </c>
      <c r="C61" s="240" t="s">
        <v>180</v>
      </c>
      <c r="D61" s="240">
        <f>SUM('F2 Eletrical Room'!B6,'F2 Eletrical Room'!B12,'F2 Eletrical Room'!B16,'F2 Eletrical Room'!B21,'F2 Eletrical Room'!B25,'F2 Eletrical Room'!B29,'F2 Eletrical Room'!B33,'F2 Eletrical Room'!B37)</f>
        <v>114</v>
      </c>
      <c r="E61" s="241">
        <f>SUM('F2 Eletrical Room'!E6,'F2 Eletrical Room'!E12,'F2 Eletrical Room'!E16,'F2 Eletrical Room'!E21,'F2 Eletrical Room'!E25,'F2 Eletrical Room'!E29,'F2 Eletrical Room'!E33,'F2 Eletrical Room'!E37)</f>
        <v>0</v>
      </c>
      <c r="F61" s="240">
        <v>0.5</v>
      </c>
      <c r="G61" s="242">
        <f t="shared" ref="G61:G62" si="51">D61*F61</f>
        <v>57</v>
      </c>
      <c r="H61" s="242">
        <f t="shared" ref="H61:H62" si="52">(D61-E61)*F61</f>
        <v>57</v>
      </c>
      <c r="I61" s="243">
        <f t="shared" ref="I61:I62" si="53">(1-(H61/G61))</f>
        <v>0</v>
      </c>
      <c r="J61" s="244"/>
      <c r="K61" s="245">
        <v>45839</v>
      </c>
      <c r="L61" s="245">
        <v>45901</v>
      </c>
      <c r="M61" s="39"/>
      <c r="N61" s="39"/>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row>
    <row r="62" spans="1:70" s="40" customFormat="1" ht="30" customHeight="1" thickBot="1">
      <c r="A62" s="28"/>
      <c r="B62" s="239" t="s">
        <v>177</v>
      </c>
      <c r="C62" s="240" t="s">
        <v>194</v>
      </c>
      <c r="D62" s="240">
        <f>SUM('F2 Eletrical Room'!B7)</f>
        <v>2</v>
      </c>
      <c r="E62" s="241">
        <f>SUM('F2 Eletrical Room'!E7)</f>
        <v>0</v>
      </c>
      <c r="F62" s="240">
        <v>1.25</v>
      </c>
      <c r="G62" s="242">
        <f t="shared" si="51"/>
        <v>2.5</v>
      </c>
      <c r="H62" s="242">
        <f t="shared" si="52"/>
        <v>2.5</v>
      </c>
      <c r="I62" s="243">
        <f t="shared" si="53"/>
        <v>0</v>
      </c>
      <c r="J62" s="244"/>
      <c r="K62" s="245">
        <v>45839</v>
      </c>
      <c r="L62" s="245">
        <v>45901</v>
      </c>
      <c r="M62" s="39"/>
      <c r="N62" s="39"/>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row>
    <row r="63" spans="1:70" s="40" customFormat="1" ht="32.1" customHeight="1" thickBot="1">
      <c r="A63" s="28"/>
      <c r="B63" s="127"/>
      <c r="C63" s="128"/>
      <c r="D63" s="440" t="s">
        <v>71</v>
      </c>
      <c r="E63" s="441"/>
      <c r="F63" s="440"/>
      <c r="G63" s="259">
        <f>SUM(G57,G51,G41,G33,G25,G17,G9)</f>
        <v>2159.6999999999998</v>
      </c>
      <c r="H63" s="259">
        <f>SUM(H57,H51,H41,H33,H25,H17,H9)</f>
        <v>1038.8499999999999</v>
      </c>
      <c r="I63" s="103">
        <f>(1-(H63/G63))</f>
        <v>0.51898411816455992</v>
      </c>
      <c r="J63" s="42"/>
      <c r="K63" s="43"/>
      <c r="L63" s="43"/>
      <c r="M63" s="39"/>
      <c r="N63" s="39"/>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row>
    <row r="64" spans="1:70" s="40" customFormat="1" ht="30" customHeight="1" thickBot="1">
      <c r="A64" s="31" t="s">
        <v>72</v>
      </c>
      <c r="B64" s="44" t="s">
        <v>73</v>
      </c>
      <c r="C64" s="45"/>
      <c r="D64" s="45"/>
      <c r="E64" s="45"/>
      <c r="F64" s="45"/>
      <c r="G64" s="45"/>
      <c r="H64" s="46"/>
      <c r="I64" s="47"/>
      <c r="J64" s="47"/>
      <c r="K64" s="48"/>
      <c r="L64" s="49"/>
      <c r="M64" s="50"/>
      <c r="N64" s="50" t="str">
        <f t="shared" ref="N64" si="54">IF(OR(ISBLANK(task_start),ISBLANK(task_end)),"",task_end-task_start+1)</f>
        <v/>
      </c>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row>
    <row r="65" spans="3:13" ht="30" customHeight="1">
      <c r="M65" s="52"/>
    </row>
    <row r="66" spans="3:13" ht="30" customHeight="1">
      <c r="C66" s="349"/>
      <c r="D66" s="349" t="s">
        <v>321</v>
      </c>
      <c r="E66" s="349" t="s">
        <v>322</v>
      </c>
      <c r="F66" s="53"/>
      <c r="G66" s="53"/>
      <c r="H66" s="53"/>
      <c r="L66" s="54"/>
    </row>
    <row r="67" spans="3:13" ht="30" customHeight="1">
      <c r="C67" s="347" t="s">
        <v>173</v>
      </c>
      <c r="D67" s="347">
        <f>SUM(D58,D52,D42,D34,D26,D11)</f>
        <v>336</v>
      </c>
      <c r="E67" s="347">
        <f>SUM(D67-(E58+E52+E42+E34+E26+E11))</f>
        <v>6</v>
      </c>
      <c r="F67" s="55"/>
      <c r="G67" s="55"/>
      <c r="H67" s="55"/>
    </row>
    <row r="68" spans="3:13" ht="30" customHeight="1">
      <c r="C68" s="350" t="s">
        <v>251</v>
      </c>
      <c r="D68" s="350">
        <f>D10</f>
        <v>2</v>
      </c>
      <c r="E68" s="350">
        <f>D68-E10</f>
        <v>2</v>
      </c>
    </row>
    <row r="69" spans="3:13" ht="30" customHeight="1">
      <c r="C69" s="350" t="s">
        <v>323</v>
      </c>
      <c r="D69" s="350">
        <f>SUM(D18,D12)</f>
        <v>9</v>
      </c>
      <c r="E69" s="350">
        <f>SUM(D69-(E18+E12))</f>
        <v>6</v>
      </c>
    </row>
    <row r="70" spans="3:13" ht="30" customHeight="1">
      <c r="C70" s="350" t="s">
        <v>187</v>
      </c>
      <c r="D70" s="350">
        <f>SUM(D59,D53,D43,D35,D27,D21,D13)</f>
        <v>91</v>
      </c>
      <c r="E70" s="350">
        <f>D70-(SUM(E59,E53,E43,E35,E27,E21,E13))</f>
        <v>72</v>
      </c>
    </row>
    <row r="71" spans="3:13" ht="30" customHeight="1">
      <c r="C71" s="350" t="s">
        <v>193</v>
      </c>
      <c r="D71" s="350">
        <f>SUM(D60,D54,D44,D36,D28,D22,D14)</f>
        <v>249</v>
      </c>
      <c r="E71" s="350">
        <f>D71-(SUM(E60,E54,E44,E36,E28,E22,E14))</f>
        <v>231</v>
      </c>
    </row>
    <row r="72" spans="3:13" ht="30" customHeight="1">
      <c r="C72" s="350" t="s">
        <v>180</v>
      </c>
      <c r="D72" s="350">
        <f>SUM(D61,D55,D45,D29,D37,D24,D15)</f>
        <v>323</v>
      </c>
      <c r="E72" s="350">
        <f>D72-(SUM(E61,E55,E45,E29,E37,E24,E15))</f>
        <v>323</v>
      </c>
    </row>
    <row r="73" spans="3:13" ht="30" customHeight="1">
      <c r="C73" s="350" t="s">
        <v>194</v>
      </c>
      <c r="D73" s="350">
        <f>SUM(D62,D56,D46,D38,D30,D23,D16)</f>
        <v>34</v>
      </c>
      <c r="E73" s="350">
        <f>D73-(SUM(E62,E56,E46,E38,E30,E23,E16))</f>
        <v>21</v>
      </c>
    </row>
    <row r="74" spans="3:13" ht="30" customHeight="1">
      <c r="C74" s="350" t="s">
        <v>195</v>
      </c>
      <c r="D74" s="350">
        <f>SUM(D47,D39,D31)</f>
        <v>19</v>
      </c>
      <c r="E74" s="350">
        <f>D74-(SUM(E47,E39,E31))</f>
        <v>17</v>
      </c>
    </row>
    <row r="75" spans="3:13" ht="30" customHeight="1">
      <c r="C75" s="350" t="s">
        <v>196</v>
      </c>
      <c r="D75" s="350">
        <f>SUM(D48,D40,D32)</f>
        <v>321</v>
      </c>
      <c r="E75" s="350">
        <f>D75-(SUM(E48,E40,E32))</f>
        <v>321</v>
      </c>
    </row>
    <row r="76" spans="3:13" ht="30" customHeight="1">
      <c r="C76" s="350"/>
      <c r="D76" s="350"/>
      <c r="E76" s="350"/>
    </row>
    <row r="77" spans="3:13" ht="30" customHeight="1">
      <c r="C77" s="348"/>
      <c r="D77" s="348"/>
      <c r="E77" s="348"/>
    </row>
    <row r="78" spans="3:13" ht="30" customHeight="1">
      <c r="C78" s="348"/>
      <c r="D78" s="348"/>
      <c r="E78" s="348"/>
    </row>
  </sheetData>
  <sheetProtection algorithmName="SHA-512" hashValue="PDHT6kPx4Z0QMs4Vx89MsMqqvRADhWE4tWyPRw8v9c1XTC7i7poZHT7WnxI7xL0Xc2NHoiPeDYDhr2vY/5iVZA==" saltValue="tuxeTtXRoT4RisbPjtKC4Q==" spinCount="100000" sheet="1" formatCells="0"/>
  <mergeCells count="15">
    <mergeCell ref="BE5:BK5"/>
    <mergeCell ref="BL5:BR5"/>
    <mergeCell ref="D63:F63"/>
    <mergeCell ref="O5:U5"/>
    <mergeCell ref="V5:AB5"/>
    <mergeCell ref="AC5:AI5"/>
    <mergeCell ref="AJ5:AP5"/>
    <mergeCell ref="AQ5:AW5"/>
    <mergeCell ref="AX5:BD5"/>
    <mergeCell ref="B1:C1"/>
    <mergeCell ref="D3:F3"/>
    <mergeCell ref="D4:I4"/>
    <mergeCell ref="K4:L4"/>
    <mergeCell ref="B5:C5"/>
    <mergeCell ref="D5:I5"/>
  </mergeCells>
  <phoneticPr fontId="24" type="noConversion"/>
  <conditionalFormatting sqref="I8:J64">
    <cfRule type="dataBar" priority="1">
      <dataBar>
        <cfvo type="num" val="0"/>
        <cfvo type="num" val="1"/>
        <color theme="0" tint="-0.249977111117893"/>
      </dataBar>
      <extLst>
        <ext xmlns:x14="http://schemas.microsoft.com/office/spreadsheetml/2009/9/main" uri="{B025F937-C7B1-47D3-B67F-A62EFF666E3E}">
          <x14:id>{C031F00C-E481-47A5-81F3-2E371C0ABB97}</x14:id>
        </ext>
      </extLst>
    </cfRule>
  </conditionalFormatting>
  <conditionalFormatting sqref="O6:BR64">
    <cfRule type="expression" dxfId="2" priority="4">
      <formula>AND(TODAY()&gt;=O$6,TODAY()&lt;P$6)</formula>
    </cfRule>
  </conditionalFormatting>
  <conditionalFormatting sqref="O8:BR64">
    <cfRule type="expression" dxfId="1" priority="2">
      <formula>AND(task_start&lt;=O$6,ROUNDDOWN((task_end-task_start+1)*task_progress,0)+task_start-1&gt;=O$6)</formula>
    </cfRule>
    <cfRule type="expression" dxfId="0" priority="3" stopIfTrue="1">
      <formula>AND(task_end&gt;=O$6,task_start&lt;P$6)</formula>
    </cfRule>
  </conditionalFormatting>
  <dataValidations count="1">
    <dataValidation type="whole" operator="greaterThanOrEqual" allowBlank="1" showInputMessage="1" promptTitle="Display Week" prompt="Changing this number will scroll the Gantt Chart view." sqref="K5" xr:uid="{4F675A43-0129-4FA3-8110-DC0D12A15940}">
      <formula1>1</formula1>
    </dataValidation>
  </dataValidations>
  <printOptions horizontalCentered="1"/>
  <pageMargins left="0.35" right="0.35" top="0.35" bottom="0.5" header="0.3" footer="0.3"/>
  <pageSetup paperSize="3" scale="55"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C031F00C-E481-47A5-81F3-2E371C0ABB97}">
            <x14:dataBar minLength="0" maxLength="100" gradient="0">
              <x14:cfvo type="num">
                <xm:f>0</xm:f>
              </x14:cfvo>
              <x14:cfvo type="num">
                <xm:f>1</xm:f>
              </x14:cfvo>
              <x14:negativeFillColor rgb="FFFF0000"/>
              <x14:axisColor rgb="FF000000"/>
            </x14:dataBar>
          </x14:cfRule>
          <xm:sqref>I8:J64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8F0EA-4F3A-4CF4-963B-10DFD1B795E6}">
  <sheetPr codeName="Sheet17">
    <tabColor theme="9" tint="0.39997558519241921"/>
    <pageSetUpPr fitToPage="1"/>
  </sheetPr>
  <dimension ref="B1:K33"/>
  <sheetViews>
    <sheetView zoomScale="130" zoomScaleNormal="130" workbookViewId="0">
      <selection activeCell="K6" sqref="K6"/>
    </sheetView>
  </sheetViews>
  <sheetFormatPr defaultColWidth="10" defaultRowHeight="15"/>
  <cols>
    <col min="1" max="1" width="3.42578125" style="76" customWidth="1"/>
    <col min="2" max="2" width="9.28515625" style="76" customWidth="1"/>
    <col min="3" max="3" width="56.140625" style="76" customWidth="1"/>
    <col min="4" max="4" width="18.140625" style="76" customWidth="1"/>
    <col min="5" max="5" width="15.5703125" style="81" customWidth="1"/>
    <col min="6" max="6" width="9.85546875" style="76" customWidth="1"/>
    <col min="7" max="7" width="10.5703125" style="76" customWidth="1"/>
    <col min="8" max="8" width="13.5703125" style="81" customWidth="1"/>
    <col min="9" max="9" width="14.5703125" style="81" customWidth="1"/>
    <col min="10" max="10" width="10" style="81" customWidth="1"/>
    <col min="11" max="11" width="59.42578125" style="76" bestFit="1" customWidth="1"/>
    <col min="12" max="12" width="10" style="76" customWidth="1"/>
    <col min="13" max="16384" width="10" style="76"/>
  </cols>
  <sheetData>
    <row r="1" spans="2:11" ht="99" customHeight="1">
      <c r="B1" s="83"/>
      <c r="C1" s="442" t="s">
        <v>188</v>
      </c>
      <c r="D1" s="442"/>
      <c r="E1" s="442"/>
      <c r="F1" s="442"/>
      <c r="G1" s="442"/>
      <c r="H1" s="442"/>
      <c r="I1" s="442"/>
      <c r="J1" s="442"/>
      <c r="K1" s="443"/>
    </row>
    <row r="2" spans="2:11" s="78" customFormat="1" ht="30" customHeight="1" thickBot="1">
      <c r="B2" s="87" t="s">
        <v>74</v>
      </c>
      <c r="C2" s="88" t="s">
        <v>0</v>
      </c>
      <c r="D2" s="97" t="s">
        <v>275</v>
      </c>
      <c r="E2" s="97" t="s">
        <v>75</v>
      </c>
      <c r="F2" s="159" t="s">
        <v>76</v>
      </c>
      <c r="G2" s="159" t="s">
        <v>77</v>
      </c>
      <c r="H2" s="97" t="s">
        <v>78</v>
      </c>
      <c r="I2" s="160" t="s">
        <v>79</v>
      </c>
      <c r="J2" s="161" t="s">
        <v>60</v>
      </c>
      <c r="K2" s="161" t="s">
        <v>80</v>
      </c>
    </row>
    <row r="3" spans="2:11" s="78" customFormat="1" ht="15.95" customHeight="1">
      <c r="B3" s="299"/>
      <c r="C3" s="95" t="s">
        <v>258</v>
      </c>
      <c r="D3" s="95" t="s">
        <v>320</v>
      </c>
      <c r="E3" s="300"/>
      <c r="F3" s="301"/>
      <c r="G3" s="301"/>
      <c r="H3" s="302"/>
      <c r="I3" s="301"/>
      <c r="J3" s="192"/>
      <c r="K3" s="276"/>
    </row>
    <row r="4" spans="2:11" s="78" customFormat="1" ht="15.75">
      <c r="B4" s="180">
        <v>1</v>
      </c>
      <c r="C4" s="307" t="s">
        <v>171</v>
      </c>
      <c r="D4" s="307"/>
      <c r="E4" s="98">
        <v>0</v>
      </c>
      <c r="F4" s="139">
        <v>4</v>
      </c>
      <c r="G4" s="139">
        <f>B4*F4</f>
        <v>4</v>
      </c>
      <c r="H4" s="139">
        <f>B4-E4</f>
        <v>1</v>
      </c>
      <c r="I4" s="139">
        <f>H4*F4</f>
        <v>4</v>
      </c>
      <c r="J4" s="162">
        <f>(1-Table13478911[[#This Row],[Hours Remain]]/Table13478911[[#This Row],[Total Hrs]])</f>
        <v>0</v>
      </c>
      <c r="K4" s="163"/>
    </row>
    <row r="5" spans="2:11" ht="15.75">
      <c r="B5" s="170">
        <v>3</v>
      </c>
      <c r="C5" s="186" t="s">
        <v>173</v>
      </c>
      <c r="D5" s="186"/>
      <c r="E5" s="98">
        <v>0</v>
      </c>
      <c r="F5" s="173">
        <v>3</v>
      </c>
      <c r="G5" s="139">
        <f t="shared" ref="G5:G25" si="0">B5*F5</f>
        <v>9</v>
      </c>
      <c r="H5" s="139">
        <f t="shared" ref="H5:H25" si="1">B5-E5</f>
        <v>3</v>
      </c>
      <c r="I5" s="139">
        <f t="shared" ref="I5:I25" si="2">H5*F5</f>
        <v>9</v>
      </c>
      <c r="J5" s="162">
        <f>(1-Table13478911[[#This Row],[Hours Remain]]/Table13478911[[#This Row],[Total Hrs]])</f>
        <v>0</v>
      </c>
      <c r="K5" s="164"/>
    </row>
    <row r="6" spans="2:11" ht="15.75">
      <c r="B6" s="303"/>
      <c r="C6" s="95" t="s">
        <v>257</v>
      </c>
      <c r="D6" s="95"/>
      <c r="E6" s="304"/>
      <c r="F6" s="305"/>
      <c r="G6" s="305"/>
      <c r="H6" s="306"/>
      <c r="I6" s="305"/>
      <c r="J6" s="192"/>
      <c r="K6" s="164"/>
    </row>
    <row r="7" spans="2:11" ht="15.75">
      <c r="B7" s="170">
        <v>2</v>
      </c>
      <c r="C7" s="186" t="s">
        <v>175</v>
      </c>
      <c r="D7" s="186"/>
      <c r="E7" s="98">
        <v>1</v>
      </c>
      <c r="F7" s="173">
        <v>4</v>
      </c>
      <c r="G7" s="139">
        <f t="shared" si="0"/>
        <v>8</v>
      </c>
      <c r="H7" s="139">
        <f t="shared" si="1"/>
        <v>1</v>
      </c>
      <c r="I7" s="139">
        <f t="shared" si="2"/>
        <v>4</v>
      </c>
      <c r="J7" s="162">
        <f>(1-Table13478911[[#This Row],[Hours Remain]]/Table13478911[[#This Row],[Total Hrs]])</f>
        <v>0.5</v>
      </c>
      <c r="K7" s="164"/>
    </row>
    <row r="8" spans="2:11" ht="15.75">
      <c r="B8" s="170">
        <v>1</v>
      </c>
      <c r="C8" s="273" t="s">
        <v>256</v>
      </c>
      <c r="D8" s="273"/>
      <c r="E8" s="98">
        <v>0</v>
      </c>
      <c r="F8" s="305">
        <v>4</v>
      </c>
      <c r="G8" s="139">
        <f t="shared" si="0"/>
        <v>4</v>
      </c>
      <c r="H8" s="139">
        <f t="shared" si="1"/>
        <v>1</v>
      </c>
      <c r="I8" s="139">
        <f t="shared" si="2"/>
        <v>4</v>
      </c>
      <c r="J8" s="162">
        <f>(1-Table13478911[[#This Row],[Hours Remain]]/Table13478911[[#This Row],[Total Hrs]])</f>
        <v>0</v>
      </c>
      <c r="K8" s="165"/>
    </row>
    <row r="9" spans="2:11" ht="15.75">
      <c r="B9" s="170">
        <v>8</v>
      </c>
      <c r="C9" s="186" t="s">
        <v>179</v>
      </c>
      <c r="D9" s="186"/>
      <c r="E9" s="98">
        <v>0</v>
      </c>
      <c r="F9" s="305">
        <v>1</v>
      </c>
      <c r="G9" s="139">
        <f t="shared" si="0"/>
        <v>8</v>
      </c>
      <c r="H9" s="139">
        <f t="shared" si="1"/>
        <v>8</v>
      </c>
      <c r="I9" s="139">
        <f t="shared" si="2"/>
        <v>8</v>
      </c>
      <c r="J9" s="162">
        <f>(1-Table13478911[[#This Row],[Hours Remain]]/Table13478911[[#This Row],[Total Hrs]])</f>
        <v>0</v>
      </c>
      <c r="K9" s="164"/>
    </row>
    <row r="10" spans="2:11" ht="15.75">
      <c r="B10" s="170">
        <v>3</v>
      </c>
      <c r="C10" s="186" t="s">
        <v>180</v>
      </c>
      <c r="D10" s="186"/>
      <c r="E10" s="98">
        <v>0</v>
      </c>
      <c r="F10" s="305">
        <v>0.5</v>
      </c>
      <c r="G10" s="139">
        <f t="shared" si="0"/>
        <v>1.5</v>
      </c>
      <c r="H10" s="139">
        <f t="shared" si="1"/>
        <v>3</v>
      </c>
      <c r="I10" s="139">
        <f t="shared" si="2"/>
        <v>1.5</v>
      </c>
      <c r="J10" s="162">
        <f>(1-Table13478911[[#This Row],[Hours Remain]]/Table13478911[[#This Row],[Total Hrs]])</f>
        <v>0</v>
      </c>
      <c r="K10" s="164"/>
    </row>
    <row r="11" spans="2:11" ht="15.75">
      <c r="B11" s="190">
        <v>3</v>
      </c>
      <c r="C11" s="188" t="s">
        <v>194</v>
      </c>
      <c r="D11" s="188"/>
      <c r="E11" s="304">
        <v>0</v>
      </c>
      <c r="F11" s="305">
        <v>1.25</v>
      </c>
      <c r="G11" s="139">
        <f t="shared" si="0"/>
        <v>3.75</v>
      </c>
      <c r="H11" s="139">
        <f t="shared" si="1"/>
        <v>3</v>
      </c>
      <c r="I11" s="139">
        <f t="shared" si="2"/>
        <v>3.75</v>
      </c>
      <c r="J11" s="162">
        <v>0</v>
      </c>
      <c r="K11" s="164"/>
    </row>
    <row r="12" spans="2:11" ht="15.75">
      <c r="B12" s="303"/>
      <c r="C12" s="95" t="s">
        <v>261</v>
      </c>
      <c r="D12" s="95"/>
      <c r="E12" s="304"/>
      <c r="F12" s="305"/>
      <c r="G12" s="305"/>
      <c r="H12" s="306"/>
      <c r="I12" s="305"/>
      <c r="J12" s="324"/>
      <c r="K12" s="164"/>
    </row>
    <row r="13" spans="2:11" ht="15.75">
      <c r="B13" s="170">
        <v>1</v>
      </c>
      <c r="C13" s="304" t="s">
        <v>182</v>
      </c>
      <c r="D13" s="304"/>
      <c r="E13" s="98">
        <v>0</v>
      </c>
      <c r="F13" s="305">
        <v>4</v>
      </c>
      <c r="G13" s="139">
        <f t="shared" si="0"/>
        <v>4</v>
      </c>
      <c r="H13" s="139">
        <f t="shared" si="1"/>
        <v>1</v>
      </c>
      <c r="I13" s="139">
        <f t="shared" si="2"/>
        <v>4</v>
      </c>
      <c r="J13" s="162">
        <f>(1-Table13478911[[#This Row],[Hours Remain]]/Table13478911[[#This Row],[Total Hrs]])</f>
        <v>0</v>
      </c>
      <c r="K13" s="164"/>
    </row>
    <row r="14" spans="2:11" ht="15.75">
      <c r="B14" s="170">
        <v>3</v>
      </c>
      <c r="C14" s="186" t="s">
        <v>173</v>
      </c>
      <c r="D14" s="186"/>
      <c r="E14" s="98">
        <v>0</v>
      </c>
      <c r="F14" s="305">
        <v>3</v>
      </c>
      <c r="G14" s="139">
        <f t="shared" si="0"/>
        <v>9</v>
      </c>
      <c r="H14" s="139">
        <f t="shared" si="1"/>
        <v>3</v>
      </c>
      <c r="I14" s="139">
        <f t="shared" si="2"/>
        <v>9</v>
      </c>
      <c r="J14" s="162">
        <f>(1-Table13478911[[#This Row],[Hours Remain]]/Table13478911[[#This Row],[Total Hrs]])</f>
        <v>0</v>
      </c>
      <c r="K14" s="164"/>
    </row>
    <row r="15" spans="2:11" ht="15.75">
      <c r="B15" s="303"/>
      <c r="C15" s="95" t="s">
        <v>259</v>
      </c>
      <c r="D15" s="95"/>
      <c r="E15" s="304"/>
      <c r="F15" s="305"/>
      <c r="G15" s="305"/>
      <c r="H15" s="306"/>
      <c r="I15" s="305"/>
      <c r="J15" s="324"/>
      <c r="K15" s="164"/>
    </row>
    <row r="16" spans="2:11" ht="15.75">
      <c r="B16" s="170">
        <v>2</v>
      </c>
      <c r="C16" s="186" t="s">
        <v>175</v>
      </c>
      <c r="D16" s="186"/>
      <c r="E16" s="98">
        <v>2</v>
      </c>
      <c r="F16" s="305">
        <v>4</v>
      </c>
      <c r="G16" s="139">
        <f t="shared" si="0"/>
        <v>8</v>
      </c>
      <c r="H16" s="139">
        <f t="shared" si="1"/>
        <v>0</v>
      </c>
      <c r="I16" s="139">
        <f t="shared" si="2"/>
        <v>0</v>
      </c>
      <c r="J16" s="162">
        <f>(1-Table13478911[[#This Row],[Hours Remain]]/Table13478911[[#This Row],[Total Hrs]])</f>
        <v>1</v>
      </c>
      <c r="K16" s="164"/>
    </row>
    <row r="17" spans="2:11" ht="15.75">
      <c r="B17" s="170">
        <v>1</v>
      </c>
      <c r="C17" s="273" t="s">
        <v>255</v>
      </c>
      <c r="D17" s="273"/>
      <c r="E17" s="98">
        <v>0</v>
      </c>
      <c r="F17" s="305">
        <v>4</v>
      </c>
      <c r="G17" s="139">
        <f t="shared" si="0"/>
        <v>4</v>
      </c>
      <c r="H17" s="139">
        <f t="shared" si="1"/>
        <v>1</v>
      </c>
      <c r="I17" s="139">
        <f t="shared" si="2"/>
        <v>4</v>
      </c>
      <c r="J17" s="162">
        <f>(1-Table13478911[[#This Row],[Hours Remain]]/Table13478911[[#This Row],[Total Hrs]])</f>
        <v>0</v>
      </c>
      <c r="K17" s="164"/>
    </row>
    <row r="18" spans="2:11" ht="15.75">
      <c r="B18" s="170">
        <v>10</v>
      </c>
      <c r="C18" s="186" t="s">
        <v>179</v>
      </c>
      <c r="D18" s="186"/>
      <c r="E18" s="98">
        <v>0</v>
      </c>
      <c r="F18" s="305">
        <v>1</v>
      </c>
      <c r="G18" s="139">
        <f t="shared" si="0"/>
        <v>10</v>
      </c>
      <c r="H18" s="139">
        <f t="shared" si="1"/>
        <v>10</v>
      </c>
      <c r="I18" s="139">
        <f t="shared" si="2"/>
        <v>10</v>
      </c>
      <c r="J18" s="162">
        <f>(1-Table13478911[[#This Row],[Hours Remain]]/Table13478911[[#This Row],[Total Hrs]])</f>
        <v>0</v>
      </c>
      <c r="K18" s="164"/>
    </row>
    <row r="19" spans="2:11" ht="15.75">
      <c r="B19" s="181">
        <v>2</v>
      </c>
      <c r="C19" s="187" t="s">
        <v>180</v>
      </c>
      <c r="D19" s="187"/>
      <c r="E19" s="98">
        <v>0</v>
      </c>
      <c r="F19" s="305">
        <v>0.5</v>
      </c>
      <c r="G19" s="139">
        <f t="shared" si="0"/>
        <v>1</v>
      </c>
      <c r="H19" s="139">
        <f t="shared" si="1"/>
        <v>2</v>
      </c>
      <c r="I19" s="139">
        <f t="shared" si="2"/>
        <v>1</v>
      </c>
      <c r="J19" s="162">
        <f>(1-Table13478911[[#This Row],[Hours Remain]]/Table13478911[[#This Row],[Total Hrs]])</f>
        <v>0</v>
      </c>
      <c r="K19" s="164"/>
    </row>
    <row r="20" spans="2:11" ht="15.75">
      <c r="B20" s="190">
        <v>1</v>
      </c>
      <c r="C20" s="188" t="s">
        <v>194</v>
      </c>
      <c r="D20" s="188"/>
      <c r="E20" s="304">
        <v>0</v>
      </c>
      <c r="F20" s="305">
        <v>1.25</v>
      </c>
      <c r="G20" s="139">
        <f t="shared" si="0"/>
        <v>1.25</v>
      </c>
      <c r="H20" s="139">
        <f t="shared" si="1"/>
        <v>1</v>
      </c>
      <c r="I20" s="139">
        <f t="shared" si="2"/>
        <v>1.25</v>
      </c>
      <c r="J20" s="324">
        <v>0</v>
      </c>
      <c r="K20" s="164"/>
    </row>
    <row r="21" spans="2:11" ht="15.75">
      <c r="B21" s="303"/>
      <c r="C21" s="95" t="s">
        <v>260</v>
      </c>
      <c r="D21" s="95"/>
      <c r="E21" s="304"/>
      <c r="F21" s="305"/>
      <c r="G21" s="305"/>
      <c r="H21" s="306"/>
      <c r="I21" s="305"/>
      <c r="J21" s="324"/>
      <c r="K21" s="164"/>
    </row>
    <row r="22" spans="2:11" ht="15.75">
      <c r="B22" s="179">
        <v>1</v>
      </c>
      <c r="C22" s="308" t="s">
        <v>183</v>
      </c>
      <c r="D22" s="308"/>
      <c r="E22" s="98">
        <v>0</v>
      </c>
      <c r="F22" s="305">
        <v>4</v>
      </c>
      <c r="G22" s="139">
        <f t="shared" si="0"/>
        <v>4</v>
      </c>
      <c r="H22" s="139">
        <f t="shared" si="1"/>
        <v>1</v>
      </c>
      <c r="I22" s="139">
        <f t="shared" si="2"/>
        <v>4</v>
      </c>
      <c r="J22" s="162">
        <f>(1-Table13478911[[#This Row],[Hours Remain]]/Table13478911[[#This Row],[Total Hrs]])</f>
        <v>0</v>
      </c>
      <c r="K22" s="164"/>
    </row>
    <row r="23" spans="2:11" ht="15.75">
      <c r="B23" s="179">
        <v>3</v>
      </c>
      <c r="C23" s="188" t="s">
        <v>175</v>
      </c>
      <c r="D23" s="188"/>
      <c r="E23" s="98">
        <v>0</v>
      </c>
      <c r="F23" s="305">
        <v>4</v>
      </c>
      <c r="G23" s="139">
        <f t="shared" si="0"/>
        <v>12</v>
      </c>
      <c r="H23" s="139">
        <f t="shared" si="1"/>
        <v>3</v>
      </c>
      <c r="I23" s="139">
        <f t="shared" si="2"/>
        <v>12</v>
      </c>
      <c r="J23" s="162">
        <f>(1-Table13478911[[#This Row],[Hours Remain]]/Table13478911[[#This Row],[Total Hrs]])</f>
        <v>0</v>
      </c>
      <c r="K23" s="164"/>
    </row>
    <row r="24" spans="2:11" ht="15.75">
      <c r="B24" s="179">
        <v>8</v>
      </c>
      <c r="C24" s="188" t="s">
        <v>179</v>
      </c>
      <c r="D24" s="188"/>
      <c r="E24" s="98">
        <v>0</v>
      </c>
      <c r="F24" s="305">
        <v>1</v>
      </c>
      <c r="G24" s="139">
        <f t="shared" si="0"/>
        <v>8</v>
      </c>
      <c r="H24" s="139">
        <f t="shared" si="1"/>
        <v>8</v>
      </c>
      <c r="I24" s="139">
        <f t="shared" si="2"/>
        <v>8</v>
      </c>
      <c r="J24" s="162">
        <f>(1-Table13478911[[#This Row],[Hours Remain]]/Table13478911[[#This Row],[Total Hrs]])</f>
        <v>0</v>
      </c>
      <c r="K24" s="164"/>
    </row>
    <row r="25" spans="2:11" ht="15.75">
      <c r="B25" s="179">
        <v>3</v>
      </c>
      <c r="C25" s="188" t="s">
        <v>180</v>
      </c>
      <c r="D25" s="188"/>
      <c r="E25" s="98">
        <v>0</v>
      </c>
      <c r="F25" s="305">
        <v>0.5</v>
      </c>
      <c r="G25" s="139">
        <f t="shared" si="0"/>
        <v>1.5</v>
      </c>
      <c r="H25" s="139">
        <f t="shared" si="1"/>
        <v>3</v>
      </c>
      <c r="I25" s="139">
        <f t="shared" si="2"/>
        <v>1.5</v>
      </c>
      <c r="J25" s="162">
        <f>(1-Table13478911[[#This Row],[Hours Remain]]/Table13478911[[#This Row],[Total Hrs]])</f>
        <v>0</v>
      </c>
      <c r="K25" s="164"/>
    </row>
    <row r="26" spans="2:11" ht="15.75">
      <c r="B26" s="174"/>
      <c r="C26" s="171"/>
      <c r="D26" s="171"/>
      <c r="E26" s="98"/>
      <c r="F26" s="172"/>
      <c r="G26" s="172"/>
      <c r="H26" s="176"/>
      <c r="I26" s="177"/>
      <c r="J26" s="182"/>
      <c r="K26" s="133"/>
    </row>
    <row r="27" spans="2:11">
      <c r="B27" s="178">
        <f>SUM(B4:B25)</f>
        <v>56</v>
      </c>
      <c r="C27" s="84" t="s">
        <v>81</v>
      </c>
      <c r="D27" s="84"/>
      <c r="E27" s="257">
        <f>SUM(Table13478911[QTY   Complete])</f>
        <v>3</v>
      </c>
      <c r="F27" s="258"/>
      <c r="G27" s="254">
        <f>SUM(Table13478911[Total Hrs])</f>
        <v>101</v>
      </c>
      <c r="H27" s="85">
        <f>B27-E27</f>
        <v>53</v>
      </c>
      <c r="I27" s="94">
        <f>SUM(Table13478911[Hours Remain])</f>
        <v>89</v>
      </c>
      <c r="J27" s="90">
        <f>(1-(I27/G27))</f>
        <v>0.11881188118811881</v>
      </c>
      <c r="K27" s="86"/>
    </row>
    <row r="30" spans="2:11">
      <c r="K30" s="189" t="s">
        <v>198</v>
      </c>
    </row>
    <row r="31" spans="2:11" ht="18.75">
      <c r="C31" s="251" t="s">
        <v>247</v>
      </c>
      <c r="D31" s="251"/>
    </row>
    <row r="32" spans="2:11" ht="18.75">
      <c r="C32" s="251" t="s">
        <v>248</v>
      </c>
      <c r="D32" s="251"/>
    </row>
    <row r="33" spans="3:4" ht="18.75">
      <c r="C33" s="251" t="s">
        <v>295</v>
      </c>
      <c r="D33" s="251"/>
    </row>
  </sheetData>
  <mergeCells count="1">
    <mergeCell ref="C1:K1"/>
  </mergeCells>
  <conditionalFormatting sqref="J4:J26">
    <cfRule type="dataBar" priority="1">
      <dataBar>
        <cfvo type="num" val="0"/>
        <cfvo type="num" val="1"/>
        <color theme="0" tint="-0.249977111117893"/>
      </dataBar>
      <extLst>
        <ext xmlns:x14="http://schemas.microsoft.com/office/spreadsheetml/2009/9/main" uri="{B025F937-C7B1-47D3-B67F-A62EFF666E3E}">
          <x14:id>{29666FE4-2D72-4BD7-80D7-A6F004E42557}</x14:id>
        </ext>
      </extLst>
    </cfRule>
  </conditionalFormatting>
  <conditionalFormatting sqref="J27">
    <cfRule type="colorScale" priority="2">
      <colorScale>
        <cfvo type="num" val="0"/>
        <cfvo type="num" val="1"/>
        <color rgb="FF0C5485"/>
        <color theme="3" tint="0.79998168889431442"/>
      </colorScale>
    </cfRule>
  </conditionalFormatting>
  <pageMargins left="0.7" right="0.7" top="0.75" bottom="0.75" header="0.3" footer="0.3"/>
  <pageSetup scale="75"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29666FE4-2D72-4BD7-80D7-A6F004E42557}">
            <x14:dataBar minLength="0" maxLength="100" gradient="0">
              <x14:cfvo type="num">
                <xm:f>0</xm:f>
              </x14:cfvo>
              <x14:cfvo type="num">
                <xm:f>1</xm:f>
              </x14:cfvo>
              <x14:negativeFillColor rgb="FFFF0000"/>
              <x14:axisColor rgb="FF000000"/>
            </x14:dataBar>
          </x14:cfRule>
          <xm:sqref>J4:J26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22A9-50C1-417F-8BA5-77D7D21C366F}">
  <sheetPr codeName="Sheet3">
    <tabColor theme="0" tint="-0.14999847407452621"/>
    <pageSetUpPr fitToPage="1"/>
  </sheetPr>
  <dimension ref="B1:J22"/>
  <sheetViews>
    <sheetView zoomScale="130" zoomScaleNormal="130" workbookViewId="0">
      <selection activeCell="C3" sqref="C3"/>
    </sheetView>
  </sheetViews>
  <sheetFormatPr defaultColWidth="10" defaultRowHeight="15"/>
  <cols>
    <col min="1" max="1" width="3.42578125" style="76" customWidth="1"/>
    <col min="2" max="2" width="9.28515625" style="76" customWidth="1"/>
    <col min="3" max="3" width="56.140625" style="76" customWidth="1"/>
    <col min="4" max="4" width="15.5703125" style="81" customWidth="1"/>
    <col min="5" max="5" width="9.85546875" style="76" customWidth="1"/>
    <col min="6" max="6" width="10.5703125" style="76" customWidth="1"/>
    <col min="7" max="7" width="13.5703125" style="81" customWidth="1"/>
    <col min="8" max="8" width="14.5703125" style="81" customWidth="1"/>
    <col min="9" max="9" width="10" style="81" customWidth="1"/>
    <col min="10" max="10" width="59.42578125" style="76" bestFit="1" customWidth="1"/>
    <col min="11" max="11" width="10" style="76" customWidth="1"/>
    <col min="12" max="16384" width="10" style="76"/>
  </cols>
  <sheetData>
    <row r="1" spans="2:10" ht="99" customHeight="1">
      <c r="B1" s="83"/>
      <c r="C1" s="442" t="s">
        <v>270</v>
      </c>
      <c r="D1" s="442"/>
      <c r="E1" s="442"/>
      <c r="F1" s="442"/>
      <c r="G1" s="442"/>
      <c r="H1" s="442"/>
      <c r="I1" s="442"/>
      <c r="J1" s="443"/>
    </row>
    <row r="2" spans="2:10" s="78" customFormat="1" ht="30" customHeight="1" thickBot="1">
      <c r="B2" s="87" t="s">
        <v>74</v>
      </c>
      <c r="C2" s="88" t="s">
        <v>0</v>
      </c>
      <c r="D2" s="97" t="s">
        <v>75</v>
      </c>
      <c r="E2" s="159" t="s">
        <v>76</v>
      </c>
      <c r="F2" s="159" t="s">
        <v>77</v>
      </c>
      <c r="G2" s="97" t="s">
        <v>78</v>
      </c>
      <c r="H2" s="160" t="s">
        <v>79</v>
      </c>
      <c r="I2" s="161" t="s">
        <v>60</v>
      </c>
      <c r="J2" s="161" t="s">
        <v>80</v>
      </c>
    </row>
    <row r="3" spans="2:10" s="78" customFormat="1" ht="17.850000000000001" customHeight="1">
      <c r="B3" s="272"/>
      <c r="C3" s="95" t="s">
        <v>253</v>
      </c>
      <c r="D3" s="273"/>
      <c r="E3" s="274"/>
      <c r="F3" s="274"/>
      <c r="G3" s="275"/>
      <c r="H3" s="274"/>
      <c r="I3" s="183"/>
      <c r="J3" s="276"/>
    </row>
    <row r="4" spans="2:10" s="78" customFormat="1" ht="15.75">
      <c r="B4" s="180">
        <v>2</v>
      </c>
      <c r="C4" s="184" t="s">
        <v>185</v>
      </c>
      <c r="D4" s="98">
        <v>0</v>
      </c>
      <c r="E4" s="139">
        <v>4</v>
      </c>
      <c r="F4" s="139">
        <f>B4*E4</f>
        <v>8</v>
      </c>
      <c r="G4" s="139">
        <f>B4-D4</f>
        <v>2</v>
      </c>
      <c r="H4" s="139">
        <f>G4*E4</f>
        <v>8</v>
      </c>
      <c r="I4" s="162">
        <f>(1-Table134789118[[#This Row],[Hours Remain]]/Table134789118[[#This Row],[Total Hrs]])</f>
        <v>0</v>
      </c>
      <c r="J4" s="163"/>
    </row>
    <row r="5" spans="2:10" ht="15.75">
      <c r="B5" s="170">
        <v>2</v>
      </c>
      <c r="C5" s="171" t="s">
        <v>186</v>
      </c>
      <c r="D5" s="98">
        <v>0</v>
      </c>
      <c r="E5" s="173">
        <v>4</v>
      </c>
      <c r="F5" s="139">
        <f t="shared" ref="F5:F13" si="0">B5*E5</f>
        <v>8</v>
      </c>
      <c r="G5" s="139">
        <f t="shared" ref="G5:G13" si="1">B5-D5</f>
        <v>2</v>
      </c>
      <c r="H5" s="139">
        <f t="shared" ref="H5:H13" si="2">G5*E5</f>
        <v>8</v>
      </c>
      <c r="I5" s="162">
        <f>(1-Table134789118[[#This Row],[Hours Remain]]/Table134789118[[#This Row],[Total Hrs]])</f>
        <v>0</v>
      </c>
      <c r="J5" s="164"/>
    </row>
    <row r="6" spans="2:10" ht="15.75">
      <c r="B6" s="170">
        <v>8</v>
      </c>
      <c r="C6" s="171" t="s">
        <v>173</v>
      </c>
      <c r="D6" s="98">
        <v>0</v>
      </c>
      <c r="E6" s="173">
        <v>3</v>
      </c>
      <c r="F6" s="139">
        <f t="shared" si="0"/>
        <v>24</v>
      </c>
      <c r="G6" s="139">
        <f t="shared" si="1"/>
        <v>8</v>
      </c>
      <c r="H6" s="139">
        <f t="shared" si="2"/>
        <v>24</v>
      </c>
      <c r="I6" s="162">
        <f>(1-Table134789118[[#This Row],[Hours Remain]]/Table134789118[[#This Row],[Total Hrs]])</f>
        <v>0</v>
      </c>
      <c r="J6" s="164"/>
    </row>
    <row r="7" spans="2:10" ht="15.75">
      <c r="B7" s="170">
        <v>2</v>
      </c>
      <c r="C7" s="171" t="s">
        <v>187</v>
      </c>
      <c r="D7" s="98">
        <v>0</v>
      </c>
      <c r="E7" s="173">
        <v>4</v>
      </c>
      <c r="F7" s="139">
        <f t="shared" si="0"/>
        <v>8</v>
      </c>
      <c r="G7" s="139">
        <f t="shared" si="1"/>
        <v>2</v>
      </c>
      <c r="H7" s="139">
        <f t="shared" si="2"/>
        <v>8</v>
      </c>
      <c r="I7" s="162">
        <f>(1-Table134789118[[#This Row],[Hours Remain]]/Table134789118[[#This Row],[Total Hrs]])</f>
        <v>0</v>
      </c>
      <c r="J7" s="165"/>
    </row>
    <row r="8" spans="2:10" ht="15.75">
      <c r="B8" s="170">
        <v>1</v>
      </c>
      <c r="C8" s="273" t="s">
        <v>179</v>
      </c>
      <c r="D8" s="98">
        <v>0</v>
      </c>
      <c r="E8" s="173">
        <v>1</v>
      </c>
      <c r="F8" s="139">
        <f t="shared" si="0"/>
        <v>1</v>
      </c>
      <c r="G8" s="139">
        <f t="shared" si="1"/>
        <v>1</v>
      </c>
      <c r="H8" s="139">
        <f t="shared" si="2"/>
        <v>1</v>
      </c>
      <c r="I8" s="162">
        <f>(1-Table134789118[[#This Row],[Hours Remain]]/Table134789118[[#This Row],[Total Hrs]])</f>
        <v>0</v>
      </c>
      <c r="J8" s="164"/>
    </row>
    <row r="9" spans="2:10" ht="15.75">
      <c r="B9" s="272"/>
      <c r="C9" s="95" t="s">
        <v>254</v>
      </c>
      <c r="D9" s="273"/>
      <c r="E9" s="274"/>
      <c r="F9" s="274"/>
      <c r="G9" s="139"/>
      <c r="H9" s="274"/>
      <c r="I9" s="183"/>
      <c r="J9" s="164"/>
    </row>
    <row r="10" spans="2:10" ht="15.75">
      <c r="B10" s="278">
        <v>2</v>
      </c>
      <c r="C10" s="279" t="s">
        <v>199</v>
      </c>
      <c r="D10" s="280">
        <v>0</v>
      </c>
      <c r="E10" s="281">
        <v>4</v>
      </c>
      <c r="F10" s="277">
        <f t="shared" si="0"/>
        <v>8</v>
      </c>
      <c r="G10" s="277">
        <f t="shared" si="1"/>
        <v>2</v>
      </c>
      <c r="H10" s="277">
        <f t="shared" si="2"/>
        <v>8</v>
      </c>
      <c r="I10" s="282">
        <v>0</v>
      </c>
      <c r="J10" s="164"/>
    </row>
    <row r="11" spans="2:10" ht="15.75">
      <c r="B11" s="170">
        <v>2</v>
      </c>
      <c r="C11" s="171" t="s">
        <v>186</v>
      </c>
      <c r="D11" s="98">
        <v>0</v>
      </c>
      <c r="E11" s="173">
        <v>4</v>
      </c>
      <c r="F11" s="139">
        <f t="shared" si="0"/>
        <v>8</v>
      </c>
      <c r="G11" s="139">
        <f t="shared" si="1"/>
        <v>2</v>
      </c>
      <c r="H11" s="139">
        <f t="shared" si="2"/>
        <v>8</v>
      </c>
      <c r="I11" s="162">
        <f>(1-Table134789118[[#This Row],[Hours Remain]]/Table134789118[[#This Row],[Total Hrs]])</f>
        <v>0</v>
      </c>
      <c r="J11" s="164"/>
    </row>
    <row r="12" spans="2:10" ht="15.75">
      <c r="B12" s="170">
        <v>2</v>
      </c>
      <c r="C12" s="171" t="s">
        <v>173</v>
      </c>
      <c r="D12" s="98">
        <v>0</v>
      </c>
      <c r="E12" s="173">
        <v>3</v>
      </c>
      <c r="F12" s="139">
        <f t="shared" si="0"/>
        <v>6</v>
      </c>
      <c r="G12" s="139">
        <f t="shared" si="1"/>
        <v>2</v>
      </c>
      <c r="H12" s="139">
        <f t="shared" si="2"/>
        <v>6</v>
      </c>
      <c r="I12" s="162">
        <f>(1-Table134789118[[#This Row],[Hours Remain]]/Table134789118[[#This Row],[Total Hrs]])</f>
        <v>0</v>
      </c>
      <c r="J12" s="164"/>
    </row>
    <row r="13" spans="2:10" ht="15.75">
      <c r="B13" s="170">
        <v>28</v>
      </c>
      <c r="C13" s="171" t="s">
        <v>180</v>
      </c>
      <c r="D13" s="98">
        <v>0</v>
      </c>
      <c r="E13" s="173">
        <v>0.5</v>
      </c>
      <c r="F13" s="139">
        <f t="shared" si="0"/>
        <v>14</v>
      </c>
      <c r="G13" s="139">
        <f t="shared" si="1"/>
        <v>28</v>
      </c>
      <c r="H13" s="139">
        <f t="shared" si="2"/>
        <v>14</v>
      </c>
      <c r="I13" s="162">
        <f>(1-Table134789118[[#This Row],[Hours Remain]]/Table134789118[[#This Row],[Total Hrs]])</f>
        <v>0</v>
      </c>
      <c r="J13" s="164"/>
    </row>
    <row r="14" spans="2:10" ht="15.75">
      <c r="B14" s="174"/>
      <c r="C14" s="171"/>
      <c r="D14" s="98"/>
      <c r="E14" s="172"/>
      <c r="F14" s="172"/>
      <c r="G14" s="176"/>
      <c r="H14" s="177"/>
      <c r="I14" s="182"/>
      <c r="J14" s="133"/>
    </row>
    <row r="15" spans="2:10">
      <c r="B15" s="323">
        <f>SUM(B4:B13)</f>
        <v>49</v>
      </c>
      <c r="C15" s="84" t="s">
        <v>81</v>
      </c>
      <c r="D15" s="257">
        <f>SUM(Table134789118[QTY   Complete])</f>
        <v>0</v>
      </c>
      <c r="E15" s="254"/>
      <c r="F15" s="254">
        <f>SUM(Table134789118[Total Hrs])</f>
        <v>85</v>
      </c>
      <c r="G15" s="85">
        <f>B15-D15</f>
        <v>49</v>
      </c>
      <c r="H15" s="94">
        <f>SUM(Table134789118[Hours Remain])</f>
        <v>85</v>
      </c>
      <c r="I15" s="90">
        <f>(1-(H15/F15))</f>
        <v>0</v>
      </c>
      <c r="J15" s="86"/>
    </row>
    <row r="20" spans="3:3" ht="18.75">
      <c r="C20" s="251" t="s">
        <v>247</v>
      </c>
    </row>
    <row r="21" spans="3:3" ht="18.75">
      <c r="C21" s="251" t="s">
        <v>248</v>
      </c>
    </row>
    <row r="22" spans="3:3" ht="18.75">
      <c r="C22" s="251" t="s">
        <v>295</v>
      </c>
    </row>
  </sheetData>
  <mergeCells count="1">
    <mergeCell ref="C1:J1"/>
  </mergeCells>
  <conditionalFormatting sqref="I4:I14">
    <cfRule type="dataBar" priority="1">
      <dataBar>
        <cfvo type="num" val="0"/>
        <cfvo type="num" val="1"/>
        <color theme="0" tint="-0.249977111117893"/>
      </dataBar>
      <extLst>
        <ext xmlns:x14="http://schemas.microsoft.com/office/spreadsheetml/2009/9/main" uri="{B025F937-C7B1-47D3-B67F-A62EFF666E3E}">
          <x14:id>{74ED44ED-F5E5-4D2B-8DA8-88D23359868C}</x14:id>
        </ext>
      </extLst>
    </cfRule>
  </conditionalFormatting>
  <conditionalFormatting sqref="I15">
    <cfRule type="colorScale" priority="2">
      <colorScale>
        <cfvo type="num" val="0"/>
        <cfvo type="num" val="1"/>
        <color rgb="FF0C5485"/>
        <color theme="3" tint="0.79998168889431442"/>
      </colorScale>
    </cfRule>
  </conditionalFormatting>
  <pageMargins left="0.7" right="0.7" top="0.75" bottom="0.75" header="0.3" footer="0.3"/>
  <pageSetup scale="75"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74ED44ED-F5E5-4D2B-8DA8-88D23359868C}">
            <x14:dataBar minLength="0" maxLength="100" gradient="0">
              <x14:cfvo type="num">
                <xm:f>0</xm:f>
              </x14:cfvo>
              <x14:cfvo type="num">
                <xm:f>1</xm:f>
              </x14:cfvo>
              <x14:negativeFillColor rgb="FFFF0000"/>
              <x14:axisColor rgb="FF000000"/>
            </x14:dataBar>
          </x14:cfRule>
          <xm:sqref>I4:I14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6ECA-D0AD-4F13-9EB5-795F7B4B703F}">
  <sheetPr codeName="Sheet4">
    <tabColor theme="5" tint="0.59999389629810485"/>
    <pageSetUpPr fitToPage="1"/>
  </sheetPr>
  <dimension ref="B1:L48"/>
  <sheetViews>
    <sheetView zoomScale="85" zoomScaleNormal="85" workbookViewId="0">
      <selection activeCell="H16" sqref="H16"/>
    </sheetView>
  </sheetViews>
  <sheetFormatPr defaultColWidth="10" defaultRowHeight="15"/>
  <cols>
    <col min="1" max="1" width="3.42578125" style="76" customWidth="1"/>
    <col min="2" max="2" width="9.28515625" style="76" customWidth="1"/>
    <col min="3" max="3" width="56.140625" style="76" customWidth="1"/>
    <col min="4" max="4" width="16" style="76" customWidth="1"/>
    <col min="5" max="5" width="15.5703125" style="81" customWidth="1"/>
    <col min="6" max="6" width="9.85546875" style="76" customWidth="1"/>
    <col min="7" max="7" width="10.5703125" style="76" customWidth="1"/>
    <col min="8" max="8" width="13.5703125" style="81" customWidth="1"/>
    <col min="9" max="9" width="14.5703125" style="81" customWidth="1"/>
    <col min="10" max="10" width="10" style="81" customWidth="1"/>
    <col min="11" max="11" width="59.42578125" style="76" bestFit="1" customWidth="1"/>
    <col min="12" max="12" width="57.42578125" style="76" customWidth="1"/>
    <col min="13" max="13" width="10" style="76" customWidth="1"/>
    <col min="14" max="16384" width="10" style="76"/>
  </cols>
  <sheetData>
    <row r="1" spans="2:12" ht="99" customHeight="1">
      <c r="B1" s="83"/>
      <c r="C1" s="442" t="s">
        <v>273</v>
      </c>
      <c r="D1" s="442"/>
      <c r="E1" s="442"/>
      <c r="F1" s="442"/>
      <c r="G1" s="442"/>
      <c r="H1" s="442"/>
      <c r="I1" s="442"/>
      <c r="J1" s="442"/>
      <c r="K1" s="443"/>
      <c r="L1" s="175"/>
    </row>
    <row r="2" spans="2:12" s="78" customFormat="1" ht="30" customHeight="1" thickBot="1">
      <c r="B2" s="87" t="s">
        <v>74</v>
      </c>
      <c r="C2" s="88" t="s">
        <v>0</v>
      </c>
      <c r="D2" s="88" t="s">
        <v>275</v>
      </c>
      <c r="E2" s="88" t="s">
        <v>75</v>
      </c>
      <c r="F2" s="93" t="s">
        <v>76</v>
      </c>
      <c r="G2" s="93" t="s">
        <v>77</v>
      </c>
      <c r="H2" s="88" t="s">
        <v>78</v>
      </c>
      <c r="I2" s="91" t="s">
        <v>79</v>
      </c>
      <c r="J2" s="161" t="s">
        <v>60</v>
      </c>
      <c r="K2" s="89" t="s">
        <v>80</v>
      </c>
      <c r="L2" s="77"/>
    </row>
    <row r="3" spans="2:12" s="78" customFormat="1">
      <c r="B3" s="131">
        <v>7</v>
      </c>
      <c r="C3" s="185" t="s">
        <v>200</v>
      </c>
      <c r="D3" s="185" t="s">
        <v>296</v>
      </c>
      <c r="E3" s="307">
        <v>7</v>
      </c>
      <c r="F3" s="318">
        <v>3</v>
      </c>
      <c r="G3" s="318">
        <f>B3*F3</f>
        <v>21</v>
      </c>
      <c r="H3" s="319">
        <f t="shared" ref="H3:H8" si="0">B3-E3</f>
        <v>0</v>
      </c>
      <c r="I3" s="320">
        <f>H3*F3</f>
        <v>0</v>
      </c>
      <c r="J3" s="215">
        <f>(1-Table134789111213246[[#This Row],[Hours Remain]]/Table134789111213246[[#This Row],[Total Hrs]])</f>
        <v>1</v>
      </c>
      <c r="K3" s="92"/>
      <c r="L3" s="77"/>
    </row>
    <row r="4" spans="2:12">
      <c r="B4" s="170">
        <v>3</v>
      </c>
      <c r="C4" s="186" t="s">
        <v>192</v>
      </c>
      <c r="D4" s="186"/>
      <c r="E4" s="315">
        <v>0</v>
      </c>
      <c r="F4" s="317">
        <v>4</v>
      </c>
      <c r="G4" s="317">
        <f t="shared" ref="G4:G5" si="1">B4*F4</f>
        <v>12</v>
      </c>
      <c r="H4" s="305">
        <f t="shared" si="0"/>
        <v>3</v>
      </c>
      <c r="I4" s="320">
        <f t="shared" ref="I4:I6" si="2">H4*F4</f>
        <v>12</v>
      </c>
      <c r="J4" s="215">
        <f>(1-Table134789111213246[[#This Row],[Hours Remain]]/Table134789111213246[[#This Row],[Total Hrs]])</f>
        <v>0</v>
      </c>
      <c r="K4" s="95"/>
      <c r="L4" s="175"/>
    </row>
    <row r="5" spans="2:12">
      <c r="B5" s="170">
        <v>6</v>
      </c>
      <c r="C5" s="186" t="s">
        <v>193</v>
      </c>
      <c r="D5" s="186"/>
      <c r="E5" s="315">
        <v>0</v>
      </c>
      <c r="F5" s="317">
        <v>1</v>
      </c>
      <c r="G5" s="317">
        <f t="shared" si="1"/>
        <v>6</v>
      </c>
      <c r="H5" s="305">
        <f t="shared" si="0"/>
        <v>6</v>
      </c>
      <c r="I5" s="320">
        <f t="shared" si="2"/>
        <v>6</v>
      </c>
      <c r="J5" s="215">
        <f>(1-Table134789111213246[[#This Row],[Hours Remain]]/Table134789111213246[[#This Row],[Total Hrs]])</f>
        <v>0</v>
      </c>
      <c r="K5" s="95"/>
      <c r="L5" s="175"/>
    </row>
    <row r="6" spans="2:12">
      <c r="B6" s="170">
        <v>15</v>
      </c>
      <c r="C6" s="171" t="s">
        <v>180</v>
      </c>
      <c r="D6" s="171"/>
      <c r="E6" s="315">
        <v>0</v>
      </c>
      <c r="F6" s="317">
        <v>0.5</v>
      </c>
      <c r="G6" s="305">
        <f>B6*F6</f>
        <v>7.5</v>
      </c>
      <c r="H6" s="305">
        <f t="shared" si="0"/>
        <v>15</v>
      </c>
      <c r="I6" s="320">
        <f t="shared" si="2"/>
        <v>7.5</v>
      </c>
      <c r="J6" s="215">
        <f>(1-Table134789111213246[[#This Row],[Hours Remain]]/Table134789111213246[[#This Row],[Total Hrs]])</f>
        <v>0</v>
      </c>
      <c r="K6" s="109"/>
      <c r="L6" s="175"/>
    </row>
    <row r="7" spans="2:12">
      <c r="B7" s="190">
        <v>1</v>
      </c>
      <c r="C7" s="186" t="s">
        <v>195</v>
      </c>
      <c r="D7" s="186"/>
      <c r="E7" s="304">
        <v>0</v>
      </c>
      <c r="F7" s="305">
        <v>4</v>
      </c>
      <c r="G7" s="317">
        <f>B7*F7</f>
        <v>4</v>
      </c>
      <c r="H7" s="321">
        <f t="shared" si="0"/>
        <v>1</v>
      </c>
      <c r="I7" s="317">
        <f>H7*F7</f>
        <v>4</v>
      </c>
      <c r="J7" s="215">
        <f>(1-Table134789111213246[[#This Row],[Hours Remain]]/Table134789111213246[[#This Row],[Total Hrs]])</f>
        <v>0</v>
      </c>
      <c r="K7" s="109"/>
      <c r="L7" s="175"/>
    </row>
    <row r="8" spans="2:12">
      <c r="B8" s="190">
        <v>9</v>
      </c>
      <c r="C8" s="186" t="s">
        <v>196</v>
      </c>
      <c r="D8" s="186"/>
      <c r="E8" s="304">
        <v>0</v>
      </c>
      <c r="F8" s="305">
        <v>0.5</v>
      </c>
      <c r="G8" s="317">
        <f>B8*F8</f>
        <v>4.5</v>
      </c>
      <c r="H8" s="321">
        <f t="shared" si="0"/>
        <v>9</v>
      </c>
      <c r="I8" s="317">
        <f>H8*F8</f>
        <v>4.5</v>
      </c>
      <c r="J8" s="215">
        <f>(1-Table134789111213246[[#This Row],[Hours Remain]]/Table134789111213246[[#This Row],[Total Hrs]])</f>
        <v>0</v>
      </c>
      <c r="K8" s="109"/>
      <c r="L8" s="175"/>
    </row>
    <row r="9" spans="2:12">
      <c r="B9" s="190"/>
      <c r="C9" s="186"/>
      <c r="D9" s="186"/>
      <c r="E9" s="304"/>
      <c r="F9" s="305"/>
      <c r="G9" s="317"/>
      <c r="H9" s="321"/>
      <c r="I9" s="317"/>
      <c r="J9" s="215"/>
      <c r="K9" s="109"/>
      <c r="L9" s="175"/>
    </row>
    <row r="10" spans="2:12">
      <c r="B10" s="132">
        <v>9</v>
      </c>
      <c r="C10" s="209" t="s">
        <v>201</v>
      </c>
      <c r="D10" s="209" t="s">
        <v>297</v>
      </c>
      <c r="E10" s="315">
        <v>9</v>
      </c>
      <c r="F10" s="322">
        <v>3</v>
      </c>
      <c r="G10" s="322">
        <f>B10*F10</f>
        <v>27</v>
      </c>
      <c r="H10" s="319">
        <f>B10-E10</f>
        <v>0</v>
      </c>
      <c r="I10" s="320">
        <f>H10*F10</f>
        <v>0</v>
      </c>
      <c r="J10" s="215">
        <f>(1-Table134789111213246[[#This Row],[Hours Remain]]/Table134789111213246[[#This Row],[Total Hrs]])</f>
        <v>1</v>
      </c>
      <c r="K10" s="95"/>
      <c r="L10" s="175"/>
    </row>
    <row r="11" spans="2:12">
      <c r="B11" s="170">
        <v>3</v>
      </c>
      <c r="C11" s="186" t="s">
        <v>192</v>
      </c>
      <c r="D11" s="186"/>
      <c r="E11" s="315">
        <v>0</v>
      </c>
      <c r="F11" s="317">
        <v>4</v>
      </c>
      <c r="G11" s="322">
        <f t="shared" ref="G11:G13" si="3">B11*F11</f>
        <v>12</v>
      </c>
      <c r="H11" s="305">
        <f>B11-E11</f>
        <v>3</v>
      </c>
      <c r="I11" s="317">
        <f>H11*F11</f>
        <v>12</v>
      </c>
      <c r="J11" s="215">
        <f>(1-Table134789111213246[[#This Row],[Hours Remain]]/Table134789111213246[[#This Row],[Total Hrs]])</f>
        <v>0</v>
      </c>
      <c r="K11" s="95"/>
      <c r="L11" s="175"/>
    </row>
    <row r="12" spans="2:12">
      <c r="B12" s="170">
        <v>5</v>
      </c>
      <c r="C12" s="186" t="s">
        <v>193</v>
      </c>
      <c r="D12" s="333"/>
      <c r="E12" s="307">
        <v>0</v>
      </c>
      <c r="F12" s="317">
        <v>1</v>
      </c>
      <c r="G12" s="322">
        <f t="shared" si="3"/>
        <v>5</v>
      </c>
      <c r="H12" s="305">
        <f>B12-E12</f>
        <v>5</v>
      </c>
      <c r="I12" s="317">
        <f>H12*F12</f>
        <v>5</v>
      </c>
      <c r="J12" s="215">
        <f>(1-Table134789111213246[[#This Row],[Hours Remain]]/Table134789111213246[[#This Row],[Total Hrs]])</f>
        <v>0</v>
      </c>
      <c r="K12" s="95"/>
      <c r="L12" s="175"/>
    </row>
    <row r="13" spans="2:12">
      <c r="B13" s="190">
        <v>11</v>
      </c>
      <c r="C13" s="186" t="s">
        <v>180</v>
      </c>
      <c r="D13" s="186"/>
      <c r="E13" s="304">
        <v>0</v>
      </c>
      <c r="F13" s="305">
        <v>0.5</v>
      </c>
      <c r="G13" s="322">
        <f t="shared" si="3"/>
        <v>5.5</v>
      </c>
      <c r="H13" s="305">
        <f>B13-E13</f>
        <v>11</v>
      </c>
      <c r="I13" s="317">
        <f>H13*F13</f>
        <v>5.5</v>
      </c>
      <c r="J13" s="215">
        <f>(1-Table134789111213246[[#This Row],[Hours Remain]]/Table134789111213246[[#This Row],[Total Hrs]])</f>
        <v>0</v>
      </c>
      <c r="K13" s="95"/>
      <c r="L13" s="175"/>
    </row>
    <row r="14" spans="2:12">
      <c r="B14" s="303"/>
      <c r="C14" s="304"/>
      <c r="D14" s="304"/>
      <c r="E14" s="304"/>
      <c r="F14" s="305"/>
      <c r="G14" s="317"/>
      <c r="H14" s="305"/>
      <c r="I14" s="317"/>
      <c r="J14" s="215"/>
      <c r="K14" s="95"/>
      <c r="L14" s="175"/>
    </row>
    <row r="15" spans="2:12">
      <c r="B15" s="170">
        <v>4</v>
      </c>
      <c r="C15" s="164" t="s">
        <v>202</v>
      </c>
      <c r="D15" s="334" t="s">
        <v>298</v>
      </c>
      <c r="E15" s="307">
        <v>4</v>
      </c>
      <c r="F15" s="322">
        <v>3</v>
      </c>
      <c r="G15" s="322">
        <f>B15*F15</f>
        <v>12</v>
      </c>
      <c r="H15" s="319">
        <f>B15-E15</f>
        <v>0</v>
      </c>
      <c r="I15" s="320">
        <f>H15*F15</f>
        <v>0</v>
      </c>
      <c r="J15" s="215">
        <f>(1-Table134789111213246[[#This Row],[Hours Remain]]/Table134789111213246[[#This Row],[Total Hrs]])</f>
        <v>1</v>
      </c>
      <c r="K15" s="134"/>
      <c r="L15" s="175"/>
    </row>
    <row r="16" spans="2:12">
      <c r="B16" s="190">
        <v>1</v>
      </c>
      <c r="C16" s="186" t="s">
        <v>195</v>
      </c>
      <c r="D16" s="186"/>
      <c r="E16" s="304">
        <v>0</v>
      </c>
      <c r="F16" s="305">
        <v>4</v>
      </c>
      <c r="G16" s="322">
        <f t="shared" ref="G16" si="4">B16*F16</f>
        <v>4</v>
      </c>
      <c r="H16" s="319">
        <f t="shared" ref="H16" si="5">B16-E16</f>
        <v>1</v>
      </c>
      <c r="I16" s="320">
        <f t="shared" ref="I16" si="6">H16*F16</f>
        <v>4</v>
      </c>
      <c r="J16" s="215">
        <f>(1-Table134789111213246[[#This Row],[Hours Remain]]/Table134789111213246[[#This Row],[Total Hrs]])</f>
        <v>0</v>
      </c>
      <c r="K16" s="134"/>
      <c r="L16" s="175"/>
    </row>
    <row r="17" spans="2:12">
      <c r="B17" s="170"/>
      <c r="C17" s="171"/>
      <c r="D17" s="171"/>
      <c r="E17" s="315"/>
      <c r="F17" s="317"/>
      <c r="G17" s="305"/>
      <c r="H17" s="305"/>
      <c r="I17" s="317"/>
      <c r="J17" s="215"/>
      <c r="K17" s="136"/>
      <c r="L17" s="175"/>
    </row>
    <row r="18" spans="2:12">
      <c r="B18" s="170">
        <v>4</v>
      </c>
      <c r="C18" s="164" t="s">
        <v>203</v>
      </c>
      <c r="D18" s="164" t="s">
        <v>301</v>
      </c>
      <c r="E18" s="315">
        <v>4</v>
      </c>
      <c r="F18" s="322">
        <v>3</v>
      </c>
      <c r="G18" s="322">
        <f>B18*F18</f>
        <v>12</v>
      </c>
      <c r="H18" s="319">
        <f>B18-E18</f>
        <v>0</v>
      </c>
      <c r="I18" s="320">
        <f>H18*F18</f>
        <v>0</v>
      </c>
      <c r="J18" s="215">
        <f>(1-Table134789111213246[[#This Row],[Hours Remain]]/Table134789111213246[[#This Row],[Total Hrs]])</f>
        <v>1</v>
      </c>
      <c r="K18" s="135"/>
      <c r="L18" s="79"/>
    </row>
    <row r="19" spans="2:12">
      <c r="B19" s="170">
        <v>3</v>
      </c>
      <c r="C19" s="171" t="s">
        <v>193</v>
      </c>
      <c r="D19" s="171"/>
      <c r="E19" s="315">
        <v>0</v>
      </c>
      <c r="F19" s="317">
        <v>1</v>
      </c>
      <c r="G19" s="322">
        <f t="shared" ref="G19:G21" si="7">B19*F19</f>
        <v>3</v>
      </c>
      <c r="H19" s="319">
        <f t="shared" ref="H19:H21" si="8">B19-E19</f>
        <v>3</v>
      </c>
      <c r="I19" s="320">
        <f t="shared" ref="I19:I21" si="9">H19*F19</f>
        <v>3</v>
      </c>
      <c r="J19" s="215">
        <f>(1-Table134789111213246[[#This Row],[Hours Remain]]/Table134789111213246[[#This Row],[Total Hrs]])</f>
        <v>0</v>
      </c>
      <c r="K19" s="133"/>
      <c r="L19" s="175"/>
    </row>
    <row r="20" spans="2:12">
      <c r="B20" s="190">
        <v>1</v>
      </c>
      <c r="C20" s="186" t="s">
        <v>195</v>
      </c>
      <c r="D20" s="186"/>
      <c r="E20" s="304">
        <v>0</v>
      </c>
      <c r="F20" s="305">
        <v>4</v>
      </c>
      <c r="G20" s="322">
        <f t="shared" si="7"/>
        <v>4</v>
      </c>
      <c r="H20" s="319">
        <f t="shared" si="8"/>
        <v>1</v>
      </c>
      <c r="I20" s="320">
        <f t="shared" si="9"/>
        <v>4</v>
      </c>
      <c r="J20" s="215">
        <v>0</v>
      </c>
      <c r="K20" s="133"/>
      <c r="L20" s="175"/>
    </row>
    <row r="21" spans="2:12">
      <c r="B21" s="190">
        <v>5</v>
      </c>
      <c r="C21" s="186" t="s">
        <v>196</v>
      </c>
      <c r="D21" s="186"/>
      <c r="E21" s="304">
        <v>0</v>
      </c>
      <c r="F21" s="305">
        <v>0.5</v>
      </c>
      <c r="G21" s="322">
        <f t="shared" si="7"/>
        <v>2.5</v>
      </c>
      <c r="H21" s="319">
        <f t="shared" si="8"/>
        <v>5</v>
      </c>
      <c r="I21" s="320">
        <f t="shared" si="9"/>
        <v>2.5</v>
      </c>
      <c r="J21" s="215">
        <v>0</v>
      </c>
      <c r="K21" s="133"/>
      <c r="L21" s="175"/>
    </row>
    <row r="22" spans="2:12">
      <c r="B22" s="170"/>
      <c r="C22" s="171"/>
      <c r="D22" s="171"/>
      <c r="E22" s="315"/>
      <c r="F22" s="317"/>
      <c r="G22" s="305"/>
      <c r="H22" s="305"/>
      <c r="I22" s="317"/>
      <c r="J22" s="215"/>
      <c r="K22" s="135"/>
      <c r="L22" s="79"/>
    </row>
    <row r="23" spans="2:12">
      <c r="B23" s="170">
        <v>4</v>
      </c>
      <c r="C23" s="164" t="s">
        <v>204</v>
      </c>
      <c r="D23" s="334" t="s">
        <v>291</v>
      </c>
      <c r="E23" s="307">
        <v>4</v>
      </c>
      <c r="F23" s="322">
        <v>3</v>
      </c>
      <c r="G23" s="322">
        <f>B23*F23</f>
        <v>12</v>
      </c>
      <c r="H23" s="319">
        <f>B23-E23</f>
        <v>0</v>
      </c>
      <c r="I23" s="320">
        <f>H23*F23</f>
        <v>0</v>
      </c>
      <c r="J23" s="215">
        <f>(1-Table134789111213246[[#This Row],[Hours Remain]]/Table134789111213246[[#This Row],[Total Hrs]])</f>
        <v>1</v>
      </c>
      <c r="K23" s="133"/>
      <c r="L23" s="175"/>
    </row>
    <row r="24" spans="2:12">
      <c r="B24" s="170">
        <v>5</v>
      </c>
      <c r="C24" s="171" t="s">
        <v>193</v>
      </c>
      <c r="D24" s="171"/>
      <c r="E24" s="315">
        <v>0</v>
      </c>
      <c r="F24" s="317">
        <v>1</v>
      </c>
      <c r="G24" s="322">
        <f t="shared" ref="G24:G27" si="10">B24*F24</f>
        <v>5</v>
      </c>
      <c r="H24" s="319">
        <f t="shared" ref="H24:H27" si="11">B24-E24</f>
        <v>5</v>
      </c>
      <c r="I24" s="320">
        <f t="shared" ref="I24:I27" si="12">H24*F24</f>
        <v>5</v>
      </c>
      <c r="J24" s="215">
        <f>(1-Table134789111213246[[#This Row],[Hours Remain]]/Table134789111213246[[#This Row],[Total Hrs]])</f>
        <v>0</v>
      </c>
      <c r="K24" s="135"/>
      <c r="L24" s="175"/>
    </row>
    <row r="25" spans="2:12">
      <c r="B25" s="170">
        <v>1</v>
      </c>
      <c r="C25" s="171" t="s">
        <v>180</v>
      </c>
      <c r="D25" s="171"/>
      <c r="E25" s="315">
        <v>0</v>
      </c>
      <c r="F25" s="317">
        <v>0.5</v>
      </c>
      <c r="G25" s="322">
        <f t="shared" si="10"/>
        <v>0.5</v>
      </c>
      <c r="H25" s="319">
        <f t="shared" si="11"/>
        <v>1</v>
      </c>
      <c r="I25" s="320">
        <f t="shared" si="12"/>
        <v>0.5</v>
      </c>
      <c r="J25" s="215">
        <f>(1-Table134789111213246[[#This Row],[Hours Remain]]/Table134789111213246[[#This Row],[Total Hrs]])</f>
        <v>0</v>
      </c>
      <c r="K25" s="135"/>
      <c r="L25" s="79"/>
    </row>
    <row r="26" spans="2:12">
      <c r="B26" s="190">
        <v>1</v>
      </c>
      <c r="C26" s="186" t="s">
        <v>195</v>
      </c>
      <c r="D26" s="186"/>
      <c r="E26" s="304">
        <v>0</v>
      </c>
      <c r="F26" s="305">
        <v>4</v>
      </c>
      <c r="G26" s="322">
        <f t="shared" si="10"/>
        <v>4</v>
      </c>
      <c r="H26" s="319">
        <f t="shared" si="11"/>
        <v>1</v>
      </c>
      <c r="I26" s="320">
        <f t="shared" si="12"/>
        <v>4</v>
      </c>
      <c r="J26" s="215">
        <f>(1-Table134789111213246[[#This Row],[Hours Remain]]/Table134789111213246[[#This Row],[Total Hrs]])</f>
        <v>0</v>
      </c>
      <c r="K26" s="133"/>
      <c r="L26" s="79"/>
    </row>
    <row r="27" spans="2:12">
      <c r="B27" s="190">
        <v>23</v>
      </c>
      <c r="C27" s="186" t="s">
        <v>196</v>
      </c>
      <c r="D27" s="186"/>
      <c r="E27" s="304">
        <v>0</v>
      </c>
      <c r="F27" s="305">
        <v>0.5</v>
      </c>
      <c r="G27" s="322">
        <f t="shared" si="10"/>
        <v>11.5</v>
      </c>
      <c r="H27" s="319">
        <f t="shared" si="11"/>
        <v>23</v>
      </c>
      <c r="I27" s="320">
        <f t="shared" si="12"/>
        <v>11.5</v>
      </c>
      <c r="J27" s="215">
        <f>(1-Table134789111213246[[#This Row],[Hours Remain]]/Table134789111213246[[#This Row],[Total Hrs]])</f>
        <v>0</v>
      </c>
      <c r="K27" s="133"/>
      <c r="L27" s="79"/>
    </row>
    <row r="28" spans="2:12">
      <c r="B28" s="170"/>
      <c r="C28" s="171"/>
      <c r="D28" s="171"/>
      <c r="E28" s="315"/>
      <c r="F28" s="317"/>
      <c r="G28" s="305"/>
      <c r="H28" s="305"/>
      <c r="I28" s="317"/>
      <c r="J28" s="215"/>
      <c r="K28" s="133"/>
      <c r="L28" s="175"/>
    </row>
    <row r="29" spans="2:12">
      <c r="B29" s="170">
        <v>9</v>
      </c>
      <c r="C29" s="164" t="s">
        <v>205</v>
      </c>
      <c r="D29" s="164" t="s">
        <v>302</v>
      </c>
      <c r="E29" s="315">
        <v>9</v>
      </c>
      <c r="F29" s="322">
        <v>3</v>
      </c>
      <c r="G29" s="322">
        <f>B29*F29</f>
        <v>27</v>
      </c>
      <c r="H29" s="319">
        <f>B29-E29</f>
        <v>0</v>
      </c>
      <c r="I29" s="320">
        <f>H29*F29</f>
        <v>0</v>
      </c>
      <c r="J29" s="215">
        <f>(1-Table134789111213246[[#This Row],[Hours Remain]]/Table134789111213246[[#This Row],[Total Hrs]])</f>
        <v>1</v>
      </c>
      <c r="K29" s="137"/>
      <c r="L29" s="175"/>
    </row>
    <row r="30" spans="2:12">
      <c r="B30" s="170">
        <v>2</v>
      </c>
      <c r="C30" s="171" t="s">
        <v>192</v>
      </c>
      <c r="D30" s="171"/>
      <c r="E30" s="315">
        <v>0</v>
      </c>
      <c r="F30" s="317">
        <v>4</v>
      </c>
      <c r="G30" s="322">
        <f t="shared" ref="G30:G31" si="13">B30*F30</f>
        <v>8</v>
      </c>
      <c r="H30" s="319">
        <f t="shared" ref="H30:H31" si="14">B30-E30</f>
        <v>2</v>
      </c>
      <c r="I30" s="320">
        <f t="shared" ref="I30:I31" si="15">H30*F30</f>
        <v>8</v>
      </c>
      <c r="J30" s="215">
        <f>(1-Table134789111213246[[#This Row],[Hours Remain]]/Table134789111213246[[#This Row],[Total Hrs]])</f>
        <v>0</v>
      </c>
      <c r="K30" s="135"/>
      <c r="L30" s="79"/>
    </row>
    <row r="31" spans="2:12">
      <c r="B31" s="170">
        <v>11</v>
      </c>
      <c r="C31" s="171" t="s">
        <v>193</v>
      </c>
      <c r="D31" s="335"/>
      <c r="E31" s="307">
        <v>0</v>
      </c>
      <c r="F31" s="317">
        <v>1</v>
      </c>
      <c r="G31" s="322">
        <f t="shared" si="13"/>
        <v>11</v>
      </c>
      <c r="H31" s="319">
        <f t="shared" si="14"/>
        <v>11</v>
      </c>
      <c r="I31" s="320">
        <f t="shared" si="15"/>
        <v>11</v>
      </c>
      <c r="J31" s="215">
        <f>(1-Table134789111213246[[#This Row],[Hours Remain]]/Table134789111213246[[#This Row],[Total Hrs]])</f>
        <v>0</v>
      </c>
      <c r="K31" s="138"/>
      <c r="L31" s="175"/>
    </row>
    <row r="32" spans="2:12">
      <c r="B32" s="190">
        <v>8</v>
      </c>
      <c r="C32" s="186" t="s">
        <v>180</v>
      </c>
      <c r="D32" s="186"/>
      <c r="E32" s="304">
        <v>0</v>
      </c>
      <c r="F32" s="305">
        <v>0.5</v>
      </c>
      <c r="G32" s="317">
        <f>B32*F32</f>
        <v>4</v>
      </c>
      <c r="H32" s="319">
        <f>B32-E32</f>
        <v>8</v>
      </c>
      <c r="I32" s="317">
        <f>H32*F32</f>
        <v>4</v>
      </c>
      <c r="J32" s="215">
        <f>(1-Table134789111213246[[#This Row],[Hours Remain]]/Table134789111213246[[#This Row],[Total Hrs]])</f>
        <v>0</v>
      </c>
      <c r="K32" s="138"/>
      <c r="L32" s="175"/>
    </row>
    <row r="33" spans="2:12">
      <c r="B33" s="190">
        <v>2</v>
      </c>
      <c r="C33" s="186" t="s">
        <v>194</v>
      </c>
      <c r="D33" s="186"/>
      <c r="E33" s="304">
        <v>0</v>
      </c>
      <c r="F33" s="305">
        <v>1.25</v>
      </c>
      <c r="G33" s="317">
        <f>B33*F33</f>
        <v>2.5</v>
      </c>
      <c r="H33" s="319">
        <f>B33-E33</f>
        <v>2</v>
      </c>
      <c r="I33" s="317">
        <f>H33*F33</f>
        <v>2.5</v>
      </c>
      <c r="J33" s="215">
        <f>(1-Table134789111213246[[#This Row],[Hours Remain]]/Table134789111213246[[#This Row],[Total Hrs]])</f>
        <v>0</v>
      </c>
      <c r="K33" s="138"/>
      <c r="L33" s="175"/>
    </row>
    <row r="34" spans="2:12">
      <c r="B34" s="170"/>
      <c r="C34" s="171"/>
      <c r="D34" s="171"/>
      <c r="E34" s="315"/>
      <c r="F34" s="317"/>
      <c r="G34" s="305"/>
      <c r="H34" s="305"/>
      <c r="I34" s="317"/>
      <c r="J34" s="215"/>
      <c r="K34" s="135"/>
      <c r="L34" s="175"/>
    </row>
    <row r="35" spans="2:12">
      <c r="B35" s="170">
        <v>9</v>
      </c>
      <c r="C35" s="164" t="s">
        <v>206</v>
      </c>
      <c r="D35" s="334" t="s">
        <v>300</v>
      </c>
      <c r="E35" s="307">
        <v>9</v>
      </c>
      <c r="F35" s="322">
        <v>3</v>
      </c>
      <c r="G35" s="322">
        <f>B35*F35</f>
        <v>27</v>
      </c>
      <c r="H35" s="319">
        <f>B35-E35</f>
        <v>0</v>
      </c>
      <c r="I35" s="320">
        <f>H35*F35</f>
        <v>0</v>
      </c>
      <c r="J35" s="215">
        <f>(1-Table134789111213246[[#This Row],[Hours Remain]]/Table134789111213246[[#This Row],[Total Hrs]])</f>
        <v>1</v>
      </c>
      <c r="K35" s="135"/>
      <c r="L35" s="79"/>
    </row>
    <row r="36" spans="2:12">
      <c r="B36" s="170">
        <v>3</v>
      </c>
      <c r="C36" s="171" t="s">
        <v>192</v>
      </c>
      <c r="D36" s="171"/>
      <c r="E36" s="315">
        <v>0</v>
      </c>
      <c r="F36" s="317">
        <v>4</v>
      </c>
      <c r="G36" s="317">
        <f t="shared" ref="G36:G37" si="16">B36*F36</f>
        <v>12</v>
      </c>
      <c r="H36" s="305">
        <f>B36-E36</f>
        <v>3</v>
      </c>
      <c r="I36" s="317">
        <f>H36*F36</f>
        <v>12</v>
      </c>
      <c r="J36" s="215">
        <f>(1-Table134789111213246[[#This Row],[Hours Remain]]/Table134789111213246[[#This Row],[Total Hrs]])</f>
        <v>0</v>
      </c>
      <c r="K36" s="133"/>
      <c r="L36" s="175"/>
    </row>
    <row r="37" spans="2:12">
      <c r="B37" s="170">
        <v>19</v>
      </c>
      <c r="C37" s="171" t="s">
        <v>193</v>
      </c>
      <c r="D37" s="171"/>
      <c r="E37" s="315">
        <v>0</v>
      </c>
      <c r="F37" s="317">
        <v>1</v>
      </c>
      <c r="G37" s="317">
        <f t="shared" si="16"/>
        <v>19</v>
      </c>
      <c r="H37" s="305">
        <f>B37-E37</f>
        <v>19</v>
      </c>
      <c r="I37" s="317">
        <f>H37*F37</f>
        <v>19</v>
      </c>
      <c r="J37" s="215">
        <f>(1-Table134789111213246[[#This Row],[Hours Remain]]/Table134789111213246[[#This Row],[Total Hrs]])</f>
        <v>0</v>
      </c>
      <c r="K37" s="135"/>
      <c r="L37" s="175"/>
    </row>
    <row r="38" spans="2:12">
      <c r="B38" s="190">
        <v>3</v>
      </c>
      <c r="C38" s="186" t="s">
        <v>180</v>
      </c>
      <c r="D38" s="186"/>
      <c r="E38" s="304">
        <v>0</v>
      </c>
      <c r="F38" s="305">
        <v>0.5</v>
      </c>
      <c r="G38" s="317">
        <f>B38*F38</f>
        <v>1.5</v>
      </c>
      <c r="H38" s="305">
        <f>B38-E38</f>
        <v>3</v>
      </c>
      <c r="I38" s="317">
        <f>H38*F38</f>
        <v>1.5</v>
      </c>
      <c r="J38" s="215">
        <f>(1-Table134789111213246[[#This Row],[Hours Remain]]/Table134789111213246[[#This Row],[Total Hrs]])</f>
        <v>0</v>
      </c>
      <c r="K38" s="135"/>
      <c r="L38" s="175"/>
    </row>
    <row r="39" spans="2:12">
      <c r="B39" s="190">
        <v>4</v>
      </c>
      <c r="C39" s="186" t="s">
        <v>194</v>
      </c>
      <c r="D39" s="186"/>
      <c r="E39" s="304">
        <v>0</v>
      </c>
      <c r="F39" s="305">
        <v>1.25</v>
      </c>
      <c r="G39" s="317">
        <f>B39*F39</f>
        <v>5</v>
      </c>
      <c r="H39" s="305">
        <f>B39-E39</f>
        <v>4</v>
      </c>
      <c r="I39" s="317">
        <f>H39*F39</f>
        <v>5</v>
      </c>
      <c r="J39" s="215">
        <f>(1-Table134789111213246[[#This Row],[Hours Remain]]/Table134789111213246[[#This Row],[Total Hrs]])</f>
        <v>0</v>
      </c>
      <c r="K39" s="135"/>
      <c r="L39" s="175"/>
    </row>
    <row r="40" spans="2:12">
      <c r="B40" s="170"/>
      <c r="C40" s="171"/>
      <c r="D40" s="171"/>
      <c r="E40" s="315"/>
      <c r="F40" s="317"/>
      <c r="G40" s="305"/>
      <c r="H40" s="305"/>
      <c r="I40" s="317"/>
      <c r="J40" s="215"/>
      <c r="K40" s="135"/>
      <c r="L40" s="79"/>
    </row>
    <row r="41" spans="2:12" s="80" customFormat="1">
      <c r="B41" s="252">
        <f>SUM(B3:B40)</f>
        <v>191</v>
      </c>
      <c r="C41" s="84" t="s">
        <v>81</v>
      </c>
      <c r="D41" s="84"/>
      <c r="E41" s="85">
        <f>SUM(E3:E40)</f>
        <v>46</v>
      </c>
      <c r="F41" s="256">
        <f>SUM(F3:F40)</f>
        <v>65.5</v>
      </c>
      <c r="G41" s="84">
        <f>SUM(G3:G39)</f>
        <v>292</v>
      </c>
      <c r="H41" s="85">
        <f>B41-E41</f>
        <v>145</v>
      </c>
      <c r="I41" s="94">
        <f>SUM(I3:I40)</f>
        <v>154</v>
      </c>
      <c r="J41" s="227">
        <f>(1-(I41/G41))</f>
        <v>0.4726027397260274</v>
      </c>
      <c r="K41" s="86"/>
    </row>
    <row r="46" spans="2:12" ht="18.75">
      <c r="C46" s="251" t="s">
        <v>247</v>
      </c>
      <c r="D46" s="251"/>
    </row>
    <row r="47" spans="2:12" ht="18.75">
      <c r="C47" s="251" t="s">
        <v>248</v>
      </c>
      <c r="D47" s="251"/>
    </row>
    <row r="48" spans="2:12" ht="18.75">
      <c r="C48" s="251" t="s">
        <v>295</v>
      </c>
      <c r="D48" s="251"/>
    </row>
  </sheetData>
  <mergeCells count="1">
    <mergeCell ref="C1:K1"/>
  </mergeCells>
  <conditionalFormatting sqref="J3">
    <cfRule type="dataBar" priority="10">
      <dataBar>
        <cfvo type="num" val="0"/>
        <cfvo type="num" val="1"/>
        <color theme="0" tint="-0.249977111117893"/>
      </dataBar>
      <extLst>
        <ext xmlns:x14="http://schemas.microsoft.com/office/spreadsheetml/2009/9/main" uri="{B025F937-C7B1-47D3-B67F-A62EFF666E3E}">
          <x14:id>{61D2408A-B7AB-4D5F-BEAC-A7EDD9C53DC3}</x14:id>
        </ext>
      </extLst>
    </cfRule>
  </conditionalFormatting>
  <conditionalFormatting sqref="J4:J9 J24:J28 J30:J34 J36:J40 J17 J19:J22 J11:J14">
    <cfRule type="dataBar" priority="9">
      <dataBar>
        <cfvo type="num" val="0"/>
        <cfvo type="num" val="1"/>
        <color theme="0" tint="-0.249977111117893"/>
      </dataBar>
      <extLst>
        <ext xmlns:x14="http://schemas.microsoft.com/office/spreadsheetml/2009/9/main" uri="{B025F937-C7B1-47D3-B67F-A62EFF666E3E}">
          <x14:id>{56FF26D8-01D1-41F6-924E-408518CB3438}</x14:id>
        </ext>
      </extLst>
    </cfRule>
  </conditionalFormatting>
  <conditionalFormatting sqref="J15:J16 J10">
    <cfRule type="dataBar" priority="8">
      <dataBar>
        <cfvo type="num" val="0"/>
        <cfvo type="num" val="1"/>
        <color theme="0" tint="-0.249977111117893"/>
      </dataBar>
      <extLst>
        <ext xmlns:x14="http://schemas.microsoft.com/office/spreadsheetml/2009/9/main" uri="{B025F937-C7B1-47D3-B67F-A62EFF666E3E}">
          <x14:id>{32F81C96-EF7D-4464-A8A9-636B60607C3D}</x14:id>
        </ext>
      </extLst>
    </cfRule>
  </conditionalFormatting>
  <conditionalFormatting sqref="J18">
    <cfRule type="dataBar" priority="5">
      <dataBar>
        <cfvo type="num" val="0"/>
        <cfvo type="num" val="1"/>
        <color theme="0" tint="-0.249977111117893"/>
      </dataBar>
      <extLst>
        <ext xmlns:x14="http://schemas.microsoft.com/office/spreadsheetml/2009/9/main" uri="{B025F937-C7B1-47D3-B67F-A62EFF666E3E}">
          <x14:id>{825C87E2-8957-4988-A1F2-0AFB3B984F85}</x14:id>
        </ext>
      </extLst>
    </cfRule>
  </conditionalFormatting>
  <conditionalFormatting sqref="J23">
    <cfRule type="dataBar" priority="4">
      <dataBar>
        <cfvo type="num" val="0"/>
        <cfvo type="num" val="1"/>
        <color theme="0" tint="-0.249977111117893"/>
      </dataBar>
      <extLst>
        <ext xmlns:x14="http://schemas.microsoft.com/office/spreadsheetml/2009/9/main" uri="{B025F937-C7B1-47D3-B67F-A62EFF666E3E}">
          <x14:id>{CC05FC81-1243-441F-9076-DF09EBD189A4}</x14:id>
        </ext>
      </extLst>
    </cfRule>
  </conditionalFormatting>
  <conditionalFormatting sqref="J29">
    <cfRule type="dataBar" priority="3">
      <dataBar>
        <cfvo type="num" val="0"/>
        <cfvo type="num" val="1"/>
        <color theme="0" tint="-0.249977111117893"/>
      </dataBar>
      <extLst>
        <ext xmlns:x14="http://schemas.microsoft.com/office/spreadsheetml/2009/9/main" uri="{B025F937-C7B1-47D3-B67F-A62EFF666E3E}">
          <x14:id>{C7FF2FFD-1108-4BAB-9BC8-DBCF460B241F}</x14:id>
        </ext>
      </extLst>
    </cfRule>
  </conditionalFormatting>
  <conditionalFormatting sqref="J35">
    <cfRule type="dataBar" priority="2">
      <dataBar>
        <cfvo type="num" val="0"/>
        <cfvo type="num" val="1"/>
        <color theme="0" tint="-0.249977111117893"/>
      </dataBar>
      <extLst>
        <ext xmlns:x14="http://schemas.microsoft.com/office/spreadsheetml/2009/9/main" uri="{B025F937-C7B1-47D3-B67F-A62EFF666E3E}">
          <x14:id>{7E21AF89-63F8-4C4A-A0CF-22E0E1E01138}</x14:id>
        </ext>
      </extLst>
    </cfRule>
  </conditionalFormatting>
  <conditionalFormatting sqref="J41">
    <cfRule type="colorScale" priority="11">
      <colorScale>
        <cfvo type="num" val="0"/>
        <cfvo type="num" val="1"/>
        <color rgb="FF0C5485"/>
        <color theme="3" tint="0.79998168889431442"/>
      </colorScale>
    </cfRule>
  </conditionalFormatting>
  <pageMargins left="0.7" right="0.7" top="0.75" bottom="0.75" header="0.3" footer="0.3"/>
  <pageSetup scale="75"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1D2408A-B7AB-4D5F-BEAC-A7EDD9C53DC3}">
            <x14:dataBar minLength="0" maxLength="100" border="1" gradient="0">
              <x14:cfvo type="num">
                <xm:f>0</xm:f>
              </x14:cfvo>
              <x14:cfvo type="num">
                <xm:f>1</xm:f>
              </x14:cfvo>
              <x14:borderColor rgb="FF000000"/>
              <x14:negativeFillColor rgb="FFFF0000"/>
              <x14:axisColor rgb="FF000000"/>
            </x14:dataBar>
          </x14:cfRule>
          <xm:sqref>J3</xm:sqref>
        </x14:conditionalFormatting>
        <x14:conditionalFormatting xmlns:xm="http://schemas.microsoft.com/office/excel/2006/main">
          <x14:cfRule type="dataBar" id="{56FF26D8-01D1-41F6-924E-408518CB3438}">
            <x14:dataBar minLength="0" maxLength="100" gradient="0">
              <x14:cfvo type="num">
                <xm:f>0</xm:f>
              </x14:cfvo>
              <x14:cfvo type="num">
                <xm:f>1</xm:f>
              </x14:cfvo>
              <x14:negativeFillColor rgb="FFFF0000"/>
              <x14:axisColor rgb="FF000000"/>
            </x14:dataBar>
          </x14:cfRule>
          <xm:sqref>J4:J9 J24:J28 J30:J34 J36:J40 J17 J19:J22 J11:J14</xm:sqref>
        </x14:conditionalFormatting>
        <x14:conditionalFormatting xmlns:xm="http://schemas.microsoft.com/office/excel/2006/main">
          <x14:cfRule type="dataBar" id="{32F81C96-EF7D-4464-A8A9-636B60607C3D}">
            <x14:dataBar minLength="0" maxLength="100" border="1" gradient="0">
              <x14:cfvo type="num">
                <xm:f>0</xm:f>
              </x14:cfvo>
              <x14:cfvo type="num">
                <xm:f>1</xm:f>
              </x14:cfvo>
              <x14:borderColor rgb="FF000000"/>
              <x14:negativeFillColor rgb="FFFF0000"/>
              <x14:axisColor rgb="FF000000"/>
            </x14:dataBar>
          </x14:cfRule>
          <xm:sqref>J15:J16 J10</xm:sqref>
        </x14:conditionalFormatting>
        <x14:conditionalFormatting xmlns:xm="http://schemas.microsoft.com/office/excel/2006/main">
          <x14:cfRule type="dataBar" id="{825C87E2-8957-4988-A1F2-0AFB3B984F85}">
            <x14:dataBar minLength="0" maxLength="100" border="1" gradient="0">
              <x14:cfvo type="num">
                <xm:f>0</xm:f>
              </x14:cfvo>
              <x14:cfvo type="num">
                <xm:f>1</xm:f>
              </x14:cfvo>
              <x14:borderColor rgb="FF000000"/>
              <x14:negativeFillColor rgb="FFFF0000"/>
              <x14:axisColor rgb="FF000000"/>
            </x14:dataBar>
          </x14:cfRule>
          <xm:sqref>J18</xm:sqref>
        </x14:conditionalFormatting>
        <x14:conditionalFormatting xmlns:xm="http://schemas.microsoft.com/office/excel/2006/main">
          <x14:cfRule type="dataBar" id="{CC05FC81-1243-441F-9076-DF09EBD189A4}">
            <x14:dataBar minLength="0" maxLength="100" border="1" gradient="0">
              <x14:cfvo type="num">
                <xm:f>0</xm:f>
              </x14:cfvo>
              <x14:cfvo type="num">
                <xm:f>1</xm:f>
              </x14:cfvo>
              <x14:borderColor rgb="FF000000"/>
              <x14:negativeFillColor rgb="FFFF0000"/>
              <x14:axisColor rgb="FF000000"/>
            </x14:dataBar>
          </x14:cfRule>
          <xm:sqref>J23</xm:sqref>
        </x14:conditionalFormatting>
        <x14:conditionalFormatting xmlns:xm="http://schemas.microsoft.com/office/excel/2006/main">
          <x14:cfRule type="dataBar" id="{C7FF2FFD-1108-4BAB-9BC8-DBCF460B241F}">
            <x14:dataBar minLength="0" maxLength="100" border="1" gradient="0">
              <x14:cfvo type="num">
                <xm:f>0</xm:f>
              </x14:cfvo>
              <x14:cfvo type="num">
                <xm:f>1</xm:f>
              </x14:cfvo>
              <x14:borderColor rgb="FF000000"/>
              <x14:negativeFillColor rgb="FFFF0000"/>
              <x14:axisColor rgb="FF000000"/>
            </x14:dataBar>
          </x14:cfRule>
          <xm:sqref>J29</xm:sqref>
        </x14:conditionalFormatting>
        <x14:conditionalFormatting xmlns:xm="http://schemas.microsoft.com/office/excel/2006/main">
          <x14:cfRule type="dataBar" id="{7E21AF89-63F8-4C4A-A0CF-22E0E1E01138}">
            <x14:dataBar minLength="0" maxLength="100" border="1" gradient="0">
              <x14:cfvo type="num">
                <xm:f>0</xm:f>
              </x14:cfvo>
              <x14:cfvo type="num">
                <xm:f>1</xm:f>
              </x14:cfvo>
              <x14:borderColor rgb="FF000000"/>
              <x14:negativeFillColor rgb="FFFF0000"/>
              <x14:axisColor rgb="FF000000"/>
            </x14:dataBar>
          </x14:cfRule>
          <xm:sqref>J35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704E-39D8-4C20-8E38-8D088DCDA84F}">
  <sheetPr codeName="Sheet5">
    <tabColor theme="6" tint="0.59999389629810485"/>
    <pageSetUpPr fitToPage="1"/>
  </sheetPr>
  <dimension ref="B1:L32"/>
  <sheetViews>
    <sheetView zoomScale="85" zoomScaleNormal="80" workbookViewId="0">
      <selection activeCell="G3" sqref="G3:G24"/>
    </sheetView>
  </sheetViews>
  <sheetFormatPr defaultColWidth="10" defaultRowHeight="15"/>
  <cols>
    <col min="1" max="1" width="3.42578125" style="76" customWidth="1"/>
    <col min="2" max="2" width="9.28515625" style="76" customWidth="1"/>
    <col min="3" max="3" width="56.140625" style="76" customWidth="1"/>
    <col min="4" max="4" width="19.140625" style="76" customWidth="1"/>
    <col min="5" max="5" width="15.5703125" style="81" customWidth="1"/>
    <col min="6" max="6" width="9.85546875" style="76" customWidth="1"/>
    <col min="7" max="7" width="10.5703125" style="76" customWidth="1"/>
    <col min="8" max="8" width="13.5703125" style="81" customWidth="1"/>
    <col min="9" max="9" width="14.5703125" style="81" customWidth="1"/>
    <col min="10" max="10" width="10" style="81" customWidth="1"/>
    <col min="11" max="11" width="59.42578125" style="76" bestFit="1" customWidth="1"/>
    <col min="12" max="12" width="57.42578125" style="76" customWidth="1"/>
    <col min="13" max="13" width="10" style="76" customWidth="1"/>
    <col min="14" max="16384" width="10" style="76"/>
  </cols>
  <sheetData>
    <row r="1" spans="2:12" ht="99" customHeight="1">
      <c r="B1" s="83"/>
      <c r="C1" s="442" t="s">
        <v>272</v>
      </c>
      <c r="D1" s="442"/>
      <c r="E1" s="442"/>
      <c r="F1" s="442"/>
      <c r="G1" s="442"/>
      <c r="H1" s="442"/>
      <c r="I1" s="442"/>
      <c r="J1" s="442"/>
      <c r="K1" s="443"/>
      <c r="L1" s="175"/>
    </row>
    <row r="2" spans="2:12" s="78" customFormat="1" ht="30" customHeight="1" thickBot="1">
      <c r="B2" s="87" t="s">
        <v>74</v>
      </c>
      <c r="C2" s="88" t="s">
        <v>0</v>
      </c>
      <c r="D2" s="97" t="s">
        <v>275</v>
      </c>
      <c r="E2" s="97" t="s">
        <v>75</v>
      </c>
      <c r="F2" s="159" t="s">
        <v>76</v>
      </c>
      <c r="G2" s="159" t="s">
        <v>77</v>
      </c>
      <c r="H2" s="97" t="s">
        <v>78</v>
      </c>
      <c r="I2" s="160" t="s">
        <v>79</v>
      </c>
      <c r="J2" s="161" t="s">
        <v>60</v>
      </c>
      <c r="K2" s="89" t="s">
        <v>80</v>
      </c>
      <c r="L2" s="77"/>
    </row>
    <row r="3" spans="2:12" s="78" customFormat="1">
      <c r="B3" s="213">
        <v>9</v>
      </c>
      <c r="C3" s="185" t="s">
        <v>207</v>
      </c>
      <c r="D3" s="185" t="s">
        <v>299</v>
      </c>
      <c r="E3" s="208">
        <v>9</v>
      </c>
      <c r="F3" s="214">
        <v>3</v>
      </c>
      <c r="G3" s="214">
        <f>B3*F3</f>
        <v>27</v>
      </c>
      <c r="H3" s="214">
        <f>B3-E3</f>
        <v>0</v>
      </c>
      <c r="I3" s="214">
        <f>H3*F3</f>
        <v>0</v>
      </c>
      <c r="J3" s="215">
        <f>(1-Table13478911121324[[#This Row],[Hours Remain]]/Table13478911121324[[#This Row],[Total Hrs]])</f>
        <v>1</v>
      </c>
      <c r="K3" s="92"/>
      <c r="L3" s="77"/>
    </row>
    <row r="4" spans="2:12">
      <c r="B4" s="190">
        <v>4</v>
      </c>
      <c r="C4" s="186" t="s">
        <v>192</v>
      </c>
      <c r="D4" s="186"/>
      <c r="E4" s="208">
        <v>0</v>
      </c>
      <c r="F4" s="191">
        <v>4</v>
      </c>
      <c r="G4" s="214">
        <f t="shared" ref="G4:G24" si="0">B4*F4</f>
        <v>16</v>
      </c>
      <c r="H4" s="214">
        <f t="shared" ref="H4:H24" si="1">B4-E4</f>
        <v>4</v>
      </c>
      <c r="I4" s="214">
        <f t="shared" ref="I4:I24" si="2">H4*F4</f>
        <v>16</v>
      </c>
      <c r="J4" s="215">
        <f>(1-Table13478911121324[[#This Row],[Hours Remain]]/Table13478911121324[[#This Row],[Total Hrs]])</f>
        <v>0</v>
      </c>
      <c r="K4" s="95"/>
      <c r="L4" s="175"/>
    </row>
    <row r="5" spans="2:12">
      <c r="B5" s="190">
        <v>13</v>
      </c>
      <c r="C5" s="186" t="s">
        <v>193</v>
      </c>
      <c r="D5" s="186"/>
      <c r="E5" s="208">
        <v>0</v>
      </c>
      <c r="F5" s="191">
        <v>1</v>
      </c>
      <c r="G5" s="214">
        <f t="shared" si="0"/>
        <v>13</v>
      </c>
      <c r="H5" s="214">
        <f t="shared" si="1"/>
        <v>13</v>
      </c>
      <c r="I5" s="214">
        <f t="shared" si="2"/>
        <v>13</v>
      </c>
      <c r="J5" s="215">
        <f>(1-Table13478911121324[[#This Row],[Hours Remain]]/Table13478911121324[[#This Row],[Total Hrs]])</f>
        <v>0</v>
      </c>
      <c r="K5" s="95"/>
      <c r="L5" s="175"/>
    </row>
    <row r="6" spans="2:12">
      <c r="B6" s="190">
        <v>5</v>
      </c>
      <c r="C6" s="186" t="s">
        <v>180</v>
      </c>
      <c r="D6" s="186"/>
      <c r="E6" s="208">
        <v>0</v>
      </c>
      <c r="F6" s="191">
        <v>0.5</v>
      </c>
      <c r="G6" s="214">
        <f t="shared" si="0"/>
        <v>2.5</v>
      </c>
      <c r="H6" s="214">
        <f t="shared" si="1"/>
        <v>5</v>
      </c>
      <c r="I6" s="214">
        <f t="shared" si="2"/>
        <v>2.5</v>
      </c>
      <c r="J6" s="215">
        <f>(1-Table13478911121324[[#This Row],[Hours Remain]]/Table13478911121324[[#This Row],[Total Hrs]])</f>
        <v>0</v>
      </c>
      <c r="K6" s="95"/>
      <c r="L6" s="175"/>
    </row>
    <row r="7" spans="2:12">
      <c r="B7" s="190">
        <v>3</v>
      </c>
      <c r="C7" s="186" t="s">
        <v>194</v>
      </c>
      <c r="D7" s="186"/>
      <c r="E7" s="208">
        <v>2</v>
      </c>
      <c r="F7" s="191">
        <v>1.25</v>
      </c>
      <c r="G7" s="214">
        <f t="shared" si="0"/>
        <v>3.75</v>
      </c>
      <c r="H7" s="214">
        <f t="shared" si="1"/>
        <v>1</v>
      </c>
      <c r="I7" s="214">
        <f t="shared" si="2"/>
        <v>1.25</v>
      </c>
      <c r="J7" s="215">
        <f>(1-Table13478911121324[[#This Row],[Hours Remain]]/Table13478911121324[[#This Row],[Total Hrs]])</f>
        <v>0.66666666666666674</v>
      </c>
      <c r="K7" s="95"/>
      <c r="L7" s="175"/>
    </row>
    <row r="8" spans="2:12">
      <c r="B8" s="190"/>
      <c r="C8" s="186"/>
      <c r="D8" s="186"/>
      <c r="E8" s="208"/>
      <c r="F8" s="191"/>
      <c r="G8" s="214">
        <f t="shared" si="0"/>
        <v>0</v>
      </c>
      <c r="H8" s="214">
        <f t="shared" si="1"/>
        <v>0</v>
      </c>
      <c r="I8" s="214">
        <f t="shared" si="2"/>
        <v>0</v>
      </c>
      <c r="J8" s="215"/>
      <c r="K8" s="109"/>
      <c r="L8" s="175"/>
    </row>
    <row r="9" spans="2:12">
      <c r="B9" s="216">
        <v>5</v>
      </c>
      <c r="C9" s="209" t="s">
        <v>208</v>
      </c>
      <c r="D9" s="209" t="s">
        <v>303</v>
      </c>
      <c r="E9" s="208">
        <v>5</v>
      </c>
      <c r="F9" s="214">
        <v>3</v>
      </c>
      <c r="G9" s="214">
        <f t="shared" si="0"/>
        <v>15</v>
      </c>
      <c r="H9" s="214">
        <f t="shared" si="1"/>
        <v>0</v>
      </c>
      <c r="I9" s="214">
        <f t="shared" si="2"/>
        <v>0</v>
      </c>
      <c r="J9" s="215">
        <f>(1-Table13478911121324[[#This Row],[Hours Remain]]/Table13478911121324[[#This Row],[Total Hrs]])</f>
        <v>1</v>
      </c>
      <c r="K9" s="95"/>
      <c r="L9" s="175"/>
    </row>
    <row r="10" spans="2:12">
      <c r="B10" s="190">
        <v>3</v>
      </c>
      <c r="C10" s="186" t="s">
        <v>193</v>
      </c>
      <c r="D10" s="186"/>
      <c r="E10" s="208">
        <v>0</v>
      </c>
      <c r="F10" s="191">
        <v>1</v>
      </c>
      <c r="G10" s="214">
        <f t="shared" si="0"/>
        <v>3</v>
      </c>
      <c r="H10" s="214">
        <f t="shared" si="1"/>
        <v>3</v>
      </c>
      <c r="I10" s="214">
        <f t="shared" si="2"/>
        <v>3</v>
      </c>
      <c r="J10" s="215">
        <f>(1-Table13478911121324[[#This Row],[Hours Remain]]/Table13478911121324[[#This Row],[Total Hrs]])</f>
        <v>0</v>
      </c>
      <c r="K10" s="95"/>
      <c r="L10" s="175"/>
    </row>
    <row r="11" spans="2:12">
      <c r="B11" s="190">
        <v>2</v>
      </c>
      <c r="C11" s="186" t="s">
        <v>195</v>
      </c>
      <c r="D11" s="186"/>
      <c r="E11" s="186">
        <v>0</v>
      </c>
      <c r="F11" s="191">
        <v>4</v>
      </c>
      <c r="G11" s="214">
        <f t="shared" si="0"/>
        <v>8</v>
      </c>
      <c r="H11" s="214">
        <f t="shared" si="1"/>
        <v>2</v>
      </c>
      <c r="I11" s="214">
        <f t="shared" si="2"/>
        <v>8</v>
      </c>
      <c r="J11" s="215">
        <f>(1-Table13478911121324[[#This Row],[Hours Remain]]/Table13478911121324[[#This Row],[Total Hrs]])</f>
        <v>0</v>
      </c>
      <c r="K11" s="95"/>
      <c r="L11" s="175"/>
    </row>
    <row r="12" spans="2:12">
      <c r="B12" s="190">
        <v>3</v>
      </c>
      <c r="C12" s="186" t="s">
        <v>196</v>
      </c>
      <c r="D12" s="186"/>
      <c r="E12" s="186">
        <v>0</v>
      </c>
      <c r="F12" s="191">
        <v>0.5</v>
      </c>
      <c r="G12" s="214">
        <f t="shared" si="0"/>
        <v>1.5</v>
      </c>
      <c r="H12" s="214">
        <f t="shared" si="1"/>
        <v>3</v>
      </c>
      <c r="I12" s="214">
        <f t="shared" si="2"/>
        <v>1.5</v>
      </c>
      <c r="J12" s="215">
        <f>(1-Table13478911121324[[#This Row],[Hours Remain]]/Table13478911121324[[#This Row],[Total Hrs]])</f>
        <v>0</v>
      </c>
      <c r="K12" s="95"/>
      <c r="L12" s="175"/>
    </row>
    <row r="13" spans="2:12">
      <c r="B13" s="190"/>
      <c r="C13" s="186"/>
      <c r="D13" s="186"/>
      <c r="E13" s="208"/>
      <c r="F13" s="191"/>
      <c r="G13" s="214">
        <f t="shared" si="0"/>
        <v>0</v>
      </c>
      <c r="H13" s="214">
        <f t="shared" si="1"/>
        <v>0</v>
      </c>
      <c r="I13" s="214">
        <f t="shared" si="2"/>
        <v>0</v>
      </c>
      <c r="J13" s="215"/>
      <c r="K13" s="95"/>
      <c r="L13" s="175"/>
    </row>
    <row r="14" spans="2:12">
      <c r="B14" s="216">
        <v>9</v>
      </c>
      <c r="C14" s="209" t="s">
        <v>209</v>
      </c>
      <c r="D14" s="209" t="s">
        <v>304</v>
      </c>
      <c r="E14" s="208">
        <v>9</v>
      </c>
      <c r="F14" s="214">
        <v>3</v>
      </c>
      <c r="G14" s="214">
        <f t="shared" si="0"/>
        <v>27</v>
      </c>
      <c r="H14" s="214">
        <f t="shared" si="1"/>
        <v>0</v>
      </c>
      <c r="I14" s="214">
        <f t="shared" si="2"/>
        <v>0</v>
      </c>
      <c r="J14" s="215">
        <f>(1-Table13478911121324[[#This Row],[Hours Remain]]/Table13478911121324[[#This Row],[Total Hrs]])</f>
        <v>1</v>
      </c>
      <c r="K14" s="95"/>
      <c r="L14" s="175"/>
    </row>
    <row r="15" spans="2:12">
      <c r="B15" s="190">
        <v>6</v>
      </c>
      <c r="C15" s="186" t="s">
        <v>192</v>
      </c>
      <c r="D15" s="186"/>
      <c r="E15" s="208">
        <v>0</v>
      </c>
      <c r="F15" s="191">
        <v>4</v>
      </c>
      <c r="G15" s="214">
        <f t="shared" si="0"/>
        <v>24</v>
      </c>
      <c r="H15" s="214">
        <f t="shared" si="1"/>
        <v>6</v>
      </c>
      <c r="I15" s="214">
        <f t="shared" si="2"/>
        <v>24</v>
      </c>
      <c r="J15" s="215">
        <f>(1-Table13478911121324[[#This Row],[Hours Remain]]/Table13478911121324[[#This Row],[Total Hrs]])</f>
        <v>0</v>
      </c>
      <c r="K15" s="95"/>
      <c r="L15" s="175"/>
    </row>
    <row r="16" spans="2:12">
      <c r="B16" s="190">
        <v>23</v>
      </c>
      <c r="C16" s="186" t="s">
        <v>193</v>
      </c>
      <c r="D16" s="186"/>
      <c r="E16" s="208">
        <v>0</v>
      </c>
      <c r="F16" s="191">
        <v>1</v>
      </c>
      <c r="G16" s="214">
        <f t="shared" si="0"/>
        <v>23</v>
      </c>
      <c r="H16" s="214">
        <f t="shared" si="1"/>
        <v>23</v>
      </c>
      <c r="I16" s="214">
        <f t="shared" si="2"/>
        <v>23</v>
      </c>
      <c r="J16" s="215">
        <f>(1-Table13478911121324[[#This Row],[Hours Remain]]/Table13478911121324[[#This Row],[Total Hrs]])</f>
        <v>0</v>
      </c>
      <c r="K16" s="95"/>
      <c r="L16" s="175"/>
    </row>
    <row r="17" spans="2:12">
      <c r="B17" s="190">
        <v>21</v>
      </c>
      <c r="C17" s="186" t="s">
        <v>180</v>
      </c>
      <c r="D17" s="186"/>
      <c r="E17" s="208">
        <v>0</v>
      </c>
      <c r="F17" s="191">
        <v>0.5</v>
      </c>
      <c r="G17" s="214">
        <f t="shared" si="0"/>
        <v>10.5</v>
      </c>
      <c r="H17" s="214">
        <f t="shared" si="1"/>
        <v>21</v>
      </c>
      <c r="I17" s="214">
        <f t="shared" si="2"/>
        <v>10.5</v>
      </c>
      <c r="J17" s="215">
        <f>(1-Table13478911121324[[#This Row],[Hours Remain]]/Table13478911121324[[#This Row],[Total Hrs]])</f>
        <v>0</v>
      </c>
      <c r="K17" s="95"/>
      <c r="L17" s="175"/>
    </row>
    <row r="18" spans="2:12">
      <c r="B18" s="190"/>
      <c r="C18" s="186"/>
      <c r="D18" s="186"/>
      <c r="E18" s="208"/>
      <c r="F18" s="191"/>
      <c r="G18" s="214">
        <f t="shared" si="0"/>
        <v>0</v>
      </c>
      <c r="H18" s="214">
        <f t="shared" si="1"/>
        <v>0</v>
      </c>
      <c r="I18" s="214">
        <f t="shared" si="2"/>
        <v>0</v>
      </c>
      <c r="J18" s="215"/>
      <c r="K18" s="95"/>
      <c r="L18" s="175"/>
    </row>
    <row r="19" spans="2:12">
      <c r="B19" s="216">
        <v>10</v>
      </c>
      <c r="C19" s="209" t="s">
        <v>210</v>
      </c>
      <c r="D19" s="209" t="s">
        <v>305</v>
      </c>
      <c r="E19" s="208">
        <v>10</v>
      </c>
      <c r="F19" s="214">
        <v>3</v>
      </c>
      <c r="G19" s="214">
        <f t="shared" si="0"/>
        <v>30</v>
      </c>
      <c r="H19" s="214">
        <f t="shared" si="1"/>
        <v>0</v>
      </c>
      <c r="I19" s="214">
        <f t="shared" si="2"/>
        <v>0</v>
      </c>
      <c r="J19" s="215">
        <f>(1-Table13478911121324[[#This Row],[Hours Remain]]/Table13478911121324[[#This Row],[Total Hrs]])</f>
        <v>1</v>
      </c>
      <c r="K19" s="96"/>
      <c r="L19" s="175"/>
    </row>
    <row r="20" spans="2:12">
      <c r="B20" s="190">
        <v>2</v>
      </c>
      <c r="C20" s="186" t="s">
        <v>192</v>
      </c>
      <c r="D20" s="186"/>
      <c r="E20" s="208">
        <v>0</v>
      </c>
      <c r="F20" s="191">
        <v>4</v>
      </c>
      <c r="G20" s="214">
        <f t="shared" si="0"/>
        <v>8</v>
      </c>
      <c r="H20" s="214">
        <f t="shared" si="1"/>
        <v>2</v>
      </c>
      <c r="I20" s="214">
        <f t="shared" si="2"/>
        <v>8</v>
      </c>
      <c r="J20" s="215">
        <f>(1-Table13478911121324[[#This Row],[Hours Remain]]/Table13478911121324[[#This Row],[Total Hrs]])</f>
        <v>0</v>
      </c>
      <c r="K20" s="95"/>
      <c r="L20" s="175"/>
    </row>
    <row r="21" spans="2:12">
      <c r="B21" s="190">
        <v>4</v>
      </c>
      <c r="C21" s="186" t="s">
        <v>193</v>
      </c>
      <c r="D21" s="186"/>
      <c r="E21" s="208">
        <v>0</v>
      </c>
      <c r="F21" s="191">
        <v>1</v>
      </c>
      <c r="G21" s="214">
        <f t="shared" si="0"/>
        <v>4</v>
      </c>
      <c r="H21" s="214">
        <f t="shared" si="1"/>
        <v>4</v>
      </c>
      <c r="I21" s="214">
        <f t="shared" si="2"/>
        <v>4</v>
      </c>
      <c r="J21" s="215">
        <f>(1-Table13478911121324[[#This Row],[Hours Remain]]/Table13478911121324[[#This Row],[Total Hrs]])</f>
        <v>0</v>
      </c>
      <c r="K21" s="96"/>
      <c r="L21" s="175"/>
    </row>
    <row r="22" spans="2:12">
      <c r="B22" s="190">
        <v>3</v>
      </c>
      <c r="C22" s="186" t="s">
        <v>180</v>
      </c>
      <c r="D22" s="186"/>
      <c r="E22" s="186">
        <v>0</v>
      </c>
      <c r="F22" s="191">
        <v>0.5</v>
      </c>
      <c r="G22" s="214">
        <f t="shared" si="0"/>
        <v>1.5</v>
      </c>
      <c r="H22" s="214">
        <f t="shared" si="1"/>
        <v>3</v>
      </c>
      <c r="I22" s="214">
        <f t="shared" si="2"/>
        <v>1.5</v>
      </c>
      <c r="J22" s="215">
        <f>(1-Table13478911121324[[#This Row],[Hours Remain]]/Table13478911121324[[#This Row],[Total Hrs]])</f>
        <v>0</v>
      </c>
      <c r="K22" s="211"/>
      <c r="L22" s="175"/>
    </row>
    <row r="23" spans="2:12">
      <c r="B23" s="190">
        <v>1</v>
      </c>
      <c r="C23" s="186" t="s">
        <v>195</v>
      </c>
      <c r="D23" s="186"/>
      <c r="E23" s="186">
        <v>0</v>
      </c>
      <c r="F23" s="191">
        <v>4</v>
      </c>
      <c r="G23" s="214">
        <f t="shared" si="0"/>
        <v>4</v>
      </c>
      <c r="H23" s="214">
        <f t="shared" si="1"/>
        <v>1</v>
      </c>
      <c r="I23" s="214">
        <f t="shared" si="2"/>
        <v>4</v>
      </c>
      <c r="J23" s="215">
        <f>(1-Table13478911121324[[#This Row],[Hours Remain]]/Table13478911121324[[#This Row],[Total Hrs]])</f>
        <v>0</v>
      </c>
      <c r="K23" s="211"/>
      <c r="L23" s="175"/>
    </row>
    <row r="24" spans="2:12" ht="16.5" thickBot="1">
      <c r="B24" s="170"/>
      <c r="C24" s="171"/>
      <c r="D24" s="336"/>
      <c r="E24" s="212"/>
      <c r="F24" s="177"/>
      <c r="G24" s="214">
        <f t="shared" si="0"/>
        <v>0</v>
      </c>
      <c r="H24" s="214">
        <f t="shared" si="1"/>
        <v>0</v>
      </c>
      <c r="I24" s="214">
        <f t="shared" si="2"/>
        <v>0</v>
      </c>
      <c r="J24" s="210"/>
      <c r="K24" s="133"/>
      <c r="L24" s="175"/>
    </row>
    <row r="25" spans="2:12" s="80" customFormat="1">
      <c r="B25" s="252">
        <f>SUM(B3:B24)</f>
        <v>126</v>
      </c>
      <c r="C25" s="84" t="s">
        <v>81</v>
      </c>
      <c r="D25" s="84"/>
      <c r="E25" s="85">
        <f>SUM(E3:E24)</f>
        <v>35</v>
      </c>
      <c r="F25" s="256">
        <f>SUM(F3:F24)</f>
        <v>39.25</v>
      </c>
      <c r="G25" s="84">
        <f>SUM(G3:G24)</f>
        <v>221.75</v>
      </c>
      <c r="H25" s="85">
        <f>B25-E25</f>
        <v>91</v>
      </c>
      <c r="I25" s="94">
        <f>SUM(I3:I24)</f>
        <v>120.25</v>
      </c>
      <c r="J25" s="90">
        <f>(1-(I25/G25))</f>
        <v>0.45772266065388956</v>
      </c>
      <c r="K25" s="86"/>
    </row>
    <row r="30" spans="2:12" ht="18.75">
      <c r="C30" s="251" t="s">
        <v>247</v>
      </c>
      <c r="D30" s="251"/>
    </row>
    <row r="31" spans="2:12" ht="18.75">
      <c r="C31" s="251" t="s">
        <v>248</v>
      </c>
      <c r="D31" s="251"/>
    </row>
    <row r="32" spans="2:12" ht="18.75">
      <c r="C32" s="251" t="s">
        <v>295</v>
      </c>
      <c r="D32" s="251"/>
    </row>
  </sheetData>
  <mergeCells count="1">
    <mergeCell ref="C1:K1"/>
  </mergeCells>
  <conditionalFormatting sqref="J3">
    <cfRule type="dataBar" priority="10">
      <dataBar>
        <cfvo type="num" val="0"/>
        <cfvo type="num" val="1"/>
        <color theme="0" tint="-0.249977111117893"/>
      </dataBar>
      <extLst>
        <ext xmlns:x14="http://schemas.microsoft.com/office/spreadsheetml/2009/9/main" uri="{B025F937-C7B1-47D3-B67F-A62EFF666E3E}">
          <x14:id>{39644902-EE95-4603-A114-04B5D318102A}</x14:id>
        </ext>
      </extLst>
    </cfRule>
  </conditionalFormatting>
  <conditionalFormatting sqref="J4:J8 J15:J18 J10:J13 J20:J24">
    <cfRule type="dataBar" priority="9">
      <dataBar>
        <cfvo type="num" val="0"/>
        <cfvo type="num" val="1"/>
        <color theme="0" tint="-0.249977111117893"/>
      </dataBar>
      <extLst>
        <ext xmlns:x14="http://schemas.microsoft.com/office/spreadsheetml/2009/9/main" uri="{B025F937-C7B1-47D3-B67F-A62EFF666E3E}">
          <x14:id>{A3E4656F-96D2-4285-B66F-50A329EBF278}</x14:id>
        </ext>
      </extLst>
    </cfRule>
  </conditionalFormatting>
  <conditionalFormatting sqref="J9">
    <cfRule type="dataBar" priority="8">
      <dataBar>
        <cfvo type="num" val="0"/>
        <cfvo type="num" val="1"/>
        <color theme="0" tint="-0.249977111117893"/>
      </dataBar>
      <extLst>
        <ext xmlns:x14="http://schemas.microsoft.com/office/spreadsheetml/2009/9/main" uri="{B025F937-C7B1-47D3-B67F-A62EFF666E3E}">
          <x14:id>{D0AB847A-2AE6-4849-8F27-368847D5B51E}</x14:id>
        </ext>
      </extLst>
    </cfRule>
  </conditionalFormatting>
  <conditionalFormatting sqref="J14">
    <cfRule type="dataBar" priority="7">
      <dataBar>
        <cfvo type="num" val="0"/>
        <cfvo type="num" val="1"/>
        <color theme="0" tint="-0.249977111117893"/>
      </dataBar>
      <extLst>
        <ext xmlns:x14="http://schemas.microsoft.com/office/spreadsheetml/2009/9/main" uri="{B025F937-C7B1-47D3-B67F-A62EFF666E3E}">
          <x14:id>{48BA1EE3-3091-43D1-B828-22C4C4D52679}</x14:id>
        </ext>
      </extLst>
    </cfRule>
  </conditionalFormatting>
  <conditionalFormatting sqref="J19">
    <cfRule type="dataBar" priority="6">
      <dataBar>
        <cfvo type="num" val="0"/>
        <cfvo type="num" val="1"/>
        <color theme="0" tint="-0.249977111117893"/>
      </dataBar>
      <extLst>
        <ext xmlns:x14="http://schemas.microsoft.com/office/spreadsheetml/2009/9/main" uri="{B025F937-C7B1-47D3-B67F-A62EFF666E3E}">
          <x14:id>{B0454A79-8A66-40B8-97DF-BEE0DC558E8E}</x14:id>
        </ext>
      </extLst>
    </cfRule>
  </conditionalFormatting>
  <conditionalFormatting sqref="J25">
    <cfRule type="colorScale" priority="11">
      <colorScale>
        <cfvo type="num" val="0"/>
        <cfvo type="num" val="1"/>
        <color rgb="FF0C5485"/>
        <color theme="3" tint="0.79998168889431442"/>
      </colorScale>
    </cfRule>
  </conditionalFormatting>
  <pageMargins left="0.7" right="0.7" top="0.75" bottom="0.75" header="0.3" footer="0.3"/>
  <pageSetup scale="75"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9644902-EE95-4603-A114-04B5D318102A}">
            <x14:dataBar minLength="0" maxLength="100" border="1" gradient="0">
              <x14:cfvo type="num">
                <xm:f>0</xm:f>
              </x14:cfvo>
              <x14:cfvo type="num">
                <xm:f>1</xm:f>
              </x14:cfvo>
              <x14:borderColor rgb="FF000000"/>
              <x14:negativeFillColor rgb="FFFF0000"/>
              <x14:axisColor rgb="FF000000"/>
            </x14:dataBar>
          </x14:cfRule>
          <xm:sqref>J3</xm:sqref>
        </x14:conditionalFormatting>
        <x14:conditionalFormatting xmlns:xm="http://schemas.microsoft.com/office/excel/2006/main">
          <x14:cfRule type="dataBar" id="{A3E4656F-96D2-4285-B66F-50A329EBF278}">
            <x14:dataBar minLength="0" maxLength="100" gradient="0">
              <x14:cfvo type="num">
                <xm:f>0</xm:f>
              </x14:cfvo>
              <x14:cfvo type="num">
                <xm:f>1</xm:f>
              </x14:cfvo>
              <x14:negativeFillColor rgb="FFFF0000"/>
              <x14:axisColor rgb="FF000000"/>
            </x14:dataBar>
          </x14:cfRule>
          <xm:sqref>J4:J8 J15:J18 J10:J13 J20:J24</xm:sqref>
        </x14:conditionalFormatting>
        <x14:conditionalFormatting xmlns:xm="http://schemas.microsoft.com/office/excel/2006/main">
          <x14:cfRule type="dataBar" id="{D0AB847A-2AE6-4849-8F27-368847D5B51E}">
            <x14:dataBar minLength="0" maxLength="100" border="1" gradient="0">
              <x14:cfvo type="num">
                <xm:f>0</xm:f>
              </x14:cfvo>
              <x14:cfvo type="num">
                <xm:f>1</xm:f>
              </x14:cfvo>
              <x14:borderColor rgb="FF000000"/>
              <x14:negativeFillColor rgb="FFFF0000"/>
              <x14:axisColor rgb="FF000000"/>
            </x14:dataBar>
          </x14:cfRule>
          <xm:sqref>J9</xm:sqref>
        </x14:conditionalFormatting>
        <x14:conditionalFormatting xmlns:xm="http://schemas.microsoft.com/office/excel/2006/main">
          <x14:cfRule type="dataBar" id="{48BA1EE3-3091-43D1-B828-22C4C4D52679}">
            <x14:dataBar minLength="0" maxLength="100" border="1" gradient="0">
              <x14:cfvo type="num">
                <xm:f>0</xm:f>
              </x14:cfvo>
              <x14:cfvo type="num">
                <xm:f>1</xm:f>
              </x14:cfvo>
              <x14:borderColor rgb="FF000000"/>
              <x14:negativeFillColor rgb="FFFF0000"/>
              <x14:axisColor rgb="FF000000"/>
            </x14:dataBar>
          </x14:cfRule>
          <xm:sqref>J14</xm:sqref>
        </x14:conditionalFormatting>
        <x14:conditionalFormatting xmlns:xm="http://schemas.microsoft.com/office/excel/2006/main">
          <x14:cfRule type="dataBar" id="{B0454A79-8A66-40B8-97DF-BEE0DC558E8E}">
            <x14:dataBar minLength="0" maxLength="100" border="1" gradient="0">
              <x14:cfvo type="num">
                <xm:f>0</xm:f>
              </x14:cfvo>
              <x14:cfvo type="num">
                <xm:f>1</xm:f>
              </x14:cfvo>
              <x14:borderColor rgb="FF000000"/>
              <x14:negativeFillColor rgb="FFFF0000"/>
              <x14:axisColor rgb="FF000000"/>
            </x14:dataBar>
          </x14:cfRule>
          <xm:sqref>J19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DE0D-B7DA-4950-B290-32D671891425}">
  <sheetPr codeName="Sheet6">
    <tabColor theme="2" tint="-0.249977111117893"/>
    <pageSetUpPr fitToPage="1"/>
  </sheetPr>
  <dimension ref="B1:N89"/>
  <sheetViews>
    <sheetView tabSelected="1" topLeftCell="A15" zoomScale="115" zoomScaleNormal="115" workbookViewId="0">
      <selection activeCell="N51" sqref="N51"/>
    </sheetView>
  </sheetViews>
  <sheetFormatPr defaultColWidth="10" defaultRowHeight="15"/>
  <cols>
    <col min="1" max="1" width="3.42578125" style="76" customWidth="1"/>
    <col min="2" max="2" width="9.28515625" style="76" customWidth="1"/>
    <col min="3" max="3" width="56.140625" style="76" customWidth="1"/>
    <col min="4" max="4" width="12.140625" style="76" customWidth="1"/>
    <col min="5" max="5" width="15.5703125" style="81" customWidth="1"/>
    <col min="6" max="6" width="9.85546875" style="76" customWidth="1"/>
    <col min="7" max="7" width="10.5703125" style="76" customWidth="1"/>
    <col min="8" max="8" width="13.5703125" style="81" customWidth="1"/>
    <col min="9" max="9" width="14.5703125" style="81" customWidth="1"/>
    <col min="10" max="10" width="10" style="81" customWidth="1"/>
    <col min="11" max="11" width="59.42578125" style="76" bestFit="1" customWidth="1"/>
    <col min="12" max="12" width="57.42578125" style="76" customWidth="1"/>
    <col min="13" max="13" width="10" style="76" customWidth="1"/>
    <col min="14" max="16384" width="10" style="76"/>
  </cols>
  <sheetData>
    <row r="1" spans="2:12" ht="99" customHeight="1">
      <c r="B1" s="83"/>
      <c r="C1" s="442" t="s">
        <v>271</v>
      </c>
      <c r="D1" s="442"/>
      <c r="E1" s="442"/>
      <c r="F1" s="442"/>
      <c r="G1" s="442"/>
      <c r="H1" s="442"/>
      <c r="I1" s="442"/>
      <c r="J1" s="442"/>
      <c r="K1" s="443"/>
      <c r="L1" s="175"/>
    </row>
    <row r="2" spans="2:12" s="78" customFormat="1" ht="30" customHeight="1" thickBot="1">
      <c r="B2" s="87" t="s">
        <v>74</v>
      </c>
      <c r="C2" s="97" t="s">
        <v>0</v>
      </c>
      <c r="D2" s="97" t="s">
        <v>275</v>
      </c>
      <c r="E2" s="97" t="s">
        <v>75</v>
      </c>
      <c r="F2" s="159" t="s">
        <v>76</v>
      </c>
      <c r="G2" s="159" t="s">
        <v>77</v>
      </c>
      <c r="H2" s="97" t="s">
        <v>78</v>
      </c>
      <c r="I2" s="160" t="s">
        <v>79</v>
      </c>
      <c r="J2" s="161" t="s">
        <v>60</v>
      </c>
      <c r="K2" s="89" t="s">
        <v>80</v>
      </c>
      <c r="L2" s="77"/>
    </row>
    <row r="3" spans="2:12" s="78" customFormat="1">
      <c r="B3" s="131">
        <v>2</v>
      </c>
      <c r="C3" s="209" t="s">
        <v>211</v>
      </c>
      <c r="D3" s="209" t="s">
        <v>306</v>
      </c>
      <c r="E3" s="208">
        <v>2</v>
      </c>
      <c r="F3" s="214">
        <v>3</v>
      </c>
      <c r="G3" s="214">
        <f>B3*F3</f>
        <v>6</v>
      </c>
      <c r="H3" s="214">
        <f>B3-E3</f>
        <v>0</v>
      </c>
      <c r="I3" s="214">
        <f>H3*F3</f>
        <v>0</v>
      </c>
      <c r="J3" s="215">
        <f>(1-Table1347891112132[[#This Row],[Hours Remain]]/Table1347891112132[[#This Row],[Total Hrs]])</f>
        <v>1</v>
      </c>
      <c r="K3" s="92"/>
      <c r="L3" s="77"/>
    </row>
    <row r="4" spans="2:12">
      <c r="B4" s="170">
        <v>2</v>
      </c>
      <c r="C4" s="186" t="s">
        <v>193</v>
      </c>
      <c r="D4" s="186"/>
      <c r="E4" s="208">
        <v>1</v>
      </c>
      <c r="F4" s="191">
        <v>1</v>
      </c>
      <c r="G4" s="191">
        <f t="shared" ref="G4:G67" si="0">B4*F4</f>
        <v>2</v>
      </c>
      <c r="H4" s="191">
        <f t="shared" ref="H4:H67" si="1">B4-E4</f>
        <v>1</v>
      </c>
      <c r="I4" s="191">
        <f t="shared" ref="I4:I67" si="2">H4*F4</f>
        <v>1</v>
      </c>
      <c r="J4" s="215">
        <f>(1-Table1347891112132[[#This Row],[Hours Remain]]/Table1347891112132[[#This Row],[Total Hrs]])</f>
        <v>0.5</v>
      </c>
      <c r="K4" s="95"/>
      <c r="L4" s="175"/>
    </row>
    <row r="5" spans="2:12">
      <c r="B5" s="170">
        <v>4</v>
      </c>
      <c r="C5" s="186" t="s">
        <v>180</v>
      </c>
      <c r="D5" s="186"/>
      <c r="E5" s="208">
        <v>0</v>
      </c>
      <c r="F5" s="191">
        <v>0.5</v>
      </c>
      <c r="G5" s="191">
        <f t="shared" si="0"/>
        <v>2</v>
      </c>
      <c r="H5" s="191">
        <f t="shared" si="1"/>
        <v>4</v>
      </c>
      <c r="I5" s="191">
        <f t="shared" si="2"/>
        <v>2</v>
      </c>
      <c r="J5" s="215">
        <f>(1-Table1347891112132[[#This Row],[Hours Remain]]/Table1347891112132[[#This Row],[Total Hrs]])</f>
        <v>0</v>
      </c>
      <c r="K5" s="95"/>
      <c r="L5" s="175"/>
    </row>
    <row r="6" spans="2:12">
      <c r="B6" s="217">
        <v>1</v>
      </c>
      <c r="C6" s="186" t="s">
        <v>195</v>
      </c>
      <c r="D6" s="186"/>
      <c r="E6" s="186">
        <v>1</v>
      </c>
      <c r="F6" s="191">
        <v>4</v>
      </c>
      <c r="G6" s="191">
        <f t="shared" si="0"/>
        <v>4</v>
      </c>
      <c r="H6" s="191">
        <f t="shared" si="1"/>
        <v>0</v>
      </c>
      <c r="I6" s="191">
        <f t="shared" si="2"/>
        <v>0</v>
      </c>
      <c r="J6" s="215">
        <f>(1-Table1347891112132[[#This Row],[Hours Remain]]/Table1347891112132[[#This Row],[Total Hrs]])</f>
        <v>1</v>
      </c>
      <c r="K6" s="95"/>
      <c r="L6" s="175"/>
    </row>
    <row r="7" spans="2:12">
      <c r="B7" s="217">
        <v>31</v>
      </c>
      <c r="C7" s="186" t="s">
        <v>196</v>
      </c>
      <c r="D7" s="186"/>
      <c r="E7" s="186">
        <v>0</v>
      </c>
      <c r="F7" s="191">
        <v>0.5</v>
      </c>
      <c r="G7" s="191">
        <f t="shared" si="0"/>
        <v>15.5</v>
      </c>
      <c r="H7" s="191">
        <f t="shared" si="1"/>
        <v>31</v>
      </c>
      <c r="I7" s="191">
        <f t="shared" si="2"/>
        <v>15.5</v>
      </c>
      <c r="J7" s="215">
        <f>(1-Table1347891112132[[#This Row],[Hours Remain]]/Table1347891112132[[#This Row],[Total Hrs]])</f>
        <v>0</v>
      </c>
      <c r="K7" s="95"/>
      <c r="L7" s="175"/>
    </row>
    <row r="8" spans="2:12">
      <c r="B8" s="170"/>
      <c r="C8" s="186"/>
      <c r="D8" s="186"/>
      <c r="E8" s="208"/>
      <c r="F8" s="191"/>
      <c r="G8" s="191"/>
      <c r="H8" s="191"/>
      <c r="I8" s="191"/>
      <c r="J8" s="215"/>
      <c r="K8" s="109"/>
      <c r="L8" s="175"/>
    </row>
    <row r="9" spans="2:12">
      <c r="B9" s="132">
        <v>2</v>
      </c>
      <c r="C9" s="209" t="s">
        <v>212</v>
      </c>
      <c r="D9" s="209" t="s">
        <v>309</v>
      </c>
      <c r="E9" s="208">
        <v>2</v>
      </c>
      <c r="F9" s="214">
        <v>3</v>
      </c>
      <c r="G9" s="214">
        <f t="shared" si="0"/>
        <v>6</v>
      </c>
      <c r="H9" s="214">
        <f t="shared" si="1"/>
        <v>0</v>
      </c>
      <c r="I9" s="214">
        <f t="shared" si="2"/>
        <v>0</v>
      </c>
      <c r="J9" s="215">
        <f>(1-Table1347891112132[[#This Row],[Hours Remain]]/Table1347891112132[[#This Row],[Total Hrs]])</f>
        <v>1</v>
      </c>
      <c r="K9" s="95"/>
      <c r="L9" s="175"/>
    </row>
    <row r="10" spans="2:12">
      <c r="B10" s="217">
        <v>1</v>
      </c>
      <c r="C10" s="186" t="s">
        <v>195</v>
      </c>
      <c r="D10" s="186"/>
      <c r="E10" s="186">
        <v>0</v>
      </c>
      <c r="F10" s="191">
        <v>4</v>
      </c>
      <c r="G10" s="191">
        <f t="shared" si="0"/>
        <v>4</v>
      </c>
      <c r="H10" s="214">
        <f t="shared" si="1"/>
        <v>1</v>
      </c>
      <c r="I10" s="191">
        <f t="shared" si="2"/>
        <v>4</v>
      </c>
      <c r="J10" s="215">
        <f>(1-Table1347891112132[[#This Row],[Hours Remain]]/Table1347891112132[[#This Row],[Total Hrs]])</f>
        <v>0</v>
      </c>
      <c r="K10" s="95"/>
      <c r="L10" s="175"/>
    </row>
    <row r="11" spans="2:12">
      <c r="B11" s="217">
        <v>33</v>
      </c>
      <c r="C11" s="186" t="s">
        <v>196</v>
      </c>
      <c r="D11" s="186"/>
      <c r="E11" s="186">
        <v>0</v>
      </c>
      <c r="F11" s="191">
        <v>0.5</v>
      </c>
      <c r="G11" s="191">
        <f t="shared" si="0"/>
        <v>16.5</v>
      </c>
      <c r="H11" s="214">
        <f t="shared" si="1"/>
        <v>33</v>
      </c>
      <c r="I11" s="191">
        <f t="shared" si="2"/>
        <v>16.5</v>
      </c>
      <c r="J11" s="215">
        <f>(1-Table1347891112132[[#This Row],[Hours Remain]]/Table1347891112132[[#This Row],[Total Hrs]])</f>
        <v>0</v>
      </c>
      <c r="K11" s="95"/>
      <c r="L11" s="175"/>
    </row>
    <row r="12" spans="2:12">
      <c r="B12" s="170"/>
      <c r="C12" s="186"/>
      <c r="D12" s="186"/>
      <c r="E12" s="208"/>
      <c r="F12" s="191"/>
      <c r="G12" s="191"/>
      <c r="H12" s="191"/>
      <c r="I12" s="191"/>
      <c r="J12" s="215"/>
      <c r="K12" s="95"/>
      <c r="L12" s="175"/>
    </row>
    <row r="13" spans="2:12">
      <c r="B13" s="132">
        <v>5</v>
      </c>
      <c r="C13" s="209" t="s">
        <v>213</v>
      </c>
      <c r="D13" s="209" t="s">
        <v>310</v>
      </c>
      <c r="E13" s="208">
        <v>5</v>
      </c>
      <c r="F13" s="214">
        <v>3</v>
      </c>
      <c r="G13" s="214">
        <f t="shared" si="0"/>
        <v>15</v>
      </c>
      <c r="H13" s="214">
        <f t="shared" si="1"/>
        <v>0</v>
      </c>
      <c r="I13" s="214">
        <f t="shared" si="2"/>
        <v>0</v>
      </c>
      <c r="J13" s="215">
        <f>(1-Table1347891112132[[#This Row],[Hours Remain]]/Table1347891112132[[#This Row],[Total Hrs]])</f>
        <v>1</v>
      </c>
      <c r="K13" s="95"/>
      <c r="L13" s="175"/>
    </row>
    <row r="14" spans="2:12">
      <c r="B14" s="217">
        <v>1</v>
      </c>
      <c r="C14" s="186" t="s">
        <v>195</v>
      </c>
      <c r="D14" s="186"/>
      <c r="E14" s="186">
        <v>0</v>
      </c>
      <c r="F14" s="191">
        <v>4</v>
      </c>
      <c r="G14" s="191">
        <f t="shared" si="0"/>
        <v>4</v>
      </c>
      <c r="H14" s="214">
        <f t="shared" si="1"/>
        <v>1</v>
      </c>
      <c r="I14" s="191">
        <f t="shared" si="2"/>
        <v>4</v>
      </c>
      <c r="J14" s="215">
        <f>(1-Table1347891112132[[#This Row],[Hours Remain]]/Table1347891112132[[#This Row],[Total Hrs]])</f>
        <v>0</v>
      </c>
      <c r="K14" s="95"/>
      <c r="L14" s="175"/>
    </row>
    <row r="15" spans="2:12">
      <c r="B15" s="217">
        <v>22</v>
      </c>
      <c r="C15" s="186" t="s">
        <v>196</v>
      </c>
      <c r="D15" s="186"/>
      <c r="E15" s="186">
        <v>0</v>
      </c>
      <c r="F15" s="191">
        <v>0.5</v>
      </c>
      <c r="G15" s="191">
        <f t="shared" si="0"/>
        <v>11</v>
      </c>
      <c r="H15" s="214">
        <f t="shared" si="1"/>
        <v>22</v>
      </c>
      <c r="I15" s="191">
        <f t="shared" si="2"/>
        <v>11</v>
      </c>
      <c r="J15" s="215">
        <f>(1-Table1347891112132[[#This Row],[Hours Remain]]/Table1347891112132[[#This Row],[Total Hrs]])</f>
        <v>0</v>
      </c>
      <c r="K15" s="95"/>
      <c r="L15" s="175"/>
    </row>
    <row r="16" spans="2:12">
      <c r="B16" s="170"/>
      <c r="C16" s="186"/>
      <c r="D16" s="186"/>
      <c r="E16" s="208"/>
      <c r="F16" s="191"/>
      <c r="G16" s="191"/>
      <c r="H16" s="191"/>
      <c r="I16" s="191"/>
      <c r="J16" s="215"/>
      <c r="K16" s="95"/>
      <c r="L16" s="175"/>
    </row>
    <row r="17" spans="2:12">
      <c r="B17" s="132">
        <v>2</v>
      </c>
      <c r="C17" s="209" t="s">
        <v>214</v>
      </c>
      <c r="D17" s="209" t="s">
        <v>307</v>
      </c>
      <c r="E17" s="208">
        <v>2</v>
      </c>
      <c r="F17" s="214">
        <v>3</v>
      </c>
      <c r="G17" s="214">
        <f t="shared" si="0"/>
        <v>6</v>
      </c>
      <c r="H17" s="214">
        <f t="shared" si="1"/>
        <v>0</v>
      </c>
      <c r="I17" s="214">
        <f t="shared" si="2"/>
        <v>0</v>
      </c>
      <c r="J17" s="215">
        <f>(1-Table1347891112132[[#This Row],[Hours Remain]]/Table1347891112132[[#This Row],[Total Hrs]])</f>
        <v>1</v>
      </c>
      <c r="K17" s="96"/>
      <c r="L17" s="175"/>
    </row>
    <row r="18" spans="2:12">
      <c r="B18" s="217">
        <v>1</v>
      </c>
      <c r="C18" s="186" t="s">
        <v>195</v>
      </c>
      <c r="D18" s="186"/>
      <c r="E18" s="186">
        <v>0</v>
      </c>
      <c r="F18" s="191">
        <v>4</v>
      </c>
      <c r="G18" s="191">
        <f t="shared" si="0"/>
        <v>4</v>
      </c>
      <c r="H18" s="214">
        <f t="shared" si="1"/>
        <v>1</v>
      </c>
      <c r="I18" s="191">
        <f t="shared" si="2"/>
        <v>4</v>
      </c>
      <c r="J18" s="215">
        <f>(1-Table1347891112132[[#This Row],[Hours Remain]]/Table1347891112132[[#This Row],[Total Hrs]])</f>
        <v>0</v>
      </c>
      <c r="K18" s="211"/>
      <c r="L18" s="175"/>
    </row>
    <row r="19" spans="2:12">
      <c r="B19" s="217">
        <v>18</v>
      </c>
      <c r="C19" s="186" t="s">
        <v>196</v>
      </c>
      <c r="D19" s="186"/>
      <c r="E19" s="186">
        <v>0</v>
      </c>
      <c r="F19" s="191">
        <v>0.5</v>
      </c>
      <c r="G19" s="191">
        <f t="shared" si="0"/>
        <v>9</v>
      </c>
      <c r="H19" s="214">
        <f t="shared" si="1"/>
        <v>18</v>
      </c>
      <c r="I19" s="191">
        <f t="shared" si="2"/>
        <v>9</v>
      </c>
      <c r="J19" s="215">
        <f>(1-Table1347891112132[[#This Row],[Hours Remain]]/Table1347891112132[[#This Row],[Total Hrs]])</f>
        <v>0</v>
      </c>
      <c r="K19" s="211"/>
      <c r="L19" s="175"/>
    </row>
    <row r="20" spans="2:12">
      <c r="B20" s="170"/>
      <c r="C20" s="186"/>
      <c r="D20" s="186"/>
      <c r="E20" s="208"/>
      <c r="F20" s="191"/>
      <c r="G20" s="191"/>
      <c r="H20" s="191"/>
      <c r="I20" s="191"/>
      <c r="J20" s="215"/>
      <c r="K20" s="133"/>
      <c r="L20" s="175"/>
    </row>
    <row r="21" spans="2:12">
      <c r="B21" s="170">
        <v>5</v>
      </c>
      <c r="C21" s="164" t="s">
        <v>215</v>
      </c>
      <c r="D21" s="164" t="s">
        <v>311</v>
      </c>
      <c r="E21" s="208">
        <v>5</v>
      </c>
      <c r="F21" s="214">
        <v>3</v>
      </c>
      <c r="G21" s="214">
        <f t="shared" si="0"/>
        <v>15</v>
      </c>
      <c r="H21" s="214">
        <f t="shared" si="1"/>
        <v>0</v>
      </c>
      <c r="I21" s="214">
        <f t="shared" si="2"/>
        <v>0</v>
      </c>
      <c r="J21" s="215">
        <f>(1-Table1347891112132[[#This Row],[Hours Remain]]/Table1347891112132[[#This Row],[Total Hrs]])</f>
        <v>1</v>
      </c>
      <c r="K21" s="134"/>
      <c r="L21" s="175"/>
    </row>
    <row r="22" spans="2:12">
      <c r="B22" s="170">
        <v>1</v>
      </c>
      <c r="C22" s="186" t="s">
        <v>192</v>
      </c>
      <c r="D22" s="186"/>
      <c r="E22" s="208">
        <v>0</v>
      </c>
      <c r="F22" s="191">
        <v>4</v>
      </c>
      <c r="G22" s="214">
        <f t="shared" si="0"/>
        <v>4</v>
      </c>
      <c r="H22" s="214">
        <f t="shared" si="1"/>
        <v>1</v>
      </c>
      <c r="I22" s="214">
        <f t="shared" si="2"/>
        <v>4</v>
      </c>
      <c r="J22" s="215">
        <f>(1-Table1347891112132[[#This Row],[Hours Remain]]/Table1347891112132[[#This Row],[Total Hrs]])</f>
        <v>0</v>
      </c>
      <c r="K22" s="135"/>
      <c r="L22" s="79"/>
    </row>
    <row r="23" spans="2:12">
      <c r="B23" s="170">
        <v>6</v>
      </c>
      <c r="C23" s="186" t="s">
        <v>193</v>
      </c>
      <c r="D23" s="186"/>
      <c r="E23" s="208">
        <v>0</v>
      </c>
      <c r="F23" s="191">
        <v>1</v>
      </c>
      <c r="G23" s="214">
        <f t="shared" si="0"/>
        <v>6</v>
      </c>
      <c r="H23" s="214">
        <f t="shared" si="1"/>
        <v>6</v>
      </c>
      <c r="I23" s="214">
        <f t="shared" si="2"/>
        <v>6</v>
      </c>
      <c r="J23" s="215">
        <f>(1-Table1347891112132[[#This Row],[Hours Remain]]/Table1347891112132[[#This Row],[Total Hrs]])</f>
        <v>0</v>
      </c>
      <c r="K23" s="133"/>
      <c r="L23" s="175"/>
    </row>
    <row r="24" spans="2:12">
      <c r="B24" s="217">
        <v>5</v>
      </c>
      <c r="C24" s="186" t="s">
        <v>180</v>
      </c>
      <c r="D24" s="186"/>
      <c r="E24" s="186">
        <v>0</v>
      </c>
      <c r="F24" s="191">
        <v>0.5</v>
      </c>
      <c r="G24" s="214">
        <f t="shared" si="0"/>
        <v>2.5</v>
      </c>
      <c r="H24" s="214">
        <f t="shared" si="1"/>
        <v>5</v>
      </c>
      <c r="I24" s="214">
        <f t="shared" si="2"/>
        <v>2.5</v>
      </c>
      <c r="J24" s="215">
        <f>(1-Table1347891112132[[#This Row],[Hours Remain]]/Table1347891112132[[#This Row],[Total Hrs]])</f>
        <v>0</v>
      </c>
      <c r="K24" s="133"/>
      <c r="L24" s="175"/>
    </row>
    <row r="25" spans="2:12">
      <c r="B25" s="217">
        <v>2</v>
      </c>
      <c r="C25" s="186" t="s">
        <v>195</v>
      </c>
      <c r="D25" s="186"/>
      <c r="E25" s="186">
        <v>0</v>
      </c>
      <c r="F25" s="191">
        <v>4</v>
      </c>
      <c r="G25" s="191">
        <f t="shared" si="0"/>
        <v>8</v>
      </c>
      <c r="H25" s="214">
        <f t="shared" si="1"/>
        <v>2</v>
      </c>
      <c r="I25" s="191">
        <f t="shared" si="2"/>
        <v>8</v>
      </c>
      <c r="J25" s="215">
        <f>(1-Table1347891112132[[#This Row],[Hours Remain]]/Table1347891112132[[#This Row],[Total Hrs]])</f>
        <v>0</v>
      </c>
      <c r="K25" s="133"/>
      <c r="L25" s="175"/>
    </row>
    <row r="26" spans="2:12">
      <c r="B26" s="217">
        <v>36</v>
      </c>
      <c r="C26" s="186" t="s">
        <v>196</v>
      </c>
      <c r="D26" s="186"/>
      <c r="E26" s="186">
        <v>0</v>
      </c>
      <c r="F26" s="191">
        <v>0.5</v>
      </c>
      <c r="G26" s="191">
        <f t="shared" si="0"/>
        <v>18</v>
      </c>
      <c r="H26" s="214">
        <f t="shared" si="1"/>
        <v>36</v>
      </c>
      <c r="I26" s="191">
        <f t="shared" si="2"/>
        <v>18</v>
      </c>
      <c r="J26" s="215">
        <f>(1-Table1347891112132[[#This Row],[Hours Remain]]/Table1347891112132[[#This Row],[Total Hrs]])</f>
        <v>0</v>
      </c>
      <c r="K26" s="133"/>
      <c r="L26" s="175"/>
    </row>
    <row r="27" spans="2:12">
      <c r="B27" s="170"/>
      <c r="C27" s="186"/>
      <c r="D27" s="186"/>
      <c r="E27" s="208"/>
      <c r="F27" s="191"/>
      <c r="G27" s="191"/>
      <c r="H27" s="191"/>
      <c r="I27" s="191"/>
      <c r="J27" s="215"/>
      <c r="K27" s="136"/>
      <c r="L27" s="175"/>
    </row>
    <row r="28" spans="2:12">
      <c r="B28" s="170">
        <v>9</v>
      </c>
      <c r="C28" s="164" t="s">
        <v>216</v>
      </c>
      <c r="D28" s="164" t="s">
        <v>312</v>
      </c>
      <c r="E28" s="208">
        <v>9</v>
      </c>
      <c r="F28" s="214">
        <v>3</v>
      </c>
      <c r="G28" s="214">
        <f t="shared" si="0"/>
        <v>27</v>
      </c>
      <c r="H28" s="214">
        <f t="shared" si="1"/>
        <v>0</v>
      </c>
      <c r="I28" s="214">
        <f t="shared" si="2"/>
        <v>0</v>
      </c>
      <c r="J28" s="215">
        <f>(1-Table1347891112132[[#This Row],[Hours Remain]]/Table1347891112132[[#This Row],[Total Hrs]])</f>
        <v>1</v>
      </c>
      <c r="K28" s="135"/>
      <c r="L28" s="79"/>
    </row>
    <row r="29" spans="2:12">
      <c r="B29" s="170">
        <v>5</v>
      </c>
      <c r="C29" s="186" t="s">
        <v>192</v>
      </c>
      <c r="D29" s="186"/>
      <c r="E29" s="208">
        <v>5</v>
      </c>
      <c r="F29" s="191">
        <v>4</v>
      </c>
      <c r="G29" s="214">
        <f t="shared" si="0"/>
        <v>20</v>
      </c>
      <c r="H29" s="191">
        <f t="shared" si="1"/>
        <v>0</v>
      </c>
      <c r="I29" s="214">
        <f t="shared" si="2"/>
        <v>0</v>
      </c>
      <c r="J29" s="215">
        <f>(1-Table1347891112132[[#This Row],[Hours Remain]]/Table1347891112132[[#This Row],[Total Hrs]])</f>
        <v>1</v>
      </c>
      <c r="K29" s="133"/>
      <c r="L29" s="175"/>
    </row>
    <row r="30" spans="2:12">
      <c r="B30" s="170">
        <v>10</v>
      </c>
      <c r="C30" s="186" t="s">
        <v>193</v>
      </c>
      <c r="D30" s="186"/>
      <c r="E30" s="208">
        <v>10</v>
      </c>
      <c r="F30" s="191">
        <v>1</v>
      </c>
      <c r="G30" s="214">
        <f t="shared" si="0"/>
        <v>10</v>
      </c>
      <c r="H30" s="191">
        <f t="shared" si="1"/>
        <v>0</v>
      </c>
      <c r="I30" s="214">
        <f t="shared" si="2"/>
        <v>0</v>
      </c>
      <c r="J30" s="215">
        <f>(1-Table1347891112132[[#This Row],[Hours Remain]]/Table1347891112132[[#This Row],[Total Hrs]])</f>
        <v>1</v>
      </c>
      <c r="K30" s="135" t="s">
        <v>198</v>
      </c>
      <c r="L30" s="175"/>
    </row>
    <row r="31" spans="2:12">
      <c r="B31" s="217">
        <v>14</v>
      </c>
      <c r="C31" s="186" t="s">
        <v>180</v>
      </c>
      <c r="D31" s="186"/>
      <c r="E31" s="186">
        <v>0</v>
      </c>
      <c r="F31" s="191">
        <v>0.5</v>
      </c>
      <c r="G31" s="214">
        <f t="shared" si="0"/>
        <v>7</v>
      </c>
      <c r="H31" s="191">
        <f t="shared" si="1"/>
        <v>14</v>
      </c>
      <c r="I31" s="214">
        <f t="shared" si="2"/>
        <v>7</v>
      </c>
      <c r="J31" s="215">
        <f>(1-Table1347891112132[[#This Row],[Hours Remain]]/Table1347891112132[[#This Row],[Total Hrs]])</f>
        <v>0</v>
      </c>
      <c r="K31" s="135"/>
      <c r="L31" s="175"/>
    </row>
    <row r="32" spans="2:12">
      <c r="B32" s="217">
        <v>2</v>
      </c>
      <c r="C32" s="186" t="s">
        <v>194</v>
      </c>
      <c r="D32" s="186"/>
      <c r="E32" s="186">
        <v>2</v>
      </c>
      <c r="F32" s="191">
        <v>1.25</v>
      </c>
      <c r="G32" s="191">
        <f t="shared" si="0"/>
        <v>2.5</v>
      </c>
      <c r="H32" s="191">
        <f t="shared" si="1"/>
        <v>0</v>
      </c>
      <c r="I32" s="191">
        <f t="shared" si="2"/>
        <v>0</v>
      </c>
      <c r="J32" s="215">
        <f>(1-Table1347891112132[[#This Row],[Hours Remain]]/Table1347891112132[[#This Row],[Total Hrs]])</f>
        <v>1</v>
      </c>
      <c r="K32" s="135"/>
      <c r="L32" s="175"/>
    </row>
    <row r="33" spans="2:12">
      <c r="B33" s="217"/>
      <c r="C33" s="186"/>
      <c r="D33" s="186"/>
      <c r="E33" s="186"/>
      <c r="F33" s="191"/>
      <c r="G33" s="191"/>
      <c r="H33" s="191"/>
      <c r="I33" s="191"/>
      <c r="J33" s="215"/>
      <c r="K33" s="135"/>
      <c r="L33" s="175"/>
    </row>
    <row r="34" spans="2:12">
      <c r="B34" s="170">
        <v>9</v>
      </c>
      <c r="C34" s="164" t="s">
        <v>217</v>
      </c>
      <c r="D34" s="164" t="s">
        <v>308</v>
      </c>
      <c r="E34" s="208">
        <v>9</v>
      </c>
      <c r="F34" s="214">
        <v>3</v>
      </c>
      <c r="G34" s="214">
        <f t="shared" si="0"/>
        <v>27</v>
      </c>
      <c r="H34" s="214">
        <f t="shared" si="1"/>
        <v>0</v>
      </c>
      <c r="I34" s="214">
        <f t="shared" si="2"/>
        <v>0</v>
      </c>
      <c r="J34" s="215">
        <f>(1-Table1347891112132[[#This Row],[Hours Remain]]/Table1347891112132[[#This Row],[Total Hrs]])</f>
        <v>1</v>
      </c>
      <c r="K34" s="133"/>
      <c r="L34" s="175"/>
    </row>
    <row r="35" spans="2:12">
      <c r="B35" s="170">
        <v>5</v>
      </c>
      <c r="C35" s="186" t="s">
        <v>192</v>
      </c>
      <c r="D35" s="186"/>
      <c r="E35" s="208">
        <v>3</v>
      </c>
      <c r="F35" s="191">
        <v>4</v>
      </c>
      <c r="G35" s="214">
        <f t="shared" si="0"/>
        <v>20</v>
      </c>
      <c r="H35" s="214">
        <f t="shared" si="1"/>
        <v>2</v>
      </c>
      <c r="I35" s="214">
        <f t="shared" si="2"/>
        <v>8</v>
      </c>
      <c r="J35" s="215">
        <f>(1-Table1347891112132[[#This Row],[Hours Remain]]/Table1347891112132[[#This Row],[Total Hrs]])</f>
        <v>0.6</v>
      </c>
      <c r="K35" s="135"/>
      <c r="L35" s="175"/>
    </row>
    <row r="36" spans="2:12">
      <c r="B36" s="170">
        <v>20</v>
      </c>
      <c r="C36" s="186" t="s">
        <v>193</v>
      </c>
      <c r="D36" s="186"/>
      <c r="E36" s="208">
        <v>0</v>
      </c>
      <c r="F36" s="191">
        <v>1</v>
      </c>
      <c r="G36" s="214">
        <f t="shared" si="0"/>
        <v>20</v>
      </c>
      <c r="H36" s="214">
        <f t="shared" si="1"/>
        <v>20</v>
      </c>
      <c r="I36" s="214">
        <f t="shared" si="2"/>
        <v>20</v>
      </c>
      <c r="J36" s="215">
        <f>(1-Table1347891112132[[#This Row],[Hours Remain]]/Table1347891112132[[#This Row],[Total Hrs]])</f>
        <v>0</v>
      </c>
      <c r="K36" s="135"/>
      <c r="L36" s="79"/>
    </row>
    <row r="37" spans="2:12">
      <c r="B37" s="217">
        <v>12</v>
      </c>
      <c r="C37" s="186" t="s">
        <v>180</v>
      </c>
      <c r="D37" s="186"/>
      <c r="E37" s="186">
        <v>0</v>
      </c>
      <c r="F37" s="191">
        <v>0.5</v>
      </c>
      <c r="G37" s="214">
        <f t="shared" si="0"/>
        <v>6</v>
      </c>
      <c r="H37" s="214">
        <f t="shared" si="1"/>
        <v>12</v>
      </c>
      <c r="I37" s="214">
        <f t="shared" si="2"/>
        <v>6</v>
      </c>
      <c r="J37" s="215">
        <f>(1-Table1347891112132[[#This Row],[Hours Remain]]/Table1347891112132[[#This Row],[Total Hrs]])</f>
        <v>0</v>
      </c>
      <c r="K37" s="133"/>
      <c r="L37" s="79"/>
    </row>
    <row r="38" spans="2:12">
      <c r="B38" s="217">
        <v>6</v>
      </c>
      <c r="C38" s="186" t="s">
        <v>194</v>
      </c>
      <c r="D38" s="186"/>
      <c r="E38" s="186">
        <v>3</v>
      </c>
      <c r="F38" s="191">
        <v>1.25</v>
      </c>
      <c r="G38" s="191">
        <f t="shared" si="0"/>
        <v>7.5</v>
      </c>
      <c r="H38" s="214">
        <f t="shared" si="1"/>
        <v>3</v>
      </c>
      <c r="I38" s="191">
        <f t="shared" si="2"/>
        <v>3.75</v>
      </c>
      <c r="J38" s="215">
        <f>(1-Table1347891112132[[#This Row],[Hours Remain]]/Table1347891112132[[#This Row],[Total Hrs]])</f>
        <v>0.5</v>
      </c>
      <c r="K38" s="133"/>
      <c r="L38" s="79"/>
    </row>
    <row r="39" spans="2:12">
      <c r="B39" s="170"/>
      <c r="C39" s="186"/>
      <c r="D39" s="186"/>
      <c r="E39" s="208"/>
      <c r="F39" s="191"/>
      <c r="G39" s="191"/>
      <c r="H39" s="191"/>
      <c r="I39" s="191"/>
      <c r="J39" s="215"/>
      <c r="K39" s="133"/>
      <c r="L39" s="175"/>
    </row>
    <row r="40" spans="2:12">
      <c r="B40" s="170">
        <v>13</v>
      </c>
      <c r="C40" s="164" t="s">
        <v>218</v>
      </c>
      <c r="D40" s="164" t="s">
        <v>313</v>
      </c>
      <c r="E40" s="208">
        <v>13</v>
      </c>
      <c r="F40" s="214">
        <v>3</v>
      </c>
      <c r="G40" s="214">
        <f t="shared" si="0"/>
        <v>39</v>
      </c>
      <c r="H40" s="214">
        <f t="shared" si="1"/>
        <v>0</v>
      </c>
      <c r="I40" s="214">
        <f t="shared" si="2"/>
        <v>0</v>
      </c>
      <c r="J40" s="215">
        <f>(1-Table1347891112132[[#This Row],[Hours Remain]]/Table1347891112132[[#This Row],[Total Hrs]])</f>
        <v>1</v>
      </c>
      <c r="K40" s="137"/>
      <c r="L40" s="175"/>
    </row>
    <row r="41" spans="2:12">
      <c r="B41" s="170">
        <v>6</v>
      </c>
      <c r="C41" s="186" t="s">
        <v>192</v>
      </c>
      <c r="D41" s="186"/>
      <c r="E41" s="208">
        <v>2</v>
      </c>
      <c r="F41" s="191">
        <v>4</v>
      </c>
      <c r="G41" s="214">
        <f t="shared" si="0"/>
        <v>24</v>
      </c>
      <c r="H41" s="214">
        <f t="shared" si="1"/>
        <v>4</v>
      </c>
      <c r="I41" s="214">
        <f t="shared" si="2"/>
        <v>16</v>
      </c>
      <c r="J41" s="215">
        <f>(1-Table1347891112132[[#This Row],[Hours Remain]]/Table1347891112132[[#This Row],[Total Hrs]])</f>
        <v>0.33333333333333337</v>
      </c>
      <c r="K41" s="135"/>
      <c r="L41" s="79"/>
    </row>
    <row r="42" spans="2:12">
      <c r="B42" s="170">
        <v>6</v>
      </c>
      <c r="C42" s="186" t="s">
        <v>193</v>
      </c>
      <c r="D42" s="186"/>
      <c r="E42" s="208">
        <v>0</v>
      </c>
      <c r="F42" s="191">
        <v>1</v>
      </c>
      <c r="G42" s="214">
        <f t="shared" si="0"/>
        <v>6</v>
      </c>
      <c r="H42" s="214">
        <f t="shared" si="1"/>
        <v>6</v>
      </c>
      <c r="I42" s="214">
        <f t="shared" si="2"/>
        <v>6</v>
      </c>
      <c r="J42" s="215">
        <f>(1-Table1347891112132[[#This Row],[Hours Remain]]/Table1347891112132[[#This Row],[Total Hrs]])</f>
        <v>0</v>
      </c>
      <c r="K42" s="138"/>
      <c r="L42" s="175"/>
    </row>
    <row r="43" spans="2:12">
      <c r="B43" s="217">
        <v>23</v>
      </c>
      <c r="C43" s="186" t="s">
        <v>180</v>
      </c>
      <c r="D43" s="186"/>
      <c r="E43" s="186">
        <v>0</v>
      </c>
      <c r="F43" s="191">
        <v>0.5</v>
      </c>
      <c r="G43" s="214">
        <f t="shared" si="0"/>
        <v>11.5</v>
      </c>
      <c r="H43" s="214">
        <f t="shared" si="1"/>
        <v>23</v>
      </c>
      <c r="I43" s="214">
        <f t="shared" si="2"/>
        <v>11.5</v>
      </c>
      <c r="J43" s="215">
        <f>(1-Table1347891112132[[#This Row],[Hours Remain]]/Table1347891112132[[#This Row],[Total Hrs]])</f>
        <v>0</v>
      </c>
      <c r="K43" s="138"/>
      <c r="L43" s="175"/>
    </row>
    <row r="44" spans="2:12">
      <c r="B44" s="170"/>
      <c r="C44" s="186"/>
      <c r="D44" s="186"/>
      <c r="E44" s="208"/>
      <c r="F44" s="191"/>
      <c r="G44" s="191"/>
      <c r="H44" s="191"/>
      <c r="I44" s="191"/>
      <c r="J44" s="215"/>
      <c r="K44" s="135"/>
      <c r="L44" s="175"/>
    </row>
    <row r="45" spans="2:12">
      <c r="B45" s="170">
        <v>9</v>
      </c>
      <c r="C45" s="164" t="s">
        <v>219</v>
      </c>
      <c r="D45" s="164" t="s">
        <v>314</v>
      </c>
      <c r="E45" s="208">
        <v>9</v>
      </c>
      <c r="F45" s="214">
        <v>3</v>
      </c>
      <c r="G45" s="214">
        <f t="shared" si="0"/>
        <v>27</v>
      </c>
      <c r="H45" s="214">
        <f t="shared" si="1"/>
        <v>0</v>
      </c>
      <c r="I45" s="214">
        <f t="shared" si="2"/>
        <v>0</v>
      </c>
      <c r="J45" s="215">
        <f>(1-Table1347891112132[[#This Row],[Hours Remain]]/Table1347891112132[[#This Row],[Total Hrs]])</f>
        <v>1</v>
      </c>
      <c r="K45" s="135"/>
      <c r="L45" s="79"/>
    </row>
    <row r="46" spans="2:12">
      <c r="B46" s="170">
        <v>5</v>
      </c>
      <c r="C46" s="186" t="s">
        <v>192</v>
      </c>
      <c r="D46" s="186"/>
      <c r="E46" s="208">
        <v>4</v>
      </c>
      <c r="F46" s="191">
        <v>4</v>
      </c>
      <c r="G46" s="214">
        <f t="shared" si="0"/>
        <v>20</v>
      </c>
      <c r="H46" s="214">
        <f t="shared" si="1"/>
        <v>1</v>
      </c>
      <c r="I46" s="214">
        <f t="shared" si="2"/>
        <v>4</v>
      </c>
      <c r="J46" s="215">
        <f>(1-Table1347891112132[[#This Row],[Hours Remain]]/Table1347891112132[[#This Row],[Total Hrs]])</f>
        <v>0.8</v>
      </c>
      <c r="K46" s="133"/>
      <c r="L46" s="175"/>
    </row>
    <row r="47" spans="2:12">
      <c r="B47" s="170">
        <v>13</v>
      </c>
      <c r="C47" s="186" t="s">
        <v>193</v>
      </c>
      <c r="D47" s="186"/>
      <c r="E47" s="208">
        <v>2</v>
      </c>
      <c r="F47" s="191">
        <v>1</v>
      </c>
      <c r="G47" s="214">
        <f t="shared" si="0"/>
        <v>13</v>
      </c>
      <c r="H47" s="214">
        <f t="shared" si="1"/>
        <v>11</v>
      </c>
      <c r="I47" s="214">
        <f t="shared" si="2"/>
        <v>11</v>
      </c>
      <c r="J47" s="215">
        <f>(1-Table1347891112132[[#This Row],[Hours Remain]]/Table1347891112132[[#This Row],[Total Hrs]])</f>
        <v>0.15384615384615385</v>
      </c>
      <c r="K47" s="135"/>
      <c r="L47" s="175"/>
    </row>
    <row r="48" spans="2:12">
      <c r="B48" s="217">
        <v>8</v>
      </c>
      <c r="C48" s="186" t="s">
        <v>180</v>
      </c>
      <c r="D48" s="186"/>
      <c r="E48" s="186">
        <v>0</v>
      </c>
      <c r="F48" s="191">
        <v>0.5</v>
      </c>
      <c r="G48" s="214">
        <f t="shared" si="0"/>
        <v>4</v>
      </c>
      <c r="H48" s="214">
        <f t="shared" si="1"/>
        <v>8</v>
      </c>
      <c r="I48" s="214">
        <f t="shared" si="2"/>
        <v>4</v>
      </c>
      <c r="J48" s="215">
        <f>(1-Table1347891112132[[#This Row],[Hours Remain]]/Table1347891112132[[#This Row],[Total Hrs]])</f>
        <v>0</v>
      </c>
      <c r="K48" s="135"/>
      <c r="L48" s="175"/>
    </row>
    <row r="49" spans="2:14">
      <c r="B49" s="217">
        <v>2</v>
      </c>
      <c r="C49" s="186" t="s">
        <v>194</v>
      </c>
      <c r="D49" s="186"/>
      <c r="E49" s="186">
        <v>2</v>
      </c>
      <c r="F49" s="191">
        <v>1.25</v>
      </c>
      <c r="G49" s="191">
        <f t="shared" si="0"/>
        <v>2.5</v>
      </c>
      <c r="H49" s="214">
        <f t="shared" si="1"/>
        <v>0</v>
      </c>
      <c r="I49" s="191">
        <f t="shared" si="2"/>
        <v>0</v>
      </c>
      <c r="J49" s="215">
        <f>(1-Table1347891112132[[#This Row],[Hours Remain]]/Table1347891112132[[#This Row],[Total Hrs]])</f>
        <v>1</v>
      </c>
      <c r="K49" s="135"/>
      <c r="L49" s="175"/>
    </row>
    <row r="50" spans="2:14">
      <c r="B50" s="170"/>
      <c r="C50" s="186"/>
      <c r="D50" s="164"/>
      <c r="E50" s="208"/>
      <c r="F50" s="191"/>
      <c r="G50" s="191"/>
      <c r="H50" s="191"/>
      <c r="I50" s="191"/>
      <c r="J50" s="215"/>
      <c r="K50" s="135"/>
      <c r="L50" s="79"/>
      <c r="N50" s="76">
        <f>323.7+386</f>
        <v>709.7</v>
      </c>
    </row>
    <row r="51" spans="2:14">
      <c r="B51" s="170">
        <v>2</v>
      </c>
      <c r="C51" s="164" t="s">
        <v>220</v>
      </c>
      <c r="D51" s="164" t="s">
        <v>315</v>
      </c>
      <c r="E51" s="208">
        <v>2</v>
      </c>
      <c r="F51" s="214">
        <v>3</v>
      </c>
      <c r="G51" s="214">
        <f t="shared" si="0"/>
        <v>6</v>
      </c>
      <c r="H51" s="214">
        <f t="shared" si="1"/>
        <v>0</v>
      </c>
      <c r="I51" s="214">
        <f t="shared" si="2"/>
        <v>0</v>
      </c>
      <c r="J51" s="215">
        <f>(1-Table1347891112132[[#This Row],[Hours Remain]]/Table1347891112132[[#This Row],[Total Hrs]])</f>
        <v>1</v>
      </c>
      <c r="K51" s="133"/>
      <c r="L51" s="175"/>
    </row>
    <row r="52" spans="2:14">
      <c r="B52" s="217">
        <v>1</v>
      </c>
      <c r="C52" s="186" t="s">
        <v>195</v>
      </c>
      <c r="D52" s="186"/>
      <c r="E52" s="186">
        <v>1</v>
      </c>
      <c r="F52" s="191">
        <v>4</v>
      </c>
      <c r="G52" s="191">
        <f t="shared" si="0"/>
        <v>4</v>
      </c>
      <c r="H52" s="214">
        <f t="shared" si="1"/>
        <v>0</v>
      </c>
      <c r="I52" s="191">
        <f t="shared" si="2"/>
        <v>0</v>
      </c>
      <c r="J52" s="215">
        <f>(1-Table1347891112132[[#This Row],[Hours Remain]]/Table1347891112132[[#This Row],[Total Hrs]])</f>
        <v>1</v>
      </c>
      <c r="K52" s="133"/>
      <c r="L52" s="175"/>
    </row>
    <row r="53" spans="2:14">
      <c r="B53" s="217">
        <v>34</v>
      </c>
      <c r="C53" s="186" t="s">
        <v>196</v>
      </c>
      <c r="D53" s="186"/>
      <c r="E53" s="186">
        <v>0</v>
      </c>
      <c r="F53" s="191">
        <v>0.5</v>
      </c>
      <c r="G53" s="191">
        <f t="shared" si="0"/>
        <v>17</v>
      </c>
      <c r="H53" s="214">
        <f t="shared" si="1"/>
        <v>34</v>
      </c>
      <c r="I53" s="191">
        <f t="shared" si="2"/>
        <v>17</v>
      </c>
      <c r="J53" s="215">
        <f>(1-Table1347891112132[[#This Row],[Hours Remain]]/Table1347891112132[[#This Row],[Total Hrs]])</f>
        <v>0</v>
      </c>
      <c r="K53" s="133"/>
      <c r="L53" s="175"/>
    </row>
    <row r="54" spans="2:14">
      <c r="B54" s="170"/>
      <c r="C54" s="186"/>
      <c r="D54" s="186"/>
      <c r="E54" s="208"/>
      <c r="F54" s="191"/>
      <c r="G54" s="191"/>
      <c r="H54" s="191"/>
      <c r="I54" s="191"/>
      <c r="J54" s="215"/>
      <c r="K54" s="135"/>
      <c r="L54" s="175"/>
    </row>
    <row r="55" spans="2:14">
      <c r="B55" s="170">
        <v>2</v>
      </c>
      <c r="C55" s="164" t="s">
        <v>221</v>
      </c>
      <c r="D55" s="164" t="s">
        <v>316</v>
      </c>
      <c r="E55" s="186">
        <v>2</v>
      </c>
      <c r="F55" s="191">
        <v>3</v>
      </c>
      <c r="G55" s="191">
        <f t="shared" si="0"/>
        <v>6</v>
      </c>
      <c r="H55" s="191">
        <f t="shared" si="1"/>
        <v>0</v>
      </c>
      <c r="I55" s="191">
        <f t="shared" si="2"/>
        <v>0</v>
      </c>
      <c r="J55" s="215">
        <f>(1-Table1347891112132[[#This Row],[Hours Remain]]/Table1347891112132[[#This Row],[Total Hrs]])</f>
        <v>1</v>
      </c>
      <c r="K55" s="135"/>
      <c r="L55" s="79"/>
    </row>
    <row r="56" spans="2:14">
      <c r="B56" s="170">
        <v>1</v>
      </c>
      <c r="C56" s="186" t="s">
        <v>193</v>
      </c>
      <c r="D56" s="186"/>
      <c r="E56" s="186">
        <v>0</v>
      </c>
      <c r="F56" s="191">
        <v>1</v>
      </c>
      <c r="G56" s="191">
        <f t="shared" si="0"/>
        <v>1</v>
      </c>
      <c r="H56" s="191">
        <f t="shared" si="1"/>
        <v>1</v>
      </c>
      <c r="I56" s="191">
        <f t="shared" si="2"/>
        <v>1</v>
      </c>
      <c r="J56" s="215">
        <f>(1-Table1347891112132[[#This Row],[Hours Remain]]/Table1347891112132[[#This Row],[Total Hrs]])</f>
        <v>0</v>
      </c>
      <c r="K56" s="133" t="s">
        <v>198</v>
      </c>
      <c r="L56" s="175"/>
    </row>
    <row r="57" spans="2:14">
      <c r="B57" s="217">
        <v>1</v>
      </c>
      <c r="C57" s="186" t="s">
        <v>195</v>
      </c>
      <c r="D57" s="186"/>
      <c r="E57" s="186"/>
      <c r="F57" s="191">
        <v>4</v>
      </c>
      <c r="G57" s="191">
        <f t="shared" si="0"/>
        <v>4</v>
      </c>
      <c r="H57" s="191">
        <f t="shared" si="1"/>
        <v>1</v>
      </c>
      <c r="I57" s="191">
        <f t="shared" si="2"/>
        <v>4</v>
      </c>
      <c r="J57" s="215">
        <f>(1-Table1347891112132[[#This Row],[Hours Remain]]/Table1347891112132[[#This Row],[Total Hrs]])</f>
        <v>0</v>
      </c>
      <c r="K57" s="133"/>
      <c r="L57" s="175"/>
    </row>
    <row r="58" spans="2:14">
      <c r="B58" s="217">
        <v>53</v>
      </c>
      <c r="C58" s="186" t="s">
        <v>196</v>
      </c>
      <c r="D58" s="186"/>
      <c r="E58" s="186">
        <v>0</v>
      </c>
      <c r="F58" s="191">
        <v>0.5</v>
      </c>
      <c r="G58" s="191">
        <f t="shared" si="0"/>
        <v>26.5</v>
      </c>
      <c r="H58" s="191">
        <f t="shared" si="1"/>
        <v>53</v>
      </c>
      <c r="I58" s="191">
        <f t="shared" si="2"/>
        <v>26.5</v>
      </c>
      <c r="J58" s="215">
        <f>(1-Table1347891112132[[#This Row],[Hours Remain]]/Table1347891112132[[#This Row],[Total Hrs]])</f>
        <v>0</v>
      </c>
      <c r="K58" s="133"/>
      <c r="L58" s="175"/>
    </row>
    <row r="59" spans="2:14">
      <c r="B59" s="170"/>
      <c r="C59" s="186"/>
      <c r="D59" s="186"/>
      <c r="E59" s="186"/>
      <c r="F59" s="191"/>
      <c r="G59" s="191"/>
      <c r="H59" s="191"/>
      <c r="I59" s="191"/>
      <c r="J59" s="215"/>
      <c r="K59" s="135"/>
      <c r="L59" s="79"/>
    </row>
    <row r="60" spans="2:14">
      <c r="B60" s="170">
        <v>5</v>
      </c>
      <c r="C60" s="164" t="s">
        <v>223</v>
      </c>
      <c r="D60" s="164" t="s">
        <v>290</v>
      </c>
      <c r="E60" s="186">
        <v>5</v>
      </c>
      <c r="F60" s="191">
        <v>3</v>
      </c>
      <c r="G60" s="191">
        <f t="shared" si="0"/>
        <v>15</v>
      </c>
      <c r="H60" s="214">
        <f t="shared" si="1"/>
        <v>0</v>
      </c>
      <c r="I60" s="191">
        <f t="shared" si="2"/>
        <v>0</v>
      </c>
      <c r="J60" s="215">
        <f>(1-Table1347891112132[[#This Row],[Hours Remain]]/Table1347891112132[[#This Row],[Total Hrs]])</f>
        <v>1</v>
      </c>
      <c r="K60" s="133"/>
      <c r="L60" s="175"/>
    </row>
    <row r="61" spans="2:14">
      <c r="B61" s="217">
        <v>1</v>
      </c>
      <c r="C61" s="186" t="s">
        <v>193</v>
      </c>
      <c r="D61" s="186"/>
      <c r="E61" s="186">
        <v>0</v>
      </c>
      <c r="F61" s="191">
        <v>1</v>
      </c>
      <c r="G61" s="191">
        <f t="shared" si="0"/>
        <v>1</v>
      </c>
      <c r="H61" s="214">
        <f t="shared" si="1"/>
        <v>1</v>
      </c>
      <c r="I61" s="191">
        <f t="shared" si="2"/>
        <v>1</v>
      </c>
      <c r="J61" s="215">
        <f>(1-Table1347891112132[[#This Row],[Hours Remain]]/Table1347891112132[[#This Row],[Total Hrs]])</f>
        <v>0</v>
      </c>
      <c r="K61" s="133"/>
      <c r="L61" s="175"/>
    </row>
    <row r="62" spans="2:14">
      <c r="B62" s="217">
        <v>2</v>
      </c>
      <c r="C62" s="186" t="s">
        <v>195</v>
      </c>
      <c r="D62" s="186"/>
      <c r="E62" s="186">
        <v>0</v>
      </c>
      <c r="F62" s="191">
        <v>4</v>
      </c>
      <c r="G62" s="191">
        <f t="shared" si="0"/>
        <v>8</v>
      </c>
      <c r="H62" s="214">
        <f t="shared" si="1"/>
        <v>2</v>
      </c>
      <c r="I62" s="191">
        <f t="shared" si="2"/>
        <v>8</v>
      </c>
      <c r="J62" s="215">
        <f>(1-Table1347891112132[[#This Row],[Hours Remain]]/Table1347891112132[[#This Row],[Total Hrs]])</f>
        <v>0</v>
      </c>
      <c r="K62" s="133"/>
      <c r="L62" s="175"/>
    </row>
    <row r="63" spans="2:14">
      <c r="B63" s="217">
        <v>17</v>
      </c>
      <c r="C63" s="186" t="s">
        <v>196</v>
      </c>
      <c r="D63" s="186"/>
      <c r="E63" s="186">
        <v>0</v>
      </c>
      <c r="F63" s="191">
        <v>0.5</v>
      </c>
      <c r="G63" s="191">
        <f t="shared" si="0"/>
        <v>8.5</v>
      </c>
      <c r="H63" s="214">
        <f t="shared" si="1"/>
        <v>17</v>
      </c>
      <c r="I63" s="191">
        <f t="shared" si="2"/>
        <v>8.5</v>
      </c>
      <c r="J63" s="215">
        <f>(1-Table1347891112132[[#This Row],[Hours Remain]]/Table1347891112132[[#This Row],[Total Hrs]])</f>
        <v>0</v>
      </c>
      <c r="K63" s="133"/>
      <c r="L63" s="175"/>
    </row>
    <row r="64" spans="2:14">
      <c r="B64" s="170"/>
      <c r="C64" s="186"/>
      <c r="D64" s="186"/>
      <c r="E64" s="208"/>
      <c r="F64" s="191"/>
      <c r="G64" s="191"/>
      <c r="H64" s="191"/>
      <c r="I64" s="191"/>
      <c r="J64" s="215"/>
      <c r="K64" s="133"/>
      <c r="L64" s="175"/>
    </row>
    <row r="65" spans="2:12">
      <c r="B65" s="170">
        <v>11</v>
      </c>
      <c r="C65" s="164" t="s">
        <v>222</v>
      </c>
      <c r="D65" s="164" t="s">
        <v>317</v>
      </c>
      <c r="E65" s="186">
        <v>11</v>
      </c>
      <c r="F65" s="191">
        <v>3</v>
      </c>
      <c r="G65" s="191">
        <f t="shared" si="0"/>
        <v>33</v>
      </c>
      <c r="H65" s="191">
        <f t="shared" si="1"/>
        <v>0</v>
      </c>
      <c r="I65" s="191">
        <f t="shared" si="2"/>
        <v>0</v>
      </c>
      <c r="J65" s="215">
        <f>(1-Table1347891112132[[#This Row],[Hours Remain]]/Table1347891112132[[#This Row],[Total Hrs]])</f>
        <v>1</v>
      </c>
      <c r="K65" s="135"/>
      <c r="L65" s="175"/>
    </row>
    <row r="66" spans="2:12">
      <c r="B66" s="170">
        <v>3</v>
      </c>
      <c r="C66" s="186" t="s">
        <v>192</v>
      </c>
      <c r="D66" s="186"/>
      <c r="E66" s="186">
        <v>3</v>
      </c>
      <c r="F66" s="191">
        <v>4</v>
      </c>
      <c r="G66" s="191">
        <f t="shared" si="0"/>
        <v>12</v>
      </c>
      <c r="H66" s="191">
        <f t="shared" si="1"/>
        <v>0</v>
      </c>
      <c r="I66" s="191">
        <f t="shared" si="2"/>
        <v>0</v>
      </c>
      <c r="J66" s="215">
        <f>(1-Table1347891112132[[#This Row],[Hours Remain]]/Table1347891112132[[#This Row],[Total Hrs]])</f>
        <v>1</v>
      </c>
      <c r="K66" s="135"/>
      <c r="L66" s="79"/>
    </row>
    <row r="67" spans="2:12">
      <c r="B67" s="338">
        <v>6</v>
      </c>
      <c r="C67" s="337" t="s">
        <v>193</v>
      </c>
      <c r="D67" s="337"/>
      <c r="E67" s="337">
        <v>1</v>
      </c>
      <c r="F67" s="339">
        <v>1</v>
      </c>
      <c r="G67" s="339">
        <f t="shared" si="0"/>
        <v>6</v>
      </c>
      <c r="H67" s="339">
        <f t="shared" si="1"/>
        <v>5</v>
      </c>
      <c r="I67" s="339">
        <f t="shared" si="2"/>
        <v>5</v>
      </c>
      <c r="J67" s="215">
        <f>(1-Table1347891112132[[#This Row],[Hours Remain]]/Table1347891112132[[#This Row],[Total Hrs]])</f>
        <v>0.16666666666666663</v>
      </c>
      <c r="K67" s="133"/>
      <c r="L67" s="79"/>
    </row>
    <row r="68" spans="2:12">
      <c r="B68" s="338">
        <v>13</v>
      </c>
      <c r="C68" s="337" t="s">
        <v>180</v>
      </c>
      <c r="D68" s="337"/>
      <c r="E68" s="337">
        <v>0</v>
      </c>
      <c r="F68" s="339">
        <v>0.5</v>
      </c>
      <c r="G68" s="339">
        <f t="shared" ref="G68:G80" si="3">B68*F68</f>
        <v>6.5</v>
      </c>
      <c r="H68" s="339">
        <f t="shared" ref="H68:H80" si="4">B68-E68</f>
        <v>13</v>
      </c>
      <c r="I68" s="339">
        <f t="shared" ref="I68:I80" si="5">H68*F68</f>
        <v>6.5</v>
      </c>
      <c r="J68" s="215">
        <f>(1-Table1347891112132[[#This Row],[Hours Remain]]/Table1347891112132[[#This Row],[Total Hrs]])</f>
        <v>0</v>
      </c>
      <c r="K68" s="133"/>
      <c r="L68" s="79"/>
    </row>
    <row r="69" spans="2:12">
      <c r="B69" s="217">
        <v>2</v>
      </c>
      <c r="C69" s="186" t="s">
        <v>195</v>
      </c>
      <c r="D69" s="186"/>
      <c r="E69" s="186">
        <v>0</v>
      </c>
      <c r="F69" s="191">
        <v>4</v>
      </c>
      <c r="G69" s="191">
        <f t="shared" si="3"/>
        <v>8</v>
      </c>
      <c r="H69" s="191">
        <f t="shared" si="4"/>
        <v>2</v>
      </c>
      <c r="I69" s="191">
        <f t="shared" si="5"/>
        <v>8</v>
      </c>
      <c r="J69" s="215">
        <f>(1-Table1347891112132[[#This Row],[Hours Remain]]/Table1347891112132[[#This Row],[Total Hrs]])</f>
        <v>0</v>
      </c>
      <c r="K69" s="133"/>
      <c r="L69" s="79"/>
    </row>
    <row r="70" spans="2:12">
      <c r="B70" s="170">
        <v>37</v>
      </c>
      <c r="C70" s="186" t="s">
        <v>196</v>
      </c>
      <c r="D70" s="186"/>
      <c r="E70" s="186">
        <v>0</v>
      </c>
      <c r="F70" s="191">
        <v>0.5</v>
      </c>
      <c r="G70" s="191">
        <f t="shared" si="3"/>
        <v>18.5</v>
      </c>
      <c r="H70" s="191">
        <f t="shared" si="4"/>
        <v>37</v>
      </c>
      <c r="I70" s="191">
        <f t="shared" si="5"/>
        <v>18.5</v>
      </c>
      <c r="J70" s="215">
        <f>(1-Table1347891112132[[#This Row],[Hours Remain]]/Table1347891112132[[#This Row],[Total Hrs]])</f>
        <v>0</v>
      </c>
      <c r="K70" s="133"/>
      <c r="L70" s="175"/>
    </row>
    <row r="71" spans="2:12">
      <c r="B71" s="170"/>
      <c r="C71" s="186"/>
      <c r="D71" s="186"/>
      <c r="E71" s="186"/>
      <c r="F71" s="191"/>
      <c r="G71" s="191"/>
      <c r="H71" s="191"/>
      <c r="I71" s="191"/>
      <c r="J71" s="215"/>
      <c r="K71" s="135"/>
      <c r="L71" s="175"/>
    </row>
    <row r="72" spans="2:12">
      <c r="B72" s="170">
        <v>9</v>
      </c>
      <c r="C72" s="164" t="s">
        <v>224</v>
      </c>
      <c r="D72" s="164" t="s">
        <v>318</v>
      </c>
      <c r="E72" s="186">
        <v>9</v>
      </c>
      <c r="F72" s="191">
        <v>3</v>
      </c>
      <c r="G72" s="191">
        <f t="shared" si="3"/>
        <v>27</v>
      </c>
      <c r="H72" s="214">
        <f t="shared" si="4"/>
        <v>0</v>
      </c>
      <c r="I72" s="191">
        <f t="shared" si="5"/>
        <v>0</v>
      </c>
      <c r="J72" s="215">
        <f>(1-Table1347891112132[[#This Row],[Hours Remain]]/Table1347891112132[[#This Row],[Total Hrs]])</f>
        <v>1</v>
      </c>
      <c r="K72" s="135"/>
      <c r="L72" s="79"/>
    </row>
    <row r="73" spans="2:12">
      <c r="B73" s="170">
        <v>4</v>
      </c>
      <c r="C73" s="186" t="s">
        <v>192</v>
      </c>
      <c r="D73" s="186"/>
      <c r="E73" s="186">
        <v>2</v>
      </c>
      <c r="F73" s="191">
        <v>4</v>
      </c>
      <c r="G73" s="191">
        <f t="shared" si="3"/>
        <v>16</v>
      </c>
      <c r="H73" s="191">
        <f t="shared" si="4"/>
        <v>2</v>
      </c>
      <c r="I73" s="191">
        <f t="shared" si="5"/>
        <v>8</v>
      </c>
      <c r="J73" s="215">
        <f>(1-Table1347891112132[[#This Row],[Hours Remain]]/Table1347891112132[[#This Row],[Total Hrs]])</f>
        <v>0.5</v>
      </c>
      <c r="K73" s="133"/>
      <c r="L73" s="175"/>
    </row>
    <row r="74" spans="2:12">
      <c r="B74" s="217">
        <v>20</v>
      </c>
      <c r="C74" s="186" t="s">
        <v>193</v>
      </c>
      <c r="D74" s="186"/>
      <c r="E74" s="186">
        <v>4</v>
      </c>
      <c r="F74" s="191">
        <v>1</v>
      </c>
      <c r="G74" s="191">
        <f t="shared" si="3"/>
        <v>20</v>
      </c>
      <c r="H74" s="191">
        <f t="shared" si="4"/>
        <v>16</v>
      </c>
      <c r="I74" s="191">
        <f t="shared" si="5"/>
        <v>16</v>
      </c>
      <c r="J74" s="215">
        <f>(1-Table1347891112132[[#This Row],[Hours Remain]]/Table1347891112132[[#This Row],[Total Hrs]])</f>
        <v>0.19999999999999996</v>
      </c>
      <c r="K74" s="133"/>
      <c r="L74" s="175"/>
    </row>
    <row r="75" spans="2:12">
      <c r="B75" s="170">
        <v>11</v>
      </c>
      <c r="C75" s="186" t="s">
        <v>180</v>
      </c>
      <c r="D75" s="186"/>
      <c r="E75" s="186">
        <v>0</v>
      </c>
      <c r="F75" s="191">
        <v>0.5</v>
      </c>
      <c r="G75" s="191">
        <f t="shared" si="3"/>
        <v>5.5</v>
      </c>
      <c r="H75" s="191">
        <f t="shared" si="4"/>
        <v>11</v>
      </c>
      <c r="I75" s="191">
        <f t="shared" si="5"/>
        <v>5.5</v>
      </c>
      <c r="J75" s="215">
        <f>(1-Table1347891112132[[#This Row],[Hours Remain]]/Table1347891112132[[#This Row],[Total Hrs]])</f>
        <v>0</v>
      </c>
      <c r="K75" s="135"/>
      <c r="L75" s="175"/>
    </row>
    <row r="76" spans="2:12">
      <c r="B76" s="218">
        <v>4</v>
      </c>
      <c r="C76" s="187" t="s">
        <v>194</v>
      </c>
      <c r="D76" s="187"/>
      <c r="E76" s="187">
        <v>4</v>
      </c>
      <c r="F76" s="219">
        <v>1.25</v>
      </c>
      <c r="G76" s="219">
        <f t="shared" si="3"/>
        <v>5</v>
      </c>
      <c r="H76" s="219">
        <f t="shared" si="4"/>
        <v>0</v>
      </c>
      <c r="I76" s="219">
        <f t="shared" si="5"/>
        <v>0</v>
      </c>
      <c r="J76" s="215">
        <f>(1-Table1347891112132[[#This Row],[Hours Remain]]/Table1347891112132[[#This Row],[Total Hrs]])</f>
        <v>1</v>
      </c>
      <c r="K76" s="220"/>
      <c r="L76" s="175"/>
    </row>
    <row r="77" spans="2:12">
      <c r="B77" s="309"/>
      <c r="C77" s="304"/>
      <c r="D77" s="304"/>
      <c r="E77" s="304"/>
      <c r="F77" s="305"/>
      <c r="G77" s="305"/>
      <c r="H77" s="305"/>
      <c r="I77" s="305"/>
      <c r="J77" s="215"/>
      <c r="K77" s="220"/>
      <c r="L77" s="175"/>
    </row>
    <row r="78" spans="2:12">
      <c r="B78" s="309"/>
      <c r="C78" s="164" t="s">
        <v>266</v>
      </c>
      <c r="D78" s="164"/>
      <c r="E78" s="304"/>
      <c r="F78" s="305"/>
      <c r="G78" s="305"/>
      <c r="H78" s="305"/>
      <c r="I78" s="305"/>
      <c r="J78" s="215"/>
      <c r="K78" s="220"/>
      <c r="L78" s="175"/>
    </row>
    <row r="79" spans="2:12">
      <c r="B79" s="309">
        <v>5</v>
      </c>
      <c r="C79" s="304" t="s">
        <v>267</v>
      </c>
      <c r="D79" s="304"/>
      <c r="E79" s="304">
        <v>2</v>
      </c>
      <c r="F79" s="305">
        <v>0.3</v>
      </c>
      <c r="G79" s="305">
        <f t="shared" si="3"/>
        <v>1.5</v>
      </c>
      <c r="H79" s="305">
        <f t="shared" si="4"/>
        <v>3</v>
      </c>
      <c r="I79" s="305">
        <f t="shared" si="5"/>
        <v>0.89999999999999991</v>
      </c>
      <c r="J79" s="215">
        <f>(1-Table1347891112132[[#This Row],[Hours Remain]]/Table1347891112132[[#This Row],[Total Hrs]])</f>
        <v>0.4</v>
      </c>
      <c r="K79" s="220"/>
      <c r="L79" s="175"/>
    </row>
    <row r="80" spans="2:12">
      <c r="B80" s="309">
        <v>4</v>
      </c>
      <c r="C80" s="304" t="s">
        <v>268</v>
      </c>
      <c r="D80" s="304"/>
      <c r="E80" s="304">
        <v>0</v>
      </c>
      <c r="F80" s="305">
        <v>0.3</v>
      </c>
      <c r="G80" s="305">
        <f t="shared" si="3"/>
        <v>1.2</v>
      </c>
      <c r="H80" s="305">
        <f t="shared" si="4"/>
        <v>4</v>
      </c>
      <c r="I80" s="305">
        <f t="shared" si="5"/>
        <v>1.2</v>
      </c>
      <c r="J80" s="215">
        <f>(1-Table1347891112132[[#This Row],[Hours Remain]]/Table1347891112132[[#This Row],[Total Hrs]])</f>
        <v>0</v>
      </c>
      <c r="K80" s="220"/>
      <c r="L80" s="175"/>
    </row>
    <row r="81" spans="2:12">
      <c r="B81" s="310"/>
      <c r="C81" s="311"/>
      <c r="D81" s="311"/>
      <c r="E81" s="311"/>
      <c r="F81" s="312"/>
      <c r="G81" s="312"/>
      <c r="H81" s="312"/>
      <c r="I81" s="312"/>
      <c r="J81" s="313"/>
      <c r="K81" s="220"/>
      <c r="L81" s="79"/>
    </row>
    <row r="82" spans="2:12">
      <c r="B82" s="252">
        <f>SUM(B3:B81)</f>
        <v>605</v>
      </c>
      <c r="C82" s="84" t="s">
        <v>81</v>
      </c>
      <c r="D82" s="84"/>
      <c r="E82" s="85">
        <f>SUM(E3:E81)</f>
        <v>137</v>
      </c>
      <c r="F82" s="254">
        <f>SUM(F3:F81)</f>
        <v>130.10000000000002</v>
      </c>
      <c r="G82" s="254">
        <f>SUM(G3:G81)</f>
        <v>709.7</v>
      </c>
      <c r="H82" s="85">
        <f>B82-E82</f>
        <v>468</v>
      </c>
      <c r="I82" s="255">
        <f>SUM(I3:I81)</f>
        <v>338.34999999999997</v>
      </c>
      <c r="J82" s="90">
        <f>(1-(I82/G82))</f>
        <v>0.52324926025081031</v>
      </c>
      <c r="K82" s="86"/>
    </row>
    <row r="87" spans="2:12" ht="18.75">
      <c r="C87" s="251" t="s">
        <v>247</v>
      </c>
      <c r="D87" s="251"/>
    </row>
    <row r="88" spans="2:12" ht="18.75">
      <c r="C88" s="251" t="s">
        <v>248</v>
      </c>
      <c r="D88" s="251"/>
    </row>
    <row r="89" spans="2:12" ht="18.75">
      <c r="C89" s="251" t="s">
        <v>295</v>
      </c>
      <c r="D89" s="251"/>
    </row>
  </sheetData>
  <mergeCells count="1">
    <mergeCell ref="C1:K1"/>
  </mergeCells>
  <conditionalFormatting sqref="J3 J21">
    <cfRule type="dataBar" priority="41">
      <dataBar>
        <cfvo type="num" val="0"/>
        <cfvo type="num" val="1"/>
        <color theme="0" tint="-0.249977111117893"/>
      </dataBar>
      <extLst>
        <ext xmlns:x14="http://schemas.microsoft.com/office/spreadsheetml/2009/9/main" uri="{B025F937-C7B1-47D3-B67F-A62EFF666E3E}">
          <x14:id>{767710FD-3B8A-4996-A707-77CC8E6F94AF}</x14:id>
        </ext>
      </extLst>
    </cfRule>
  </conditionalFormatting>
  <conditionalFormatting sqref="J4:J8 J22:J27 J29:J33 J35:J39 J41:J44 J46:J50 J12 J16 J20 J54:J81">
    <cfRule type="dataBar" priority="40">
      <dataBar>
        <cfvo type="num" val="0"/>
        <cfvo type="num" val="1"/>
        <color theme="0" tint="-0.249977111117893"/>
      </dataBar>
      <extLst>
        <ext xmlns:x14="http://schemas.microsoft.com/office/spreadsheetml/2009/9/main" uri="{B025F937-C7B1-47D3-B67F-A62EFF666E3E}">
          <x14:id>{EDBDC76A-91ED-4A29-8F33-2F657FB32087}</x14:id>
        </ext>
      </extLst>
    </cfRule>
  </conditionalFormatting>
  <conditionalFormatting sqref="J9:J11">
    <cfRule type="dataBar" priority="8">
      <dataBar>
        <cfvo type="num" val="0"/>
        <cfvo type="num" val="1"/>
        <color theme="0" tint="-0.249977111117893"/>
      </dataBar>
      <extLst>
        <ext xmlns:x14="http://schemas.microsoft.com/office/spreadsheetml/2009/9/main" uri="{B025F937-C7B1-47D3-B67F-A62EFF666E3E}">
          <x14:id>{CB5874D7-135E-4846-BDF8-A36DC1E51FBA}</x14:id>
        </ext>
      </extLst>
    </cfRule>
  </conditionalFormatting>
  <conditionalFormatting sqref="J13:J15">
    <cfRule type="dataBar" priority="7">
      <dataBar>
        <cfvo type="num" val="0"/>
        <cfvo type="num" val="1"/>
        <color theme="0" tint="-0.249977111117893"/>
      </dataBar>
      <extLst>
        <ext xmlns:x14="http://schemas.microsoft.com/office/spreadsheetml/2009/9/main" uri="{B025F937-C7B1-47D3-B67F-A62EFF666E3E}">
          <x14:id>{90901F8A-0ECA-40E4-A3ED-32B1F3599F13}</x14:id>
        </ext>
      </extLst>
    </cfRule>
  </conditionalFormatting>
  <conditionalFormatting sqref="J17:J19">
    <cfRule type="dataBar" priority="6">
      <dataBar>
        <cfvo type="num" val="0"/>
        <cfvo type="num" val="1"/>
        <color theme="0" tint="-0.249977111117893"/>
      </dataBar>
      <extLst>
        <ext xmlns:x14="http://schemas.microsoft.com/office/spreadsheetml/2009/9/main" uri="{B025F937-C7B1-47D3-B67F-A62EFF666E3E}">
          <x14:id>{452993AF-5353-4D20-ABA0-A2861D95E3CF}</x14:id>
        </ext>
      </extLst>
    </cfRule>
  </conditionalFormatting>
  <conditionalFormatting sqref="J28">
    <cfRule type="dataBar" priority="5">
      <dataBar>
        <cfvo type="num" val="0"/>
        <cfvo type="num" val="1"/>
        <color theme="0" tint="-0.249977111117893"/>
      </dataBar>
      <extLst>
        <ext xmlns:x14="http://schemas.microsoft.com/office/spreadsheetml/2009/9/main" uri="{B025F937-C7B1-47D3-B67F-A62EFF666E3E}">
          <x14:id>{284C419F-3D25-4FE0-8253-F6603D7950E7}</x14:id>
        </ext>
      </extLst>
    </cfRule>
  </conditionalFormatting>
  <conditionalFormatting sqref="J34">
    <cfRule type="dataBar" priority="4">
      <dataBar>
        <cfvo type="num" val="0"/>
        <cfvo type="num" val="1"/>
        <color theme="0" tint="-0.249977111117893"/>
      </dataBar>
      <extLst>
        <ext xmlns:x14="http://schemas.microsoft.com/office/spreadsheetml/2009/9/main" uri="{B025F937-C7B1-47D3-B67F-A62EFF666E3E}">
          <x14:id>{EB70D848-58BB-461F-8F0D-09D8D10D8C3C}</x14:id>
        </ext>
      </extLst>
    </cfRule>
  </conditionalFormatting>
  <conditionalFormatting sqref="J40">
    <cfRule type="dataBar" priority="3">
      <dataBar>
        <cfvo type="num" val="0"/>
        <cfvo type="num" val="1"/>
        <color theme="0" tint="-0.249977111117893"/>
      </dataBar>
      <extLst>
        <ext xmlns:x14="http://schemas.microsoft.com/office/spreadsheetml/2009/9/main" uri="{B025F937-C7B1-47D3-B67F-A62EFF666E3E}">
          <x14:id>{E61769FF-E20D-4C43-892E-CE196CED171C}</x14:id>
        </ext>
      </extLst>
    </cfRule>
  </conditionalFormatting>
  <conditionalFormatting sqref="J45">
    <cfRule type="dataBar" priority="2">
      <dataBar>
        <cfvo type="num" val="0"/>
        <cfvo type="num" val="1"/>
        <color theme="0" tint="-0.249977111117893"/>
      </dataBar>
      <extLst>
        <ext xmlns:x14="http://schemas.microsoft.com/office/spreadsheetml/2009/9/main" uri="{B025F937-C7B1-47D3-B67F-A62EFF666E3E}">
          <x14:id>{3AF81851-F09D-493D-AA2C-382940F383FB}</x14:id>
        </ext>
      </extLst>
    </cfRule>
  </conditionalFormatting>
  <conditionalFormatting sqref="J51:J53">
    <cfRule type="dataBar" priority="1">
      <dataBar>
        <cfvo type="num" val="0"/>
        <cfvo type="num" val="1"/>
        <color theme="0" tint="-0.249977111117893"/>
      </dataBar>
      <extLst>
        <ext xmlns:x14="http://schemas.microsoft.com/office/spreadsheetml/2009/9/main" uri="{B025F937-C7B1-47D3-B67F-A62EFF666E3E}">
          <x14:id>{DE77059A-6D3E-4A81-9A36-58B11459A82B}</x14:id>
        </ext>
      </extLst>
    </cfRule>
  </conditionalFormatting>
  <conditionalFormatting sqref="J82">
    <cfRule type="colorScale" priority="42">
      <colorScale>
        <cfvo type="num" val="0"/>
        <cfvo type="num" val="1"/>
        <color rgb="FF0C5485"/>
        <color theme="3" tint="0.79998168889431442"/>
      </colorScale>
    </cfRule>
  </conditionalFormatting>
  <pageMargins left="0.7" right="0.7" top="0.75" bottom="0.75" header="0.3" footer="0.3"/>
  <pageSetup scale="75"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767710FD-3B8A-4996-A707-77CC8E6F94AF}">
            <x14:dataBar minLength="0" maxLength="100" border="1" gradient="0">
              <x14:cfvo type="num">
                <xm:f>0</xm:f>
              </x14:cfvo>
              <x14:cfvo type="num">
                <xm:f>1</xm:f>
              </x14:cfvo>
              <x14:borderColor rgb="FF000000"/>
              <x14:negativeFillColor rgb="FFFF0000"/>
              <x14:axisColor rgb="FF000000"/>
            </x14:dataBar>
          </x14:cfRule>
          <xm:sqref>J3 J21</xm:sqref>
        </x14:conditionalFormatting>
        <x14:conditionalFormatting xmlns:xm="http://schemas.microsoft.com/office/excel/2006/main">
          <x14:cfRule type="dataBar" id="{EDBDC76A-91ED-4A29-8F33-2F657FB32087}">
            <x14:dataBar minLength="0" maxLength="100" gradient="0">
              <x14:cfvo type="num">
                <xm:f>0</xm:f>
              </x14:cfvo>
              <x14:cfvo type="num">
                <xm:f>1</xm:f>
              </x14:cfvo>
              <x14:negativeFillColor rgb="FFFF0000"/>
              <x14:axisColor rgb="FF000000"/>
            </x14:dataBar>
          </x14:cfRule>
          <xm:sqref>J4:J8 J22:J27 J29:J33 J35:J39 J41:J44 J46:J50 J12 J16 J20 J54:J81</xm:sqref>
        </x14:conditionalFormatting>
        <x14:conditionalFormatting xmlns:xm="http://schemas.microsoft.com/office/excel/2006/main">
          <x14:cfRule type="dataBar" id="{CB5874D7-135E-4846-BDF8-A36DC1E51FBA}">
            <x14:dataBar minLength="0" maxLength="100" border="1" gradient="0">
              <x14:cfvo type="num">
                <xm:f>0</xm:f>
              </x14:cfvo>
              <x14:cfvo type="num">
                <xm:f>1</xm:f>
              </x14:cfvo>
              <x14:borderColor rgb="FF000000"/>
              <x14:negativeFillColor rgb="FFFF0000"/>
              <x14:axisColor rgb="FF000000"/>
            </x14:dataBar>
          </x14:cfRule>
          <xm:sqref>J9:J11</xm:sqref>
        </x14:conditionalFormatting>
        <x14:conditionalFormatting xmlns:xm="http://schemas.microsoft.com/office/excel/2006/main">
          <x14:cfRule type="dataBar" id="{90901F8A-0ECA-40E4-A3ED-32B1F3599F13}">
            <x14:dataBar minLength="0" maxLength="100" border="1" gradient="0">
              <x14:cfvo type="num">
                <xm:f>0</xm:f>
              </x14:cfvo>
              <x14:cfvo type="num">
                <xm:f>1</xm:f>
              </x14:cfvo>
              <x14:borderColor rgb="FF000000"/>
              <x14:negativeFillColor rgb="FFFF0000"/>
              <x14:axisColor rgb="FF000000"/>
            </x14:dataBar>
          </x14:cfRule>
          <xm:sqref>J13:J15</xm:sqref>
        </x14:conditionalFormatting>
        <x14:conditionalFormatting xmlns:xm="http://schemas.microsoft.com/office/excel/2006/main">
          <x14:cfRule type="dataBar" id="{452993AF-5353-4D20-ABA0-A2861D95E3CF}">
            <x14:dataBar minLength="0" maxLength="100" border="1" gradient="0">
              <x14:cfvo type="num">
                <xm:f>0</xm:f>
              </x14:cfvo>
              <x14:cfvo type="num">
                <xm:f>1</xm:f>
              </x14:cfvo>
              <x14:borderColor rgb="FF000000"/>
              <x14:negativeFillColor rgb="FFFF0000"/>
              <x14:axisColor rgb="FF000000"/>
            </x14:dataBar>
          </x14:cfRule>
          <xm:sqref>J17:J19</xm:sqref>
        </x14:conditionalFormatting>
        <x14:conditionalFormatting xmlns:xm="http://schemas.microsoft.com/office/excel/2006/main">
          <x14:cfRule type="dataBar" id="{284C419F-3D25-4FE0-8253-F6603D7950E7}">
            <x14:dataBar minLength="0" maxLength="100" border="1" gradient="0">
              <x14:cfvo type="num">
                <xm:f>0</xm:f>
              </x14:cfvo>
              <x14:cfvo type="num">
                <xm:f>1</xm:f>
              </x14:cfvo>
              <x14:borderColor rgb="FF000000"/>
              <x14:negativeFillColor rgb="FFFF0000"/>
              <x14:axisColor rgb="FF000000"/>
            </x14:dataBar>
          </x14:cfRule>
          <xm:sqref>J28</xm:sqref>
        </x14:conditionalFormatting>
        <x14:conditionalFormatting xmlns:xm="http://schemas.microsoft.com/office/excel/2006/main">
          <x14:cfRule type="dataBar" id="{EB70D848-58BB-461F-8F0D-09D8D10D8C3C}">
            <x14:dataBar minLength="0" maxLength="100" border="1" gradient="0">
              <x14:cfvo type="num">
                <xm:f>0</xm:f>
              </x14:cfvo>
              <x14:cfvo type="num">
                <xm:f>1</xm:f>
              </x14:cfvo>
              <x14:borderColor rgb="FF000000"/>
              <x14:negativeFillColor rgb="FFFF0000"/>
              <x14:axisColor rgb="FF000000"/>
            </x14:dataBar>
          </x14:cfRule>
          <xm:sqref>J34</xm:sqref>
        </x14:conditionalFormatting>
        <x14:conditionalFormatting xmlns:xm="http://schemas.microsoft.com/office/excel/2006/main">
          <x14:cfRule type="dataBar" id="{E61769FF-E20D-4C43-892E-CE196CED171C}">
            <x14:dataBar minLength="0" maxLength="100" border="1" gradient="0">
              <x14:cfvo type="num">
                <xm:f>0</xm:f>
              </x14:cfvo>
              <x14:cfvo type="num">
                <xm:f>1</xm:f>
              </x14:cfvo>
              <x14:borderColor rgb="FF000000"/>
              <x14:negativeFillColor rgb="FFFF0000"/>
              <x14:axisColor rgb="FF000000"/>
            </x14:dataBar>
          </x14:cfRule>
          <xm:sqref>J40</xm:sqref>
        </x14:conditionalFormatting>
        <x14:conditionalFormatting xmlns:xm="http://schemas.microsoft.com/office/excel/2006/main">
          <x14:cfRule type="dataBar" id="{3AF81851-F09D-493D-AA2C-382940F383FB}">
            <x14:dataBar minLength="0" maxLength="100" border="1" gradient="0">
              <x14:cfvo type="num">
                <xm:f>0</xm:f>
              </x14:cfvo>
              <x14:cfvo type="num">
                <xm:f>1</xm:f>
              </x14:cfvo>
              <x14:borderColor rgb="FF000000"/>
              <x14:negativeFillColor rgb="FFFF0000"/>
              <x14:axisColor rgb="FF000000"/>
            </x14:dataBar>
          </x14:cfRule>
          <xm:sqref>J45</xm:sqref>
        </x14:conditionalFormatting>
        <x14:conditionalFormatting xmlns:xm="http://schemas.microsoft.com/office/excel/2006/main">
          <x14:cfRule type="dataBar" id="{DE77059A-6D3E-4A81-9A36-58B11459A82B}">
            <x14:dataBar minLength="0" maxLength="100" border="1" gradient="0">
              <x14:cfvo type="num">
                <xm:f>0</xm:f>
              </x14:cfvo>
              <x14:cfvo type="num">
                <xm:f>1</xm:f>
              </x14:cfvo>
              <x14:borderColor rgb="FF000000"/>
              <x14:negativeFillColor rgb="FFFF0000"/>
              <x14:axisColor rgb="FF000000"/>
            </x14:dataBar>
          </x14:cfRule>
          <xm:sqref>J51:J53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6FA1-A694-4F15-B712-53A9F2B50270}">
  <sheetPr codeName="Sheet13">
    <tabColor theme="3" tint="0.59999389629810485"/>
    <pageSetUpPr fitToPage="1"/>
  </sheetPr>
  <dimension ref="B1:L50"/>
  <sheetViews>
    <sheetView zoomScale="85" zoomScaleNormal="85" workbookViewId="0">
      <selection activeCell="L20" sqref="L20"/>
    </sheetView>
  </sheetViews>
  <sheetFormatPr defaultColWidth="10" defaultRowHeight="15"/>
  <cols>
    <col min="1" max="1" width="3.42578125" style="76" customWidth="1"/>
    <col min="2" max="2" width="9.28515625" style="76" customWidth="1"/>
    <col min="3" max="3" width="56.140625" style="76" customWidth="1"/>
    <col min="4" max="4" width="16.7109375" style="76" customWidth="1"/>
    <col min="5" max="5" width="15.5703125" style="81" customWidth="1"/>
    <col min="6" max="6" width="9.85546875" style="76" customWidth="1"/>
    <col min="7" max="7" width="10.5703125" style="76" customWidth="1"/>
    <col min="8" max="8" width="13.5703125" style="81" customWidth="1"/>
    <col min="9" max="9" width="14.5703125" style="81" customWidth="1"/>
    <col min="10" max="10" width="10" style="81" customWidth="1"/>
    <col min="11" max="11" width="59.42578125" style="76" bestFit="1" customWidth="1"/>
    <col min="12" max="12" width="57.42578125" style="76" customWidth="1"/>
    <col min="13" max="13" width="10" style="76" customWidth="1"/>
    <col min="14" max="16384" width="10" style="76"/>
  </cols>
  <sheetData>
    <row r="1" spans="2:12" ht="99" customHeight="1">
      <c r="B1" s="83"/>
      <c r="C1" s="442" t="s">
        <v>274</v>
      </c>
      <c r="D1" s="442"/>
      <c r="E1" s="442"/>
      <c r="F1" s="442"/>
      <c r="G1" s="442"/>
      <c r="H1" s="442"/>
      <c r="I1" s="442"/>
      <c r="J1" s="442"/>
      <c r="K1" s="443"/>
      <c r="L1" s="175"/>
    </row>
    <row r="2" spans="2:12" s="78" customFormat="1" ht="30" customHeight="1">
      <c r="B2" s="340" t="s">
        <v>74</v>
      </c>
      <c r="C2" s="97" t="s">
        <v>0</v>
      </c>
      <c r="D2" s="97" t="s">
        <v>275</v>
      </c>
      <c r="E2" s="97" t="s">
        <v>75</v>
      </c>
      <c r="F2" s="159" t="s">
        <v>76</v>
      </c>
      <c r="G2" s="159" t="s">
        <v>77</v>
      </c>
      <c r="H2" s="97" t="s">
        <v>78</v>
      </c>
      <c r="I2" s="160" t="s">
        <v>79</v>
      </c>
      <c r="J2" s="161" t="s">
        <v>60</v>
      </c>
      <c r="K2" s="161" t="s">
        <v>80</v>
      </c>
      <c r="L2" s="77"/>
    </row>
    <row r="3" spans="2:12" s="78" customFormat="1">
      <c r="B3" s="343">
        <v>9</v>
      </c>
      <c r="C3" s="209" t="s">
        <v>225</v>
      </c>
      <c r="D3" s="209" t="s">
        <v>276</v>
      </c>
      <c r="E3" s="344">
        <v>9</v>
      </c>
      <c r="F3" s="343">
        <v>3</v>
      </c>
      <c r="G3" s="343">
        <f>B3*F3</f>
        <v>27</v>
      </c>
      <c r="H3" s="343">
        <f>B3-E3</f>
        <v>0</v>
      </c>
      <c r="I3" s="343">
        <f>H3*F3</f>
        <v>0</v>
      </c>
      <c r="J3" s="215">
        <f>(1-Table1347891112132457[[#This Row],[Hours Remain]]/Table1347891112132457[[#This Row],[Total Hrs]])</f>
        <v>1</v>
      </c>
      <c r="K3" s="209"/>
      <c r="L3" s="77"/>
    </row>
    <row r="4" spans="2:12">
      <c r="B4" s="345"/>
      <c r="C4" s="314" t="s">
        <v>192</v>
      </c>
      <c r="D4" s="314"/>
      <c r="E4" s="344"/>
      <c r="F4" s="345"/>
      <c r="G4" s="345"/>
      <c r="H4" s="345"/>
      <c r="I4" s="345"/>
      <c r="J4" s="215"/>
      <c r="K4" s="341" t="s">
        <v>269</v>
      </c>
      <c r="L4" s="175"/>
    </row>
    <row r="5" spans="2:12">
      <c r="B5" s="345"/>
      <c r="C5" s="314" t="s">
        <v>180</v>
      </c>
      <c r="D5" s="314"/>
      <c r="E5" s="344"/>
      <c r="F5" s="345"/>
      <c r="G5" s="345"/>
      <c r="H5" s="345"/>
      <c r="I5" s="345"/>
      <c r="J5" s="215"/>
      <c r="K5" s="342" t="s">
        <v>269</v>
      </c>
      <c r="L5" s="175"/>
    </row>
    <row r="6" spans="2:12">
      <c r="B6" s="345"/>
      <c r="C6" s="346"/>
      <c r="D6" s="346"/>
      <c r="E6" s="344"/>
      <c r="F6" s="345"/>
      <c r="G6" s="345"/>
      <c r="H6" s="345"/>
      <c r="I6" s="345"/>
      <c r="J6" s="215"/>
      <c r="K6" s="165"/>
      <c r="L6" s="175"/>
    </row>
    <row r="7" spans="2:12">
      <c r="B7" s="343">
        <v>9</v>
      </c>
      <c r="C7" s="209" t="s">
        <v>226</v>
      </c>
      <c r="D7" s="209" t="s">
        <v>277</v>
      </c>
      <c r="E7" s="344">
        <v>9</v>
      </c>
      <c r="F7" s="343">
        <v>3</v>
      </c>
      <c r="G7" s="343">
        <f>B7*F7</f>
        <v>27</v>
      </c>
      <c r="H7" s="343">
        <f>B7-E7</f>
        <v>0</v>
      </c>
      <c r="I7" s="343">
        <f>H7*F7</f>
        <v>0</v>
      </c>
      <c r="J7" s="215">
        <f>(1-Table1347891112132457[[#This Row],[Hours Remain]]/Table1347891112132457[[#This Row],[Total Hrs]])</f>
        <v>1</v>
      </c>
      <c r="K7" s="164"/>
      <c r="L7" s="175"/>
    </row>
    <row r="8" spans="2:12">
      <c r="B8" s="345">
        <v>1</v>
      </c>
      <c r="C8" s="346" t="s">
        <v>192</v>
      </c>
      <c r="D8" s="346"/>
      <c r="E8" s="344">
        <v>0</v>
      </c>
      <c r="F8" s="345">
        <v>4</v>
      </c>
      <c r="G8" s="345">
        <f t="shared" ref="G8:G9" si="0">B8*F8</f>
        <v>4</v>
      </c>
      <c r="H8" s="345">
        <f>B8-E8</f>
        <v>1</v>
      </c>
      <c r="I8" s="345">
        <f>H8*F8</f>
        <v>4</v>
      </c>
      <c r="J8" s="215">
        <f>(1-Table1347891112132457[[#This Row],[Hours Remain]]/Table1347891112132457[[#This Row],[Total Hrs]])</f>
        <v>0</v>
      </c>
      <c r="K8" s="164"/>
      <c r="L8" s="175"/>
    </row>
    <row r="9" spans="2:12">
      <c r="B9" s="345">
        <v>9</v>
      </c>
      <c r="C9" s="346" t="s">
        <v>193</v>
      </c>
      <c r="D9" s="346"/>
      <c r="E9" s="344">
        <v>0</v>
      </c>
      <c r="F9" s="345">
        <v>1</v>
      </c>
      <c r="G9" s="345">
        <f t="shared" si="0"/>
        <v>9</v>
      </c>
      <c r="H9" s="345">
        <f>B9-E9</f>
        <v>9</v>
      </c>
      <c r="I9" s="345">
        <f>H9*F9</f>
        <v>9</v>
      </c>
      <c r="J9" s="215">
        <f>(1-Table1347891112132457[[#This Row],[Hours Remain]]/Table1347891112132457[[#This Row],[Total Hrs]])</f>
        <v>0</v>
      </c>
      <c r="K9" s="164"/>
      <c r="L9" s="175"/>
    </row>
    <row r="10" spans="2:12">
      <c r="B10" s="345">
        <v>5</v>
      </c>
      <c r="C10" s="346" t="s">
        <v>180</v>
      </c>
      <c r="D10" s="346"/>
      <c r="E10" s="346">
        <v>0</v>
      </c>
      <c r="F10" s="345">
        <v>0.5</v>
      </c>
      <c r="G10" s="345">
        <f>B10*F10</f>
        <v>2.5</v>
      </c>
      <c r="H10" s="345">
        <f>B10-E10</f>
        <v>5</v>
      </c>
      <c r="I10" s="345">
        <f>H10*F10</f>
        <v>2.5</v>
      </c>
      <c r="J10" s="230">
        <f>(1-Table1347891112132457[[#This Row],[Hours Remain]]/Table1347891112132457[[#This Row],[Total Hrs]])</f>
        <v>0</v>
      </c>
      <c r="K10" s="164"/>
      <c r="L10" s="175"/>
    </row>
    <row r="11" spans="2:12">
      <c r="B11" s="345"/>
      <c r="C11" s="346"/>
      <c r="D11" s="346"/>
      <c r="E11" s="344"/>
      <c r="F11" s="345"/>
      <c r="G11" s="345"/>
      <c r="H11" s="345"/>
      <c r="I11" s="345"/>
      <c r="J11" s="215"/>
      <c r="K11" s="164"/>
      <c r="L11" s="175"/>
    </row>
    <row r="12" spans="2:12">
      <c r="B12" s="343">
        <v>9</v>
      </c>
      <c r="C12" s="209" t="s">
        <v>227</v>
      </c>
      <c r="D12" s="209" t="s">
        <v>278</v>
      </c>
      <c r="E12" s="344">
        <v>9</v>
      </c>
      <c r="F12" s="343">
        <v>3</v>
      </c>
      <c r="G12" s="343">
        <f>B12*F12</f>
        <v>27</v>
      </c>
      <c r="H12" s="343">
        <f>B12-E12</f>
        <v>0</v>
      </c>
      <c r="I12" s="343">
        <f>H12*F12</f>
        <v>0</v>
      </c>
      <c r="J12" s="215">
        <f>(1-Table1347891112132457[[#This Row],[Hours Remain]]/Table1347891112132457[[#This Row],[Total Hrs]])</f>
        <v>1</v>
      </c>
      <c r="K12" s="164"/>
      <c r="L12" s="175"/>
    </row>
    <row r="13" spans="2:12">
      <c r="B13" s="345">
        <v>3</v>
      </c>
      <c r="C13" s="346" t="s">
        <v>192</v>
      </c>
      <c r="D13" s="346"/>
      <c r="E13" s="344">
        <v>0</v>
      </c>
      <c r="F13" s="345">
        <v>4</v>
      </c>
      <c r="G13" s="345">
        <f t="shared" ref="G13:G15" si="1">B13*F13</f>
        <v>12</v>
      </c>
      <c r="H13" s="345">
        <f>B13-E13</f>
        <v>3</v>
      </c>
      <c r="I13" s="345">
        <f>H13*F13</f>
        <v>12</v>
      </c>
      <c r="J13" s="215">
        <f>(1-Table1347891112132457[[#This Row],[Hours Remain]]/Table1347891112132457[[#This Row],[Total Hrs]])</f>
        <v>0</v>
      </c>
      <c r="K13" s="164"/>
      <c r="L13" s="175"/>
    </row>
    <row r="14" spans="2:12">
      <c r="B14" s="345">
        <v>13</v>
      </c>
      <c r="C14" s="346" t="s">
        <v>193</v>
      </c>
      <c r="D14" s="346"/>
      <c r="E14" s="346">
        <v>0</v>
      </c>
      <c r="F14" s="345">
        <v>1</v>
      </c>
      <c r="G14" s="345">
        <f>B14*F14</f>
        <v>13</v>
      </c>
      <c r="H14" s="345">
        <f>B14-E14</f>
        <v>13</v>
      </c>
      <c r="I14" s="345">
        <f>H14*F14</f>
        <v>13</v>
      </c>
      <c r="J14" s="230">
        <f>(1-Table1347891112132457[[#This Row],[Hours Remain]]/Table1347891112132457[[#This Row],[Total Hrs]])</f>
        <v>0</v>
      </c>
      <c r="K14" s="164"/>
      <c r="L14" s="175"/>
    </row>
    <row r="15" spans="2:12">
      <c r="B15" s="345">
        <v>5</v>
      </c>
      <c r="C15" s="346" t="s">
        <v>180</v>
      </c>
      <c r="D15" s="346"/>
      <c r="E15" s="344">
        <v>0</v>
      </c>
      <c r="F15" s="345">
        <v>0.5</v>
      </c>
      <c r="G15" s="345">
        <f t="shared" si="1"/>
        <v>2.5</v>
      </c>
      <c r="H15" s="345">
        <f>B15-E15</f>
        <v>5</v>
      </c>
      <c r="I15" s="345">
        <f>H15*F15</f>
        <v>2.5</v>
      </c>
      <c r="J15" s="215">
        <f>(1-Table1347891112132457[[#This Row],[Hours Remain]]/Table1347891112132457[[#This Row],[Total Hrs]])</f>
        <v>0</v>
      </c>
      <c r="K15" s="164"/>
      <c r="L15" s="175"/>
    </row>
    <row r="16" spans="2:12">
      <c r="B16" s="345">
        <v>1</v>
      </c>
      <c r="C16" s="346" t="s">
        <v>194</v>
      </c>
      <c r="D16" s="346"/>
      <c r="E16" s="346">
        <v>0</v>
      </c>
      <c r="F16" s="345">
        <v>1.25</v>
      </c>
      <c r="G16" s="345">
        <f>B16*F16</f>
        <v>1.25</v>
      </c>
      <c r="H16" s="345">
        <f>B16-E16</f>
        <v>1</v>
      </c>
      <c r="I16" s="345">
        <f>H16*F16</f>
        <v>1.25</v>
      </c>
      <c r="J16" s="230">
        <f>(1-Table1347891112132457[[#This Row],[Hours Remain]]/Table1347891112132457[[#This Row],[Total Hrs]])</f>
        <v>0</v>
      </c>
      <c r="K16" s="164"/>
      <c r="L16" s="175"/>
    </row>
    <row r="17" spans="2:12">
      <c r="B17" s="345"/>
      <c r="C17" s="346"/>
      <c r="D17" s="346"/>
      <c r="E17" s="344"/>
      <c r="F17" s="345"/>
      <c r="G17" s="345"/>
      <c r="H17" s="345"/>
      <c r="I17" s="345"/>
      <c r="J17" s="215"/>
      <c r="K17" s="164"/>
      <c r="L17" s="175"/>
    </row>
    <row r="18" spans="2:12">
      <c r="B18" s="343">
        <v>9</v>
      </c>
      <c r="C18" s="209" t="s">
        <v>228</v>
      </c>
      <c r="D18" s="209" t="s">
        <v>279</v>
      </c>
      <c r="E18" s="344">
        <v>9</v>
      </c>
      <c r="F18" s="343">
        <v>3</v>
      </c>
      <c r="G18" s="343">
        <f>B18*F18</f>
        <v>27</v>
      </c>
      <c r="H18" s="343">
        <f>B18-E18</f>
        <v>0</v>
      </c>
      <c r="I18" s="343">
        <f>H18*F18</f>
        <v>0</v>
      </c>
      <c r="J18" s="215">
        <f>(1-Table1347891112132457[[#This Row],[Hours Remain]]/Table1347891112132457[[#This Row],[Total Hrs]])</f>
        <v>1</v>
      </c>
      <c r="K18" s="209"/>
      <c r="L18" s="175"/>
    </row>
    <row r="19" spans="2:12">
      <c r="B19" s="345"/>
      <c r="C19" s="314" t="s">
        <v>192</v>
      </c>
      <c r="D19" s="314"/>
      <c r="E19" s="344"/>
      <c r="F19" s="345"/>
      <c r="G19" s="345"/>
      <c r="H19" s="345"/>
      <c r="I19" s="345"/>
      <c r="J19" s="215"/>
      <c r="K19" s="341" t="s">
        <v>269</v>
      </c>
      <c r="L19" s="175"/>
    </row>
    <row r="20" spans="2:12">
      <c r="B20" s="345"/>
      <c r="C20" s="314" t="s">
        <v>180</v>
      </c>
      <c r="D20" s="314"/>
      <c r="E20" s="344"/>
      <c r="F20" s="345"/>
      <c r="G20" s="345"/>
      <c r="H20" s="345"/>
      <c r="I20" s="345"/>
      <c r="J20" s="215"/>
      <c r="K20" s="342" t="s">
        <v>269</v>
      </c>
      <c r="L20" s="175"/>
    </row>
    <row r="21" spans="2:12">
      <c r="B21" s="345"/>
      <c r="C21" s="346"/>
      <c r="D21" s="346"/>
      <c r="E21" s="346"/>
      <c r="F21" s="345"/>
      <c r="G21" s="345"/>
      <c r="H21" s="345"/>
      <c r="I21" s="345"/>
      <c r="J21" s="230"/>
      <c r="K21" s="209"/>
      <c r="L21" s="175"/>
    </row>
    <row r="22" spans="2:12">
      <c r="B22" s="345">
        <v>9</v>
      </c>
      <c r="C22" s="164" t="s">
        <v>237</v>
      </c>
      <c r="D22" s="164" t="s">
        <v>280</v>
      </c>
      <c r="E22" s="346">
        <v>9</v>
      </c>
      <c r="F22" s="345">
        <v>3</v>
      </c>
      <c r="G22" s="345">
        <v>27</v>
      </c>
      <c r="H22" s="345">
        <v>9</v>
      </c>
      <c r="I22" s="345">
        <v>27</v>
      </c>
      <c r="J22" s="230">
        <v>0</v>
      </c>
      <c r="K22" s="209"/>
      <c r="L22" s="175"/>
    </row>
    <row r="23" spans="2:12">
      <c r="B23" s="345"/>
      <c r="C23" s="314" t="s">
        <v>192</v>
      </c>
      <c r="D23" s="314"/>
      <c r="E23" s="346"/>
      <c r="F23" s="345"/>
      <c r="G23" s="345"/>
      <c r="H23" s="345"/>
      <c r="I23" s="345"/>
      <c r="J23" s="230"/>
      <c r="K23" s="341" t="s">
        <v>269</v>
      </c>
      <c r="L23" s="175"/>
    </row>
    <row r="24" spans="2:12">
      <c r="B24" s="345"/>
      <c r="C24" s="314" t="s">
        <v>180</v>
      </c>
      <c r="D24" s="314"/>
      <c r="E24" s="346"/>
      <c r="F24" s="345"/>
      <c r="G24" s="345"/>
      <c r="H24" s="345"/>
      <c r="I24" s="345"/>
      <c r="J24" s="230"/>
      <c r="K24" s="342" t="s">
        <v>269</v>
      </c>
      <c r="L24" s="175"/>
    </row>
    <row r="25" spans="2:12">
      <c r="B25" s="345"/>
      <c r="C25" s="346"/>
      <c r="D25" s="346"/>
      <c r="E25" s="344"/>
      <c r="F25" s="345"/>
      <c r="G25" s="345"/>
      <c r="H25" s="345"/>
      <c r="I25" s="345"/>
      <c r="J25" s="215"/>
      <c r="K25" s="164"/>
      <c r="L25" s="175"/>
    </row>
    <row r="26" spans="2:12">
      <c r="B26" s="345">
        <v>9</v>
      </c>
      <c r="C26" s="164" t="s">
        <v>229</v>
      </c>
      <c r="D26" s="164" t="s">
        <v>281</v>
      </c>
      <c r="E26" s="344">
        <v>9</v>
      </c>
      <c r="F26" s="343">
        <v>3</v>
      </c>
      <c r="G26" s="343">
        <f>B26*F26</f>
        <v>27</v>
      </c>
      <c r="H26" s="343">
        <f>B26-E26</f>
        <v>0</v>
      </c>
      <c r="I26" s="343">
        <f>H26*F26</f>
        <v>0</v>
      </c>
      <c r="J26" s="215">
        <f>(1-Table1347891112132457[[#This Row],[Hours Remain]]/Table1347891112132457[[#This Row],[Total Hrs]])</f>
        <v>1</v>
      </c>
      <c r="K26" s="209"/>
      <c r="L26" s="175"/>
    </row>
    <row r="27" spans="2:12">
      <c r="B27" s="345">
        <v>2</v>
      </c>
      <c r="C27" s="346" t="s">
        <v>194</v>
      </c>
      <c r="D27" s="346"/>
      <c r="E27" s="344">
        <v>0</v>
      </c>
      <c r="F27" s="345">
        <v>1.25</v>
      </c>
      <c r="G27" s="343">
        <f>B27*F27</f>
        <v>2.5</v>
      </c>
      <c r="H27" s="343">
        <f>B27-E27</f>
        <v>2</v>
      </c>
      <c r="I27" s="343">
        <f>H27*F27</f>
        <v>2.5</v>
      </c>
      <c r="J27" s="215">
        <f>(1-Table1347891112132457[[#This Row],[Hours Remain]]/Table1347891112132457[[#This Row],[Total Hrs]])</f>
        <v>0</v>
      </c>
      <c r="K27" s="164"/>
      <c r="L27" s="79"/>
    </row>
    <row r="28" spans="2:12">
      <c r="B28" s="345"/>
      <c r="C28" s="346"/>
      <c r="D28" s="346"/>
      <c r="E28" s="344"/>
      <c r="F28" s="345"/>
      <c r="G28" s="345"/>
      <c r="H28" s="345"/>
      <c r="I28" s="345"/>
      <c r="J28" s="215"/>
      <c r="K28" s="165"/>
      <c r="L28" s="175"/>
    </row>
    <row r="29" spans="2:12">
      <c r="B29" s="345">
        <v>9</v>
      </c>
      <c r="C29" s="164" t="s">
        <v>230</v>
      </c>
      <c r="D29" s="164" t="s">
        <v>282</v>
      </c>
      <c r="E29" s="344">
        <v>9</v>
      </c>
      <c r="F29" s="343">
        <v>3</v>
      </c>
      <c r="G29" s="343">
        <f>B29*F29</f>
        <v>27</v>
      </c>
      <c r="H29" s="343">
        <f>B29-E29</f>
        <v>0</v>
      </c>
      <c r="I29" s="343">
        <f>H29*F29</f>
        <v>0</v>
      </c>
      <c r="J29" s="215">
        <f>(1-Table1347891112132457[[#This Row],[Hours Remain]]/Table1347891112132457[[#This Row],[Total Hrs]])</f>
        <v>1</v>
      </c>
      <c r="K29" s="164"/>
      <c r="L29" s="79"/>
    </row>
    <row r="30" spans="2:12">
      <c r="B30" s="345">
        <v>3</v>
      </c>
      <c r="C30" s="346" t="s">
        <v>192</v>
      </c>
      <c r="D30" s="346"/>
      <c r="E30" s="344">
        <v>0</v>
      </c>
      <c r="F30" s="345">
        <v>4</v>
      </c>
      <c r="G30" s="345">
        <f t="shared" ref="G30" si="2">B30*F30</f>
        <v>12</v>
      </c>
      <c r="H30" s="345">
        <f>B30-E30</f>
        <v>3</v>
      </c>
      <c r="I30" s="345">
        <f>H30*F30</f>
        <v>12</v>
      </c>
      <c r="J30" s="215">
        <f>(1-Table1347891112132457[[#This Row],[Hours Remain]]/Table1347891112132457[[#This Row],[Total Hrs]])</f>
        <v>0</v>
      </c>
      <c r="K30" s="164"/>
      <c r="L30" s="175"/>
    </row>
    <row r="31" spans="2:12">
      <c r="B31" s="345">
        <v>6</v>
      </c>
      <c r="C31" s="346" t="s">
        <v>180</v>
      </c>
      <c r="D31" s="346"/>
      <c r="E31" s="346">
        <v>0</v>
      </c>
      <c r="F31" s="345">
        <v>0.5</v>
      </c>
      <c r="G31" s="345">
        <f>B31*F31</f>
        <v>3</v>
      </c>
      <c r="H31" s="345">
        <f>B31-E31</f>
        <v>6</v>
      </c>
      <c r="I31" s="345">
        <f>H31*F31</f>
        <v>3</v>
      </c>
      <c r="J31" s="230">
        <f>(1-Table1347891112132457[[#This Row],[Hours Remain]]/Table1347891112132457[[#This Row],[Total Hrs]])</f>
        <v>0</v>
      </c>
      <c r="K31" s="164"/>
      <c r="L31" s="175"/>
    </row>
    <row r="32" spans="2:12">
      <c r="B32" s="345"/>
      <c r="C32" s="346"/>
      <c r="D32" s="346"/>
      <c r="E32" s="344"/>
      <c r="F32" s="345"/>
      <c r="G32" s="345"/>
      <c r="H32" s="345"/>
      <c r="I32" s="345"/>
      <c r="J32" s="215"/>
      <c r="K32" s="164"/>
      <c r="L32" s="79"/>
    </row>
    <row r="33" spans="2:12">
      <c r="B33" s="345">
        <v>9</v>
      </c>
      <c r="C33" s="164" t="s">
        <v>231</v>
      </c>
      <c r="D33" s="164" t="s">
        <v>283</v>
      </c>
      <c r="E33" s="344">
        <v>9</v>
      </c>
      <c r="F33" s="343">
        <v>3</v>
      </c>
      <c r="G33" s="343">
        <f>B33*F33</f>
        <v>27</v>
      </c>
      <c r="H33" s="343">
        <f>B33-E33</f>
        <v>0</v>
      </c>
      <c r="I33" s="343">
        <f>H33*F33</f>
        <v>0</v>
      </c>
      <c r="J33" s="215">
        <f>(1-Table1347891112132457[[#This Row],[Hours Remain]]/Table1347891112132457[[#This Row],[Total Hrs]])</f>
        <v>1</v>
      </c>
      <c r="K33" s="164"/>
      <c r="L33" s="175"/>
    </row>
    <row r="34" spans="2:12">
      <c r="B34" s="345"/>
      <c r="C34" s="314" t="s">
        <v>192</v>
      </c>
      <c r="D34" s="314"/>
      <c r="E34" s="344"/>
      <c r="F34" s="345"/>
      <c r="G34" s="345"/>
      <c r="H34" s="345"/>
      <c r="I34" s="345"/>
      <c r="J34" s="215"/>
      <c r="K34" s="341" t="s">
        <v>269</v>
      </c>
      <c r="L34" s="175"/>
    </row>
    <row r="35" spans="2:12">
      <c r="B35" s="345"/>
      <c r="C35" s="314" t="s">
        <v>180</v>
      </c>
      <c r="D35" s="314"/>
      <c r="E35" s="344"/>
      <c r="F35" s="345"/>
      <c r="G35" s="345"/>
      <c r="H35" s="345"/>
      <c r="I35" s="345"/>
      <c r="J35" s="215"/>
      <c r="K35" s="342" t="s">
        <v>269</v>
      </c>
      <c r="L35" s="79"/>
    </row>
    <row r="36" spans="2:12">
      <c r="B36" s="345"/>
      <c r="C36" s="346"/>
      <c r="D36" s="346"/>
      <c r="E36" s="344"/>
      <c r="F36" s="345"/>
      <c r="G36" s="345"/>
      <c r="H36" s="345"/>
      <c r="I36" s="345"/>
      <c r="J36" s="215"/>
      <c r="K36" s="164"/>
      <c r="L36" s="175"/>
    </row>
    <row r="37" spans="2:12">
      <c r="B37" s="345">
        <v>9</v>
      </c>
      <c r="C37" s="164" t="s">
        <v>232</v>
      </c>
      <c r="D37" s="164" t="s">
        <v>284</v>
      </c>
      <c r="E37" s="344">
        <v>9</v>
      </c>
      <c r="F37" s="343">
        <v>3</v>
      </c>
      <c r="G37" s="343">
        <f>B37*F37</f>
        <v>27</v>
      </c>
      <c r="H37" s="343">
        <f>B37-E37</f>
        <v>0</v>
      </c>
      <c r="I37" s="343">
        <f>H37*F37</f>
        <v>0</v>
      </c>
      <c r="J37" s="215">
        <f>(1-Table1347891112132457[[#This Row],[Hours Remain]]/Table1347891112132457[[#This Row],[Total Hrs]])</f>
        <v>1</v>
      </c>
      <c r="K37" s="209"/>
      <c r="L37" s="175"/>
    </row>
    <row r="38" spans="2:12">
      <c r="B38" s="345"/>
      <c r="C38" s="314" t="s">
        <v>192</v>
      </c>
      <c r="D38" s="314"/>
      <c r="E38" s="344"/>
      <c r="F38" s="345"/>
      <c r="G38" s="345"/>
      <c r="H38" s="345"/>
      <c r="I38" s="345"/>
      <c r="J38" s="215"/>
      <c r="K38" s="341" t="s">
        <v>269</v>
      </c>
      <c r="L38" s="79"/>
    </row>
    <row r="39" spans="2:12">
      <c r="B39" s="345"/>
      <c r="C39" s="314" t="s">
        <v>180</v>
      </c>
      <c r="D39" s="314"/>
      <c r="E39" s="344"/>
      <c r="F39" s="345"/>
      <c r="G39" s="345"/>
      <c r="H39" s="345"/>
      <c r="I39" s="345"/>
      <c r="J39" s="215"/>
      <c r="K39" s="342" t="s">
        <v>269</v>
      </c>
      <c r="L39" s="175"/>
    </row>
    <row r="40" spans="2:12">
      <c r="B40" s="345"/>
      <c r="C40" s="346"/>
      <c r="D40" s="346"/>
      <c r="E40" s="346"/>
      <c r="F40" s="345"/>
      <c r="G40" s="345"/>
      <c r="H40" s="345"/>
      <c r="I40" s="345"/>
      <c r="J40" s="230"/>
      <c r="K40" s="209"/>
      <c r="L40" s="175"/>
    </row>
    <row r="41" spans="2:12">
      <c r="B41" s="345">
        <v>9</v>
      </c>
      <c r="C41" s="164" t="s">
        <v>238</v>
      </c>
      <c r="D41" s="164" t="s">
        <v>285</v>
      </c>
      <c r="E41" s="346">
        <v>9</v>
      </c>
      <c r="F41" s="345">
        <v>3</v>
      </c>
      <c r="G41" s="345">
        <v>27</v>
      </c>
      <c r="H41" s="345">
        <v>9</v>
      </c>
      <c r="I41" s="345">
        <v>27</v>
      </c>
      <c r="J41" s="230">
        <v>0</v>
      </c>
      <c r="K41" s="209"/>
      <c r="L41" s="175"/>
    </row>
    <row r="42" spans="2:12">
      <c r="B42" s="345"/>
      <c r="C42" s="314" t="s">
        <v>192</v>
      </c>
      <c r="D42" s="314"/>
      <c r="E42" s="346"/>
      <c r="F42" s="345"/>
      <c r="G42" s="345"/>
      <c r="H42" s="345"/>
      <c r="I42" s="345"/>
      <c r="J42" s="230"/>
      <c r="K42" s="342" t="s">
        <v>269</v>
      </c>
      <c r="L42" s="175"/>
    </row>
    <row r="43" spans="2:12">
      <c r="B43" s="345"/>
      <c r="C43" s="314" t="s">
        <v>180</v>
      </c>
      <c r="D43" s="314"/>
      <c r="E43" s="346"/>
      <c r="F43" s="345"/>
      <c r="G43" s="345"/>
      <c r="H43" s="345"/>
      <c r="I43" s="345"/>
      <c r="J43" s="230"/>
      <c r="K43" s="342" t="s">
        <v>269</v>
      </c>
      <c r="L43" s="175"/>
    </row>
    <row r="44" spans="2:12">
      <c r="B44" s="345"/>
      <c r="C44" s="314"/>
      <c r="D44" s="314"/>
      <c r="E44" s="344"/>
      <c r="F44" s="345"/>
      <c r="G44" s="345"/>
      <c r="H44" s="345"/>
      <c r="I44" s="345"/>
      <c r="J44" s="215"/>
      <c r="K44" s="164"/>
      <c r="L44" s="175"/>
    </row>
    <row r="45" spans="2:12" s="80" customFormat="1">
      <c r="B45" s="252">
        <f>SUM(B3:B44)</f>
        <v>138</v>
      </c>
      <c r="C45" s="84" t="s">
        <v>81</v>
      </c>
      <c r="D45" s="225"/>
      <c r="E45" s="224">
        <f>SUM(E3:E44)</f>
        <v>90</v>
      </c>
      <c r="F45" s="253">
        <f>SUM(F3:F44)</f>
        <v>48</v>
      </c>
      <c r="G45" s="225">
        <f>SUM(G3:G44)</f>
        <v>331.75</v>
      </c>
      <c r="H45" s="224">
        <f>B45-E45</f>
        <v>48</v>
      </c>
      <c r="I45" s="226">
        <f>SUM(I3:I44)</f>
        <v>115.75</v>
      </c>
      <c r="J45" s="227">
        <f>(1-(I45/G45))</f>
        <v>0.65109269027882444</v>
      </c>
      <c r="K45" s="86"/>
    </row>
    <row r="48" spans="2:12" ht="18.75">
      <c r="C48" s="251" t="s">
        <v>247</v>
      </c>
      <c r="D48" s="251"/>
    </row>
    <row r="49" spans="3:4" ht="18.75">
      <c r="C49" s="251" t="s">
        <v>248</v>
      </c>
      <c r="D49" s="251"/>
    </row>
    <row r="50" spans="3:4" ht="18.75">
      <c r="C50" s="251" t="s">
        <v>295</v>
      </c>
      <c r="D50" s="251"/>
    </row>
  </sheetData>
  <mergeCells count="1">
    <mergeCell ref="C1:K1"/>
  </mergeCells>
  <conditionalFormatting sqref="J4:J6 J8:J11 J13:J17 J19:J25 J38:J44 J28 J34:J36 J30:J32">
    <cfRule type="dataBar" priority="9">
      <dataBar>
        <cfvo type="num" val="0"/>
        <cfvo type="num" val="1"/>
        <color theme="0" tint="-0.249977111117893"/>
      </dataBar>
      <extLst>
        <ext xmlns:x14="http://schemas.microsoft.com/office/spreadsheetml/2009/9/main" uri="{B025F937-C7B1-47D3-B67F-A62EFF666E3E}">
          <x14:id>{B4AFB575-5473-4DAB-B932-ADAC2AEE4E07}</x14:id>
        </ext>
      </extLst>
    </cfRule>
  </conditionalFormatting>
  <conditionalFormatting sqref="J7">
    <cfRule type="dataBar" priority="8">
      <dataBar>
        <cfvo type="num" val="0"/>
        <cfvo type="num" val="1"/>
        <color theme="0" tint="-0.249977111117893"/>
      </dataBar>
      <extLst>
        <ext xmlns:x14="http://schemas.microsoft.com/office/spreadsheetml/2009/9/main" uri="{B025F937-C7B1-47D3-B67F-A62EFF666E3E}">
          <x14:id>{3F478C31-1A22-4C92-9EE9-F54F3CF35D32}</x14:id>
        </ext>
      </extLst>
    </cfRule>
  </conditionalFormatting>
  <conditionalFormatting sqref="J12">
    <cfRule type="dataBar" priority="7">
      <dataBar>
        <cfvo type="num" val="0"/>
        <cfvo type="num" val="1"/>
        <color theme="0" tint="-0.249977111117893"/>
      </dataBar>
      <extLst>
        <ext xmlns:x14="http://schemas.microsoft.com/office/spreadsheetml/2009/9/main" uri="{B025F937-C7B1-47D3-B67F-A62EFF666E3E}">
          <x14:id>{CF710B20-6876-4288-B77D-52FC5A1CD3C1}</x14:id>
        </ext>
      </extLst>
    </cfRule>
  </conditionalFormatting>
  <conditionalFormatting sqref="J18">
    <cfRule type="dataBar" priority="6">
      <dataBar>
        <cfvo type="num" val="0"/>
        <cfvo type="num" val="1"/>
        <color theme="0" tint="-0.249977111117893"/>
      </dataBar>
      <extLst>
        <ext xmlns:x14="http://schemas.microsoft.com/office/spreadsheetml/2009/9/main" uri="{B025F937-C7B1-47D3-B67F-A62EFF666E3E}">
          <x14:id>{84D328EF-8766-41AD-9DA6-2C7B4A9C68B5}</x14:id>
        </ext>
      </extLst>
    </cfRule>
  </conditionalFormatting>
  <conditionalFormatting sqref="J26:J27 J3">
    <cfRule type="dataBar" priority="10">
      <dataBar>
        <cfvo type="num" val="0"/>
        <cfvo type="num" val="1"/>
        <color theme="0" tint="-0.249977111117893"/>
      </dataBar>
      <extLst>
        <ext xmlns:x14="http://schemas.microsoft.com/office/spreadsheetml/2009/9/main" uri="{B025F937-C7B1-47D3-B67F-A62EFF666E3E}">
          <x14:id>{50D7D78B-4C5E-49F5-AED0-C5DF08A34073}</x14:id>
        </ext>
      </extLst>
    </cfRule>
  </conditionalFormatting>
  <conditionalFormatting sqref="J29">
    <cfRule type="dataBar" priority="5">
      <dataBar>
        <cfvo type="num" val="0"/>
        <cfvo type="num" val="1"/>
        <color theme="0" tint="-0.249977111117893"/>
      </dataBar>
      <extLst>
        <ext xmlns:x14="http://schemas.microsoft.com/office/spreadsheetml/2009/9/main" uri="{B025F937-C7B1-47D3-B67F-A62EFF666E3E}">
          <x14:id>{EC155184-8F15-49C0-A16A-3D2C74A84262}</x14:id>
        </ext>
      </extLst>
    </cfRule>
  </conditionalFormatting>
  <conditionalFormatting sqref="J33">
    <cfRule type="dataBar" priority="4">
      <dataBar>
        <cfvo type="num" val="0"/>
        <cfvo type="num" val="1"/>
        <color theme="0" tint="-0.249977111117893"/>
      </dataBar>
      <extLst>
        <ext xmlns:x14="http://schemas.microsoft.com/office/spreadsheetml/2009/9/main" uri="{B025F937-C7B1-47D3-B67F-A62EFF666E3E}">
          <x14:id>{8C41368D-6D58-4324-945A-882A9C8119D3}</x14:id>
        </ext>
      </extLst>
    </cfRule>
  </conditionalFormatting>
  <conditionalFormatting sqref="J37">
    <cfRule type="dataBar" priority="3">
      <dataBar>
        <cfvo type="num" val="0"/>
        <cfvo type="num" val="1"/>
        <color theme="0" tint="-0.249977111117893"/>
      </dataBar>
      <extLst>
        <ext xmlns:x14="http://schemas.microsoft.com/office/spreadsheetml/2009/9/main" uri="{B025F937-C7B1-47D3-B67F-A62EFF666E3E}">
          <x14:id>{ADDE40EE-9CBB-4CCF-B61B-E747F3DC9A6E}</x14:id>
        </ext>
      </extLst>
    </cfRule>
  </conditionalFormatting>
  <conditionalFormatting sqref="J45">
    <cfRule type="colorScale" priority="11">
      <colorScale>
        <cfvo type="num" val="0"/>
        <cfvo type="num" val="1"/>
        <color rgb="FF0C5485"/>
        <color theme="3" tint="0.79998168889431442"/>
      </colorScale>
    </cfRule>
  </conditionalFormatting>
  <pageMargins left="0.7" right="0.7" top="0.75" bottom="0.75" header="0.3" footer="0.3"/>
  <pageSetup scale="75"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B4AFB575-5473-4DAB-B932-ADAC2AEE4E07}">
            <x14:dataBar minLength="0" maxLength="100" gradient="0">
              <x14:cfvo type="num">
                <xm:f>0</xm:f>
              </x14:cfvo>
              <x14:cfvo type="num">
                <xm:f>1</xm:f>
              </x14:cfvo>
              <x14:negativeFillColor rgb="FFFF0000"/>
              <x14:axisColor rgb="FF000000"/>
            </x14:dataBar>
          </x14:cfRule>
          <xm:sqref>J4:J6 J8:J11 J13:J17 J19:J25 J38:J44 J28 J34:J36 J30:J32</xm:sqref>
        </x14:conditionalFormatting>
        <x14:conditionalFormatting xmlns:xm="http://schemas.microsoft.com/office/excel/2006/main">
          <x14:cfRule type="dataBar" id="{3F478C31-1A22-4C92-9EE9-F54F3CF35D32}">
            <x14:dataBar minLength="0" maxLength="100" border="1" gradient="0">
              <x14:cfvo type="num">
                <xm:f>0</xm:f>
              </x14:cfvo>
              <x14:cfvo type="num">
                <xm:f>1</xm:f>
              </x14:cfvo>
              <x14:borderColor rgb="FF000000"/>
              <x14:negativeFillColor rgb="FFFF0000"/>
              <x14:axisColor rgb="FF000000"/>
            </x14:dataBar>
          </x14:cfRule>
          <xm:sqref>J7</xm:sqref>
        </x14:conditionalFormatting>
        <x14:conditionalFormatting xmlns:xm="http://schemas.microsoft.com/office/excel/2006/main">
          <x14:cfRule type="dataBar" id="{CF710B20-6876-4288-B77D-52FC5A1CD3C1}">
            <x14:dataBar minLength="0" maxLength="100" border="1" gradient="0">
              <x14:cfvo type="num">
                <xm:f>0</xm:f>
              </x14:cfvo>
              <x14:cfvo type="num">
                <xm:f>1</xm:f>
              </x14:cfvo>
              <x14:borderColor rgb="FF000000"/>
              <x14:negativeFillColor rgb="FFFF0000"/>
              <x14:axisColor rgb="FF000000"/>
            </x14:dataBar>
          </x14:cfRule>
          <xm:sqref>J12</xm:sqref>
        </x14:conditionalFormatting>
        <x14:conditionalFormatting xmlns:xm="http://schemas.microsoft.com/office/excel/2006/main">
          <x14:cfRule type="dataBar" id="{84D328EF-8766-41AD-9DA6-2C7B4A9C68B5}">
            <x14:dataBar minLength="0" maxLength="100" border="1" gradient="0">
              <x14:cfvo type="num">
                <xm:f>0</xm:f>
              </x14:cfvo>
              <x14:cfvo type="num">
                <xm:f>1</xm:f>
              </x14:cfvo>
              <x14:borderColor rgb="FF000000"/>
              <x14:negativeFillColor rgb="FFFF0000"/>
              <x14:axisColor rgb="FF000000"/>
            </x14:dataBar>
          </x14:cfRule>
          <xm:sqref>J18</xm:sqref>
        </x14:conditionalFormatting>
        <x14:conditionalFormatting xmlns:xm="http://schemas.microsoft.com/office/excel/2006/main">
          <x14:cfRule type="dataBar" id="{50D7D78B-4C5E-49F5-AED0-C5DF08A34073}">
            <x14:dataBar minLength="0" maxLength="100" border="1" gradient="0">
              <x14:cfvo type="num">
                <xm:f>0</xm:f>
              </x14:cfvo>
              <x14:cfvo type="num">
                <xm:f>1</xm:f>
              </x14:cfvo>
              <x14:borderColor rgb="FF000000"/>
              <x14:negativeFillColor rgb="FFFF0000"/>
              <x14:axisColor rgb="FF000000"/>
            </x14:dataBar>
          </x14:cfRule>
          <xm:sqref>J26:J27 J3</xm:sqref>
        </x14:conditionalFormatting>
        <x14:conditionalFormatting xmlns:xm="http://schemas.microsoft.com/office/excel/2006/main">
          <x14:cfRule type="dataBar" id="{EC155184-8F15-49C0-A16A-3D2C74A84262}">
            <x14:dataBar minLength="0" maxLength="100" border="1" gradient="0">
              <x14:cfvo type="num">
                <xm:f>0</xm:f>
              </x14:cfvo>
              <x14:cfvo type="num">
                <xm:f>1</xm:f>
              </x14:cfvo>
              <x14:borderColor rgb="FF000000"/>
              <x14:negativeFillColor rgb="FFFF0000"/>
              <x14:axisColor rgb="FF000000"/>
            </x14:dataBar>
          </x14:cfRule>
          <xm:sqref>J29</xm:sqref>
        </x14:conditionalFormatting>
        <x14:conditionalFormatting xmlns:xm="http://schemas.microsoft.com/office/excel/2006/main">
          <x14:cfRule type="dataBar" id="{8C41368D-6D58-4324-945A-882A9C8119D3}">
            <x14:dataBar minLength="0" maxLength="100" border="1" gradient="0">
              <x14:cfvo type="num">
                <xm:f>0</xm:f>
              </x14:cfvo>
              <x14:cfvo type="num">
                <xm:f>1</xm:f>
              </x14:cfvo>
              <x14:borderColor rgb="FF000000"/>
              <x14:negativeFillColor rgb="FFFF0000"/>
              <x14:axisColor rgb="FF000000"/>
            </x14:dataBar>
          </x14:cfRule>
          <xm:sqref>J33</xm:sqref>
        </x14:conditionalFormatting>
        <x14:conditionalFormatting xmlns:xm="http://schemas.microsoft.com/office/excel/2006/main">
          <x14:cfRule type="dataBar" id="{ADDE40EE-9CBB-4CCF-B61B-E747F3DC9A6E}">
            <x14:dataBar minLength="0" maxLength="100" border="1" gradient="0">
              <x14:cfvo type="num">
                <xm:f>0</xm:f>
              </x14:cfvo>
              <x14:cfvo type="num">
                <xm:f>1</xm:f>
              </x14:cfvo>
              <x14:borderColor rgb="FF000000"/>
              <x14:negativeFillColor rgb="FFFF0000"/>
              <x14:axisColor rgb="FF000000"/>
            </x14:dataBar>
          </x14:cfRule>
          <xm:sqref>J37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ADE5-3A03-4B91-9BC0-72204CAC58C5}">
  <sheetPr codeName="Sheet14">
    <tabColor theme="7" tint="0.59999389629810485"/>
    <pageSetUpPr fitToPage="1"/>
  </sheetPr>
  <dimension ref="B1:L45"/>
  <sheetViews>
    <sheetView topLeftCell="A6" zoomScale="87" zoomScaleNormal="80" workbookViewId="0">
      <selection activeCell="G21" sqref="G18:G21"/>
    </sheetView>
  </sheetViews>
  <sheetFormatPr defaultColWidth="10" defaultRowHeight="15"/>
  <cols>
    <col min="1" max="1" width="3.42578125" style="76" customWidth="1"/>
    <col min="2" max="2" width="9.28515625" style="76" customWidth="1"/>
    <col min="3" max="3" width="56.140625" style="76" customWidth="1"/>
    <col min="4" max="4" width="20.5703125" style="76" customWidth="1"/>
    <col min="5" max="5" width="15.5703125" style="81" customWidth="1"/>
    <col min="6" max="6" width="9.85546875" style="76" customWidth="1"/>
    <col min="7" max="7" width="10.5703125" style="76" customWidth="1"/>
    <col min="8" max="8" width="13.5703125" style="81" customWidth="1"/>
    <col min="9" max="9" width="14.5703125" style="81" customWidth="1"/>
    <col min="10" max="10" width="10" style="81" customWidth="1"/>
    <col min="11" max="11" width="59.42578125" style="76" bestFit="1" customWidth="1"/>
    <col min="12" max="12" width="57.42578125" style="76" customWidth="1"/>
    <col min="13" max="13" width="10" style="76" customWidth="1"/>
    <col min="14" max="16384" width="10" style="76"/>
  </cols>
  <sheetData>
    <row r="1" spans="2:12" ht="99" customHeight="1">
      <c r="B1" s="83"/>
      <c r="C1" s="442" t="s">
        <v>319</v>
      </c>
      <c r="D1" s="442"/>
      <c r="E1" s="442"/>
      <c r="F1" s="442"/>
      <c r="G1" s="442"/>
      <c r="H1" s="442"/>
      <c r="I1" s="442"/>
      <c r="J1" s="442"/>
      <c r="K1" s="443"/>
      <c r="L1" s="175"/>
    </row>
    <row r="2" spans="2:12" s="78" customFormat="1" ht="30" customHeight="1" thickBot="1">
      <c r="B2" s="87" t="s">
        <v>74</v>
      </c>
      <c r="C2" s="88" t="s">
        <v>0</v>
      </c>
      <c r="D2" s="97" t="s">
        <v>275</v>
      </c>
      <c r="E2" s="97" t="s">
        <v>75</v>
      </c>
      <c r="F2" s="159" t="s">
        <v>76</v>
      </c>
      <c r="G2" s="159" t="s">
        <v>77</v>
      </c>
      <c r="H2" s="97" t="s">
        <v>78</v>
      </c>
      <c r="I2" s="160" t="s">
        <v>79</v>
      </c>
      <c r="J2" s="161" t="s">
        <v>60</v>
      </c>
      <c r="K2" s="89" t="s">
        <v>80</v>
      </c>
      <c r="L2" s="77"/>
    </row>
    <row r="3" spans="2:12" s="78" customFormat="1">
      <c r="B3" s="228">
        <v>9</v>
      </c>
      <c r="C3" s="185" t="s">
        <v>239</v>
      </c>
      <c r="D3" s="185" t="s">
        <v>286</v>
      </c>
      <c r="E3" s="315">
        <v>9</v>
      </c>
      <c r="F3" s="316">
        <v>3</v>
      </c>
      <c r="G3" s="316">
        <f>B3*F3</f>
        <v>27</v>
      </c>
      <c r="H3" s="316">
        <f>B3-E3</f>
        <v>0</v>
      </c>
      <c r="I3" s="316">
        <f>H3*F3</f>
        <v>0</v>
      </c>
      <c r="J3" s="215">
        <f>(1-Table13478911121324573[[#This Row],[Hours Remain]]/Table13478911121324573[[#This Row],[Total Hrs]])</f>
        <v>1</v>
      </c>
      <c r="K3" s="221"/>
      <c r="L3" s="77"/>
    </row>
    <row r="4" spans="2:12">
      <c r="B4" s="223">
        <v>3</v>
      </c>
      <c r="C4" s="222" t="s">
        <v>192</v>
      </c>
      <c r="D4" s="222"/>
      <c r="E4" s="315">
        <v>0</v>
      </c>
      <c r="F4" s="305">
        <v>4</v>
      </c>
      <c r="G4" s="316">
        <f t="shared" ref="G4:G37" si="0">B4*F4</f>
        <v>12</v>
      </c>
      <c r="H4" s="316">
        <f t="shared" ref="H4:H7" si="1">B4-E4</f>
        <v>3</v>
      </c>
      <c r="I4" s="316">
        <f t="shared" ref="I4:I7" si="2">H4*F4</f>
        <v>12</v>
      </c>
      <c r="J4" s="215">
        <v>0</v>
      </c>
      <c r="K4" s="95"/>
      <c r="L4" s="175"/>
    </row>
    <row r="5" spans="2:12">
      <c r="B5" s="223">
        <v>9</v>
      </c>
      <c r="C5" s="222" t="s">
        <v>193</v>
      </c>
      <c r="D5" s="222"/>
      <c r="E5" s="304">
        <v>0</v>
      </c>
      <c r="F5" s="305">
        <v>1</v>
      </c>
      <c r="G5" s="316">
        <f t="shared" si="0"/>
        <v>9</v>
      </c>
      <c r="H5" s="316">
        <f t="shared" si="1"/>
        <v>9</v>
      </c>
      <c r="I5" s="316">
        <f t="shared" si="2"/>
        <v>9</v>
      </c>
      <c r="J5" s="215">
        <v>0</v>
      </c>
      <c r="K5" s="95"/>
      <c r="L5" s="175"/>
    </row>
    <row r="6" spans="2:12">
      <c r="B6" s="223">
        <v>6</v>
      </c>
      <c r="C6" s="222" t="s">
        <v>180</v>
      </c>
      <c r="D6" s="222"/>
      <c r="E6" s="304">
        <v>0</v>
      </c>
      <c r="F6" s="305">
        <v>0.5</v>
      </c>
      <c r="G6" s="316">
        <f t="shared" si="0"/>
        <v>3</v>
      </c>
      <c r="H6" s="316">
        <f t="shared" si="1"/>
        <v>6</v>
      </c>
      <c r="I6" s="316">
        <f t="shared" si="2"/>
        <v>3</v>
      </c>
      <c r="J6" s="215">
        <v>0</v>
      </c>
      <c r="K6" s="95"/>
      <c r="L6" s="175"/>
    </row>
    <row r="7" spans="2:12">
      <c r="B7" s="223">
        <v>2</v>
      </c>
      <c r="C7" s="222" t="s">
        <v>194</v>
      </c>
      <c r="D7" s="222"/>
      <c r="E7" s="315">
        <v>0</v>
      </c>
      <c r="F7" s="305">
        <v>1.25</v>
      </c>
      <c r="G7" s="316">
        <f t="shared" si="0"/>
        <v>2.5</v>
      </c>
      <c r="H7" s="316">
        <f t="shared" si="1"/>
        <v>2</v>
      </c>
      <c r="I7" s="316">
        <f t="shared" si="2"/>
        <v>2.5</v>
      </c>
      <c r="J7" s="215">
        <v>0</v>
      </c>
      <c r="K7" s="95"/>
      <c r="L7" s="175"/>
    </row>
    <row r="8" spans="2:12">
      <c r="B8" s="223"/>
      <c r="C8" s="222"/>
      <c r="D8" s="222"/>
      <c r="E8" s="315"/>
      <c r="F8" s="305"/>
      <c r="G8" s="316">
        <f t="shared" si="0"/>
        <v>0</v>
      </c>
      <c r="H8" s="305"/>
      <c r="I8" s="305"/>
      <c r="J8" s="215"/>
      <c r="K8" s="109"/>
      <c r="L8" s="175"/>
    </row>
    <row r="9" spans="2:12">
      <c r="B9" s="229">
        <v>13</v>
      </c>
      <c r="C9" s="209" t="s">
        <v>240</v>
      </c>
      <c r="D9" s="209" t="s">
        <v>287</v>
      </c>
      <c r="E9" s="315">
        <v>13</v>
      </c>
      <c r="F9" s="316">
        <v>3</v>
      </c>
      <c r="G9" s="316">
        <f t="shared" si="0"/>
        <v>39</v>
      </c>
      <c r="H9" s="316">
        <f>B9-E9</f>
        <v>0</v>
      </c>
      <c r="I9" s="316">
        <f>H9*F9</f>
        <v>0</v>
      </c>
      <c r="J9" s="215">
        <f>(1-Table13478911121324573[[#This Row],[Hours Remain]]/Table13478911121324573[[#This Row],[Total Hrs]])</f>
        <v>1</v>
      </c>
      <c r="K9" s="95"/>
      <c r="L9" s="175"/>
    </row>
    <row r="10" spans="2:12">
      <c r="B10" s="223">
        <v>3</v>
      </c>
      <c r="C10" s="222" t="s">
        <v>192</v>
      </c>
      <c r="D10" s="222"/>
      <c r="E10" s="315">
        <v>0</v>
      </c>
      <c r="F10" s="305">
        <v>4</v>
      </c>
      <c r="G10" s="316">
        <f t="shared" si="0"/>
        <v>12</v>
      </c>
      <c r="H10" s="305">
        <f>B10-E10</f>
        <v>3</v>
      </c>
      <c r="I10" s="316">
        <f t="shared" ref="I10:I12" si="3">H10*F10</f>
        <v>12</v>
      </c>
      <c r="J10" s="215">
        <f>(1-Table13478911121324573[[#This Row],[Hours Remain]]/Table13478911121324573[[#This Row],[Total Hrs]])</f>
        <v>0</v>
      </c>
      <c r="K10" s="95"/>
      <c r="L10" s="175"/>
    </row>
    <row r="11" spans="2:12">
      <c r="B11" s="223">
        <v>9</v>
      </c>
      <c r="C11" s="222" t="s">
        <v>193</v>
      </c>
      <c r="D11" s="222"/>
      <c r="E11" s="315">
        <v>0</v>
      </c>
      <c r="F11" s="305">
        <v>1</v>
      </c>
      <c r="G11" s="316">
        <f t="shared" si="0"/>
        <v>9</v>
      </c>
      <c r="H11" s="305">
        <f>B11-E11</f>
        <v>9</v>
      </c>
      <c r="I11" s="316">
        <f t="shared" si="3"/>
        <v>9</v>
      </c>
      <c r="J11" s="215">
        <f>(1-Table13478911121324573[[#This Row],[Hours Remain]]/Table13478911121324573[[#This Row],[Total Hrs]])</f>
        <v>0</v>
      </c>
      <c r="K11" s="95"/>
      <c r="L11" s="175"/>
    </row>
    <row r="12" spans="2:12">
      <c r="B12" s="223">
        <v>8</v>
      </c>
      <c r="C12" s="222" t="s">
        <v>180</v>
      </c>
      <c r="D12" s="222"/>
      <c r="E12" s="304">
        <v>0</v>
      </c>
      <c r="F12" s="305">
        <v>0.5</v>
      </c>
      <c r="G12" s="316">
        <f t="shared" si="0"/>
        <v>4</v>
      </c>
      <c r="H12" s="305">
        <f>B12-E12</f>
        <v>8</v>
      </c>
      <c r="I12" s="316">
        <f t="shared" si="3"/>
        <v>4</v>
      </c>
      <c r="J12" s="215">
        <f>(1-Table13478911121324573[[#This Row],[Hours Remain]]/Table13478911121324573[[#This Row],[Total Hrs]])</f>
        <v>0</v>
      </c>
      <c r="K12" s="95"/>
      <c r="L12" s="175"/>
    </row>
    <row r="13" spans="2:12">
      <c r="B13" s="223"/>
      <c r="C13" s="222"/>
      <c r="D13" s="222"/>
      <c r="E13" s="315"/>
      <c r="F13" s="305"/>
      <c r="G13" s="316">
        <f t="shared" si="0"/>
        <v>0</v>
      </c>
      <c r="H13" s="305"/>
      <c r="I13" s="305"/>
      <c r="J13" s="215"/>
      <c r="K13" s="95"/>
      <c r="L13" s="175"/>
    </row>
    <row r="14" spans="2:12">
      <c r="B14" s="229">
        <v>9</v>
      </c>
      <c r="C14" s="209" t="s">
        <v>241</v>
      </c>
      <c r="D14" s="209" t="s">
        <v>288</v>
      </c>
      <c r="E14" s="315">
        <v>9</v>
      </c>
      <c r="F14" s="316">
        <v>3</v>
      </c>
      <c r="G14" s="316">
        <f t="shared" si="0"/>
        <v>27</v>
      </c>
      <c r="H14" s="316">
        <f>B14-E14</f>
        <v>0</v>
      </c>
      <c r="I14" s="316">
        <f>H14*F14</f>
        <v>0</v>
      </c>
      <c r="J14" s="215">
        <f>(1-Table13478911121324573[[#This Row],[Hours Remain]]/Table13478911121324573[[#This Row],[Total Hrs]])</f>
        <v>1</v>
      </c>
      <c r="K14" s="95"/>
      <c r="L14" s="175"/>
    </row>
    <row r="15" spans="2:12">
      <c r="B15" s="223">
        <v>4</v>
      </c>
      <c r="C15" s="222" t="s">
        <v>192</v>
      </c>
      <c r="D15" s="222"/>
      <c r="E15" s="315">
        <v>0</v>
      </c>
      <c r="F15" s="305">
        <v>4</v>
      </c>
      <c r="G15" s="316">
        <f t="shared" si="0"/>
        <v>16</v>
      </c>
      <c r="H15" s="305">
        <v>4</v>
      </c>
      <c r="I15" s="316">
        <f t="shared" ref="I15:I16" si="4">H15*F15</f>
        <v>16</v>
      </c>
      <c r="J15" s="215">
        <v>0</v>
      </c>
      <c r="K15" s="95"/>
      <c r="L15" s="175"/>
    </row>
    <row r="16" spans="2:12">
      <c r="B16" s="223">
        <v>20</v>
      </c>
      <c r="C16" s="222" t="s">
        <v>180</v>
      </c>
      <c r="D16" s="222"/>
      <c r="E16" s="304">
        <v>0</v>
      </c>
      <c r="F16" s="305">
        <v>0.5</v>
      </c>
      <c r="G16" s="316">
        <f t="shared" si="0"/>
        <v>10</v>
      </c>
      <c r="H16" s="305">
        <v>20</v>
      </c>
      <c r="I16" s="316">
        <f t="shared" si="4"/>
        <v>10</v>
      </c>
      <c r="J16" s="215">
        <v>0</v>
      </c>
      <c r="K16" s="95"/>
      <c r="L16" s="175"/>
    </row>
    <row r="17" spans="2:12">
      <c r="B17" s="223"/>
      <c r="C17" s="222"/>
      <c r="D17" s="222"/>
      <c r="E17" s="315"/>
      <c r="F17" s="305"/>
      <c r="G17" s="316">
        <f t="shared" si="0"/>
        <v>0</v>
      </c>
      <c r="H17" s="305"/>
      <c r="I17" s="305"/>
      <c r="J17" s="215"/>
      <c r="K17" s="95"/>
      <c r="L17" s="175"/>
    </row>
    <row r="18" spans="2:12">
      <c r="B18" s="229">
        <v>9</v>
      </c>
      <c r="C18" s="209" t="s">
        <v>242</v>
      </c>
      <c r="D18" s="209" t="s">
        <v>289</v>
      </c>
      <c r="E18" s="315">
        <v>9</v>
      </c>
      <c r="F18" s="316">
        <v>3</v>
      </c>
      <c r="G18" s="316">
        <f t="shared" si="0"/>
        <v>27</v>
      </c>
      <c r="H18" s="316">
        <f>B18-E18</f>
        <v>0</v>
      </c>
      <c r="I18" s="316">
        <f>H18*F18</f>
        <v>0</v>
      </c>
      <c r="J18" s="215">
        <f>(1-Table13478911121324573[[#This Row],[Hours Remain]]/Table13478911121324573[[#This Row],[Total Hrs]])</f>
        <v>1</v>
      </c>
      <c r="K18" s="96"/>
      <c r="L18" s="175"/>
    </row>
    <row r="19" spans="2:12">
      <c r="B19" s="223">
        <v>1</v>
      </c>
      <c r="C19" s="222" t="s">
        <v>192</v>
      </c>
      <c r="D19" s="222"/>
      <c r="E19" s="315">
        <v>0</v>
      </c>
      <c r="F19" s="305">
        <v>4</v>
      </c>
      <c r="G19" s="316">
        <f t="shared" si="0"/>
        <v>4</v>
      </c>
      <c r="H19" s="316">
        <f t="shared" ref="H19:H21" si="5">B19-E19</f>
        <v>1</v>
      </c>
      <c r="I19" s="316">
        <f t="shared" ref="I19:I21" si="6">H19*F19</f>
        <v>4</v>
      </c>
      <c r="J19" s="215">
        <v>0</v>
      </c>
      <c r="K19" s="95"/>
      <c r="L19" s="175"/>
    </row>
    <row r="20" spans="2:12">
      <c r="B20" s="223">
        <v>5</v>
      </c>
      <c r="C20" s="222" t="s">
        <v>193</v>
      </c>
      <c r="D20" s="222"/>
      <c r="E20" s="304">
        <v>0</v>
      </c>
      <c r="F20" s="305">
        <v>1</v>
      </c>
      <c r="G20" s="316">
        <f t="shared" si="0"/>
        <v>5</v>
      </c>
      <c r="H20" s="316">
        <f t="shared" si="5"/>
        <v>5</v>
      </c>
      <c r="I20" s="316">
        <f t="shared" si="6"/>
        <v>5</v>
      </c>
      <c r="J20" s="215">
        <v>0</v>
      </c>
      <c r="K20" s="95"/>
      <c r="L20" s="175"/>
    </row>
    <row r="21" spans="2:12">
      <c r="B21" s="223">
        <v>11</v>
      </c>
      <c r="C21" s="222" t="s">
        <v>180</v>
      </c>
      <c r="D21" s="222"/>
      <c r="E21" s="315">
        <v>0</v>
      </c>
      <c r="F21" s="305">
        <v>0.5</v>
      </c>
      <c r="G21" s="316">
        <f t="shared" si="0"/>
        <v>5.5</v>
      </c>
      <c r="H21" s="316">
        <f t="shared" si="5"/>
        <v>11</v>
      </c>
      <c r="I21" s="316">
        <f t="shared" si="6"/>
        <v>5.5</v>
      </c>
      <c r="J21" s="215">
        <v>0</v>
      </c>
      <c r="K21" s="96"/>
      <c r="L21" s="175"/>
    </row>
    <row r="22" spans="2:12">
      <c r="B22" s="223"/>
      <c r="C22" s="222"/>
      <c r="D22" s="222"/>
      <c r="E22" s="315"/>
      <c r="F22" s="305"/>
      <c r="G22" s="316">
        <f t="shared" si="0"/>
        <v>0</v>
      </c>
      <c r="H22" s="305"/>
      <c r="I22" s="305"/>
      <c r="J22" s="215"/>
      <c r="K22" s="133"/>
      <c r="L22" s="175"/>
    </row>
    <row r="23" spans="2:12">
      <c r="B23" s="223">
        <v>9</v>
      </c>
      <c r="C23" s="164" t="s">
        <v>243</v>
      </c>
      <c r="D23" s="164" t="s">
        <v>292</v>
      </c>
      <c r="E23" s="315">
        <v>9</v>
      </c>
      <c r="F23" s="316">
        <v>3</v>
      </c>
      <c r="G23" s="316">
        <f t="shared" si="0"/>
        <v>27</v>
      </c>
      <c r="H23" s="316">
        <f>B23-E23</f>
        <v>0</v>
      </c>
      <c r="I23" s="316">
        <f>H23*F23</f>
        <v>0</v>
      </c>
      <c r="J23" s="215">
        <f>(1-Table13478911121324573[[#This Row],[Hours Remain]]/Table13478911121324573[[#This Row],[Total Hrs]])</f>
        <v>1</v>
      </c>
      <c r="K23" s="137"/>
      <c r="L23" s="175"/>
    </row>
    <row r="24" spans="2:12">
      <c r="B24" s="223">
        <v>4</v>
      </c>
      <c r="C24" s="222" t="s">
        <v>192</v>
      </c>
      <c r="D24" s="222"/>
      <c r="E24" s="315">
        <v>0</v>
      </c>
      <c r="F24" s="305">
        <v>4</v>
      </c>
      <c r="G24" s="316">
        <f t="shared" si="0"/>
        <v>16</v>
      </c>
      <c r="H24" s="305">
        <v>4</v>
      </c>
      <c r="I24" s="316">
        <f t="shared" ref="I24:I25" si="7">H24*F24</f>
        <v>16</v>
      </c>
      <c r="J24" s="215">
        <v>0</v>
      </c>
      <c r="K24" s="135"/>
      <c r="L24" s="79"/>
    </row>
    <row r="25" spans="2:12">
      <c r="B25" s="223">
        <v>20</v>
      </c>
      <c r="C25" s="222" t="s">
        <v>180</v>
      </c>
      <c r="D25" s="222"/>
      <c r="E25" s="304">
        <v>0</v>
      </c>
      <c r="F25" s="305">
        <v>0.5</v>
      </c>
      <c r="G25" s="316">
        <f t="shared" si="0"/>
        <v>10</v>
      </c>
      <c r="H25" s="305">
        <v>20</v>
      </c>
      <c r="I25" s="316">
        <f t="shared" si="7"/>
        <v>10</v>
      </c>
      <c r="J25" s="215">
        <v>0</v>
      </c>
      <c r="K25" s="135"/>
      <c r="L25" s="79"/>
    </row>
    <row r="26" spans="2:12">
      <c r="B26" s="223"/>
      <c r="C26" s="222"/>
      <c r="D26" s="222"/>
      <c r="E26" s="315"/>
      <c r="F26" s="305"/>
      <c r="G26" s="316">
        <f t="shared" si="0"/>
        <v>0</v>
      </c>
      <c r="H26" s="305"/>
      <c r="I26" s="305"/>
      <c r="J26" s="215"/>
      <c r="K26" s="136"/>
      <c r="L26" s="175"/>
    </row>
    <row r="27" spans="2:12">
      <c r="B27" s="223">
        <v>9</v>
      </c>
      <c r="C27" s="164" t="s">
        <v>244</v>
      </c>
      <c r="D27" s="164" t="s">
        <v>293</v>
      </c>
      <c r="E27" s="315">
        <v>9</v>
      </c>
      <c r="F27" s="316">
        <v>3</v>
      </c>
      <c r="G27" s="316">
        <f t="shared" si="0"/>
        <v>27</v>
      </c>
      <c r="H27" s="316">
        <f>B27-E27</f>
        <v>0</v>
      </c>
      <c r="I27" s="316">
        <f>H27*F27</f>
        <v>0</v>
      </c>
      <c r="J27" s="215">
        <f>(1-Table13478911121324573[[#This Row],[Hours Remain]]/Table13478911121324573[[#This Row],[Total Hrs]])</f>
        <v>1</v>
      </c>
      <c r="K27" s="135"/>
      <c r="L27" s="79"/>
    </row>
    <row r="28" spans="2:12">
      <c r="B28" s="223">
        <v>4</v>
      </c>
      <c r="C28" s="222" t="s">
        <v>192</v>
      </c>
      <c r="D28" s="222"/>
      <c r="E28" s="315">
        <v>0</v>
      </c>
      <c r="F28" s="305">
        <v>4</v>
      </c>
      <c r="G28" s="316">
        <f t="shared" si="0"/>
        <v>16</v>
      </c>
      <c r="H28" s="305">
        <v>4</v>
      </c>
      <c r="I28" s="305">
        <v>16</v>
      </c>
      <c r="J28" s="215">
        <v>0</v>
      </c>
      <c r="K28" s="133"/>
      <c r="L28" s="175"/>
    </row>
    <row r="29" spans="2:12">
      <c r="B29" s="223">
        <v>18</v>
      </c>
      <c r="C29" s="222" t="s">
        <v>180</v>
      </c>
      <c r="D29" s="222"/>
      <c r="E29" s="304">
        <v>0</v>
      </c>
      <c r="F29" s="305">
        <v>0.5</v>
      </c>
      <c r="G29" s="316">
        <f t="shared" si="0"/>
        <v>9</v>
      </c>
      <c r="H29" s="305">
        <v>20</v>
      </c>
      <c r="I29" s="305">
        <v>10</v>
      </c>
      <c r="J29" s="215">
        <v>0</v>
      </c>
      <c r="K29" s="133"/>
      <c r="L29" s="175"/>
    </row>
    <row r="30" spans="2:12">
      <c r="B30" s="223"/>
      <c r="C30" s="222"/>
      <c r="D30" s="222"/>
      <c r="E30" s="315"/>
      <c r="F30" s="305"/>
      <c r="G30" s="316">
        <f t="shared" si="0"/>
        <v>0</v>
      </c>
      <c r="H30" s="305"/>
      <c r="I30" s="305"/>
      <c r="J30" s="215"/>
      <c r="K30" s="135"/>
      <c r="L30" s="79"/>
    </row>
    <row r="31" spans="2:12">
      <c r="B31" s="223">
        <v>9</v>
      </c>
      <c r="C31" s="164" t="s">
        <v>245</v>
      </c>
      <c r="D31" s="164" t="s">
        <v>294</v>
      </c>
      <c r="E31" s="315">
        <v>9</v>
      </c>
      <c r="F31" s="316">
        <v>3</v>
      </c>
      <c r="G31" s="316">
        <f t="shared" si="0"/>
        <v>27</v>
      </c>
      <c r="H31" s="316">
        <f>B31-E31</f>
        <v>0</v>
      </c>
      <c r="I31" s="316">
        <f>H31*F31</f>
        <v>0</v>
      </c>
      <c r="J31" s="215">
        <f>(1-Table13478911121324573[[#This Row],[Hours Remain]]/Table13478911121324573[[#This Row],[Total Hrs]])</f>
        <v>1</v>
      </c>
      <c r="K31" s="133"/>
      <c r="L31" s="175"/>
    </row>
    <row r="32" spans="2:12">
      <c r="B32" s="223">
        <v>4</v>
      </c>
      <c r="C32" s="222" t="s">
        <v>192</v>
      </c>
      <c r="D32" s="222"/>
      <c r="E32" s="315">
        <v>0</v>
      </c>
      <c r="F32" s="305">
        <v>4</v>
      </c>
      <c r="G32" s="316">
        <f t="shared" si="0"/>
        <v>16</v>
      </c>
      <c r="H32" s="305">
        <v>4</v>
      </c>
      <c r="I32" s="305">
        <v>16</v>
      </c>
      <c r="J32" s="215">
        <v>0</v>
      </c>
      <c r="K32" s="135"/>
      <c r="L32" s="175"/>
    </row>
    <row r="33" spans="2:12">
      <c r="B33" s="223">
        <v>16</v>
      </c>
      <c r="C33" s="222" t="s">
        <v>180</v>
      </c>
      <c r="D33" s="222"/>
      <c r="E33" s="315">
        <v>0</v>
      </c>
      <c r="F33" s="305">
        <v>0.5</v>
      </c>
      <c r="G33" s="316">
        <f t="shared" si="0"/>
        <v>8</v>
      </c>
      <c r="H33" s="305">
        <v>20</v>
      </c>
      <c r="I33" s="305">
        <v>10</v>
      </c>
      <c r="J33" s="215">
        <v>0</v>
      </c>
      <c r="K33" s="135"/>
      <c r="L33" s="79"/>
    </row>
    <row r="34" spans="2:12">
      <c r="B34" s="223"/>
      <c r="C34" s="222"/>
      <c r="D34" s="222"/>
      <c r="E34" s="315"/>
      <c r="F34" s="305"/>
      <c r="G34" s="316">
        <f t="shared" si="0"/>
        <v>0</v>
      </c>
      <c r="H34" s="305"/>
      <c r="I34" s="305"/>
      <c r="J34" s="215"/>
      <c r="K34" s="133"/>
      <c r="L34" s="175"/>
    </row>
    <row r="35" spans="2:12">
      <c r="B35" s="223">
        <v>9</v>
      </c>
      <c r="C35" s="164" t="s">
        <v>246</v>
      </c>
      <c r="D35" s="164"/>
      <c r="E35" s="315">
        <v>9</v>
      </c>
      <c r="F35" s="316">
        <v>3</v>
      </c>
      <c r="G35" s="316">
        <f t="shared" si="0"/>
        <v>27</v>
      </c>
      <c r="H35" s="316">
        <f>B35-E35</f>
        <v>0</v>
      </c>
      <c r="I35" s="316">
        <f>H35*F35</f>
        <v>0</v>
      </c>
      <c r="J35" s="215">
        <f>(1-Table13478911121324573[[#This Row],[Hours Remain]]/Table13478911121324573[[#This Row],[Total Hrs]])</f>
        <v>1</v>
      </c>
      <c r="K35" s="137"/>
      <c r="L35" s="175"/>
    </row>
    <row r="36" spans="2:12">
      <c r="B36" s="223">
        <v>4</v>
      </c>
      <c r="C36" s="222" t="s">
        <v>192</v>
      </c>
      <c r="D36" s="222"/>
      <c r="E36" s="315">
        <v>0</v>
      </c>
      <c r="F36" s="305">
        <v>4</v>
      </c>
      <c r="G36" s="316">
        <f t="shared" si="0"/>
        <v>16</v>
      </c>
      <c r="H36" s="316">
        <f t="shared" ref="H36:H37" si="8">B36-E36</f>
        <v>4</v>
      </c>
      <c r="I36" s="316">
        <f t="shared" ref="I36:I37" si="9">H36*F36</f>
        <v>16</v>
      </c>
      <c r="J36" s="215">
        <v>0</v>
      </c>
      <c r="K36" s="135"/>
      <c r="L36" s="79"/>
    </row>
    <row r="37" spans="2:12">
      <c r="B37" s="223">
        <v>15</v>
      </c>
      <c r="C37" s="222" t="s">
        <v>180</v>
      </c>
      <c r="D37" s="222"/>
      <c r="E37" s="315">
        <v>0</v>
      </c>
      <c r="F37" s="305">
        <v>0.5</v>
      </c>
      <c r="G37" s="316">
        <f t="shared" si="0"/>
        <v>7.5</v>
      </c>
      <c r="H37" s="316">
        <f t="shared" si="8"/>
        <v>15</v>
      </c>
      <c r="I37" s="316">
        <f t="shared" si="9"/>
        <v>7.5</v>
      </c>
      <c r="J37" s="215">
        <v>0</v>
      </c>
      <c r="K37" s="138"/>
      <c r="L37" s="175"/>
    </row>
    <row r="38" spans="2:12">
      <c r="B38" s="250"/>
      <c r="C38" s="222"/>
      <c r="D38" s="332"/>
      <c r="E38" s="246"/>
      <c r="F38" s="247"/>
      <c r="G38" s="247"/>
      <c r="H38" s="247"/>
      <c r="I38" s="248"/>
      <c r="J38" s="249"/>
      <c r="K38" s="135"/>
      <c r="L38" s="175"/>
    </row>
    <row r="39" spans="2:12" s="80" customFormat="1">
      <c r="B39" s="252">
        <f>SUM(B3:B37)</f>
        <v>242</v>
      </c>
      <c r="C39" s="84" t="s">
        <v>81</v>
      </c>
      <c r="D39" s="225"/>
      <c r="E39" s="224">
        <f>SUM(E3:E37)</f>
        <v>76</v>
      </c>
      <c r="F39" s="253">
        <f>SUM(F3:F37)</f>
        <v>64.25</v>
      </c>
      <c r="G39" s="225">
        <f>SUM(G3:G37)</f>
        <v>418.5</v>
      </c>
      <c r="H39" s="224">
        <f>B39-E39</f>
        <v>166</v>
      </c>
      <c r="I39" s="226">
        <f>SUM(I3:I37)</f>
        <v>193.5</v>
      </c>
      <c r="J39" s="227">
        <f>(1-(I39/G39))</f>
        <v>0.5376344086021505</v>
      </c>
      <c r="K39" s="86"/>
    </row>
    <row r="43" spans="2:12" ht="18.75">
      <c r="C43" s="251" t="s">
        <v>247</v>
      </c>
      <c r="D43" s="251"/>
    </row>
    <row r="44" spans="2:12" ht="18.75">
      <c r="C44" s="251" t="s">
        <v>248</v>
      </c>
      <c r="D44" s="251"/>
    </row>
    <row r="45" spans="2:12" ht="18.75">
      <c r="C45" s="251" t="s">
        <v>295</v>
      </c>
      <c r="D45" s="251"/>
    </row>
  </sheetData>
  <mergeCells count="1">
    <mergeCell ref="C1:K1"/>
  </mergeCells>
  <conditionalFormatting sqref="J4:J8 J10:J13 J24:J26 J32:J34 J19:J22 J36:J38 J28:J30 J15:J17">
    <cfRule type="dataBar" priority="7">
      <dataBar>
        <cfvo type="num" val="0"/>
        <cfvo type="num" val="1"/>
        <color theme="0" tint="-0.249977111117893"/>
      </dataBar>
      <extLst>
        <ext xmlns:x14="http://schemas.microsoft.com/office/spreadsheetml/2009/9/main" uri="{B025F937-C7B1-47D3-B67F-A62EFF666E3E}">
          <x14:id>{619FE258-560A-4923-8373-82C22DBBD0D8}</x14:id>
        </ext>
      </extLst>
    </cfRule>
  </conditionalFormatting>
  <conditionalFormatting sqref="J9">
    <cfRule type="dataBar" priority="6">
      <dataBar>
        <cfvo type="num" val="0"/>
        <cfvo type="num" val="1"/>
        <color theme="0" tint="-0.249977111117893"/>
      </dataBar>
      <extLst>
        <ext xmlns:x14="http://schemas.microsoft.com/office/spreadsheetml/2009/9/main" uri="{B025F937-C7B1-47D3-B67F-A62EFF666E3E}">
          <x14:id>{63E67282-306C-462F-8D32-AA8D9C9682A3}</x14:id>
        </ext>
      </extLst>
    </cfRule>
  </conditionalFormatting>
  <conditionalFormatting sqref="J14">
    <cfRule type="dataBar" priority="5">
      <dataBar>
        <cfvo type="num" val="0"/>
        <cfvo type="num" val="1"/>
        <color theme="0" tint="-0.249977111117893"/>
      </dataBar>
      <extLst>
        <ext xmlns:x14="http://schemas.microsoft.com/office/spreadsheetml/2009/9/main" uri="{B025F937-C7B1-47D3-B67F-A62EFF666E3E}">
          <x14:id>{41CD1D76-E56A-4932-A1C0-F71C50B4D611}</x14:id>
        </ext>
      </extLst>
    </cfRule>
  </conditionalFormatting>
  <conditionalFormatting sqref="J18">
    <cfRule type="dataBar" priority="4">
      <dataBar>
        <cfvo type="num" val="0"/>
        <cfvo type="num" val="1"/>
        <color theme="0" tint="-0.249977111117893"/>
      </dataBar>
      <extLst>
        <ext xmlns:x14="http://schemas.microsoft.com/office/spreadsheetml/2009/9/main" uri="{B025F937-C7B1-47D3-B67F-A62EFF666E3E}">
          <x14:id>{50D40CCA-093F-4F6E-98F3-872504EE9B27}</x14:id>
        </ext>
      </extLst>
    </cfRule>
  </conditionalFormatting>
  <conditionalFormatting sqref="J23 J3">
    <cfRule type="dataBar" priority="8">
      <dataBar>
        <cfvo type="num" val="0"/>
        <cfvo type="num" val="1"/>
        <color theme="0" tint="-0.249977111117893"/>
      </dataBar>
      <extLst>
        <ext xmlns:x14="http://schemas.microsoft.com/office/spreadsheetml/2009/9/main" uri="{B025F937-C7B1-47D3-B67F-A62EFF666E3E}">
          <x14:id>{01D59E98-7244-4A71-91F4-B208578F9231}</x14:id>
        </ext>
      </extLst>
    </cfRule>
  </conditionalFormatting>
  <conditionalFormatting sqref="J27">
    <cfRule type="dataBar" priority="3">
      <dataBar>
        <cfvo type="num" val="0"/>
        <cfvo type="num" val="1"/>
        <color theme="0" tint="-0.249977111117893"/>
      </dataBar>
      <extLst>
        <ext xmlns:x14="http://schemas.microsoft.com/office/spreadsheetml/2009/9/main" uri="{B025F937-C7B1-47D3-B67F-A62EFF666E3E}">
          <x14:id>{F20E2B5D-82FA-40E4-BF1E-6CAE49D0B70E}</x14:id>
        </ext>
      </extLst>
    </cfRule>
  </conditionalFormatting>
  <conditionalFormatting sqref="J31">
    <cfRule type="dataBar" priority="2">
      <dataBar>
        <cfvo type="num" val="0"/>
        <cfvo type="num" val="1"/>
        <color theme="0" tint="-0.249977111117893"/>
      </dataBar>
      <extLst>
        <ext xmlns:x14="http://schemas.microsoft.com/office/spreadsheetml/2009/9/main" uri="{B025F937-C7B1-47D3-B67F-A62EFF666E3E}">
          <x14:id>{DCA2D549-E9B1-4C10-8306-12B94FB336EA}</x14:id>
        </ext>
      </extLst>
    </cfRule>
  </conditionalFormatting>
  <conditionalFormatting sqref="J35">
    <cfRule type="dataBar" priority="1">
      <dataBar>
        <cfvo type="num" val="0"/>
        <cfvo type="num" val="1"/>
        <color theme="0" tint="-0.249977111117893"/>
      </dataBar>
      <extLst>
        <ext xmlns:x14="http://schemas.microsoft.com/office/spreadsheetml/2009/9/main" uri="{B025F937-C7B1-47D3-B67F-A62EFF666E3E}">
          <x14:id>{BDBD07C4-FFF8-4071-B33B-EF53B547752F}</x14:id>
        </ext>
      </extLst>
    </cfRule>
  </conditionalFormatting>
  <conditionalFormatting sqref="J39">
    <cfRule type="colorScale" priority="9">
      <colorScale>
        <cfvo type="num" val="0"/>
        <cfvo type="num" val="1"/>
        <color rgb="FF0C5485"/>
        <color theme="3" tint="0.79998168889431442"/>
      </colorScale>
    </cfRule>
  </conditionalFormatting>
  <pageMargins left="0.7" right="0.7" top="0.75" bottom="0.75" header="0.3" footer="0.3"/>
  <pageSetup scale="75"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19FE258-560A-4923-8373-82C22DBBD0D8}">
            <x14:dataBar minLength="0" maxLength="100" gradient="0">
              <x14:cfvo type="num">
                <xm:f>0</xm:f>
              </x14:cfvo>
              <x14:cfvo type="num">
                <xm:f>1</xm:f>
              </x14:cfvo>
              <x14:negativeFillColor rgb="FFFF0000"/>
              <x14:axisColor rgb="FF000000"/>
            </x14:dataBar>
          </x14:cfRule>
          <xm:sqref>J4:J8 J10:J13 J24:J26 J32:J34 J19:J22 J36:J38 J28:J30 J15:J17</xm:sqref>
        </x14:conditionalFormatting>
        <x14:conditionalFormatting xmlns:xm="http://schemas.microsoft.com/office/excel/2006/main">
          <x14:cfRule type="dataBar" id="{63E67282-306C-462F-8D32-AA8D9C9682A3}">
            <x14:dataBar minLength="0" maxLength="100" border="1" gradient="0">
              <x14:cfvo type="num">
                <xm:f>0</xm:f>
              </x14:cfvo>
              <x14:cfvo type="num">
                <xm:f>1</xm:f>
              </x14:cfvo>
              <x14:borderColor rgb="FF000000"/>
              <x14:negativeFillColor rgb="FFFF0000"/>
              <x14:axisColor rgb="FF000000"/>
            </x14:dataBar>
          </x14:cfRule>
          <xm:sqref>J9</xm:sqref>
        </x14:conditionalFormatting>
        <x14:conditionalFormatting xmlns:xm="http://schemas.microsoft.com/office/excel/2006/main">
          <x14:cfRule type="dataBar" id="{41CD1D76-E56A-4932-A1C0-F71C50B4D611}">
            <x14:dataBar minLength="0" maxLength="100" border="1" gradient="0">
              <x14:cfvo type="num">
                <xm:f>0</xm:f>
              </x14:cfvo>
              <x14:cfvo type="num">
                <xm:f>1</xm:f>
              </x14:cfvo>
              <x14:borderColor rgb="FF000000"/>
              <x14:negativeFillColor rgb="FFFF0000"/>
              <x14:axisColor rgb="FF000000"/>
            </x14:dataBar>
          </x14:cfRule>
          <xm:sqref>J14</xm:sqref>
        </x14:conditionalFormatting>
        <x14:conditionalFormatting xmlns:xm="http://schemas.microsoft.com/office/excel/2006/main">
          <x14:cfRule type="dataBar" id="{50D40CCA-093F-4F6E-98F3-872504EE9B27}">
            <x14:dataBar minLength="0" maxLength="100" border="1" gradient="0">
              <x14:cfvo type="num">
                <xm:f>0</xm:f>
              </x14:cfvo>
              <x14:cfvo type="num">
                <xm:f>1</xm:f>
              </x14:cfvo>
              <x14:borderColor rgb="FF000000"/>
              <x14:negativeFillColor rgb="FFFF0000"/>
              <x14:axisColor rgb="FF000000"/>
            </x14:dataBar>
          </x14:cfRule>
          <xm:sqref>J18</xm:sqref>
        </x14:conditionalFormatting>
        <x14:conditionalFormatting xmlns:xm="http://schemas.microsoft.com/office/excel/2006/main">
          <x14:cfRule type="dataBar" id="{01D59E98-7244-4A71-91F4-B208578F9231}">
            <x14:dataBar minLength="0" maxLength="100" border="1" gradient="0">
              <x14:cfvo type="num">
                <xm:f>0</xm:f>
              </x14:cfvo>
              <x14:cfvo type="num">
                <xm:f>1</xm:f>
              </x14:cfvo>
              <x14:borderColor rgb="FF000000"/>
              <x14:negativeFillColor rgb="FFFF0000"/>
              <x14:axisColor rgb="FF000000"/>
            </x14:dataBar>
          </x14:cfRule>
          <xm:sqref>J23 J3</xm:sqref>
        </x14:conditionalFormatting>
        <x14:conditionalFormatting xmlns:xm="http://schemas.microsoft.com/office/excel/2006/main">
          <x14:cfRule type="dataBar" id="{F20E2B5D-82FA-40E4-BF1E-6CAE49D0B70E}">
            <x14:dataBar minLength="0" maxLength="100" border="1" gradient="0">
              <x14:cfvo type="num">
                <xm:f>0</xm:f>
              </x14:cfvo>
              <x14:cfvo type="num">
                <xm:f>1</xm:f>
              </x14:cfvo>
              <x14:borderColor rgb="FF000000"/>
              <x14:negativeFillColor rgb="FFFF0000"/>
              <x14:axisColor rgb="FF000000"/>
            </x14:dataBar>
          </x14:cfRule>
          <xm:sqref>J27</xm:sqref>
        </x14:conditionalFormatting>
        <x14:conditionalFormatting xmlns:xm="http://schemas.microsoft.com/office/excel/2006/main">
          <x14:cfRule type="dataBar" id="{DCA2D549-E9B1-4C10-8306-12B94FB336EA}">
            <x14:dataBar minLength="0" maxLength="100" border="1" gradient="0">
              <x14:cfvo type="num">
                <xm:f>0</xm:f>
              </x14:cfvo>
              <x14:cfvo type="num">
                <xm:f>1</xm:f>
              </x14:cfvo>
              <x14:borderColor rgb="FF000000"/>
              <x14:negativeFillColor rgb="FFFF0000"/>
              <x14:axisColor rgb="FF000000"/>
            </x14:dataBar>
          </x14:cfRule>
          <xm:sqref>J31</xm:sqref>
        </x14:conditionalFormatting>
        <x14:conditionalFormatting xmlns:xm="http://schemas.microsoft.com/office/excel/2006/main">
          <x14:cfRule type="dataBar" id="{BDBD07C4-FFF8-4071-B33B-EF53B547752F}">
            <x14:dataBar minLength="0" maxLength="100" border="1" gradient="0">
              <x14:cfvo type="num">
                <xm:f>0</xm:f>
              </x14:cfvo>
              <x14:cfvo type="num">
                <xm:f>1</xm:f>
              </x14:cfvo>
              <x14:borderColor rgb="FF000000"/>
              <x14:negativeFillColor rgb="FFFF0000"/>
              <x14:axisColor rgb="FF000000"/>
            </x14:dataBar>
          </x14:cfRule>
          <xm:sqref>J35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902B-FBD5-4BDD-83B4-8C92429DCE65}">
  <sheetPr codeName="Sheet7">
    <pageSetUpPr fitToPage="1"/>
  </sheetPr>
  <dimension ref="A1:EI131"/>
  <sheetViews>
    <sheetView view="pageBreakPreview" topLeftCell="A70" zoomScale="97" zoomScaleNormal="54" zoomScaleSheetLayoutView="55" workbookViewId="0">
      <selection activeCell="BF102" sqref="BF102:BL103"/>
    </sheetView>
  </sheetViews>
  <sheetFormatPr defaultColWidth="2.42578125" defaultRowHeight="15" customHeight="1"/>
  <cols>
    <col min="1" max="18" width="2.42578125" style="1"/>
    <col min="19" max="19" width="2.42578125" style="1" customWidth="1"/>
    <col min="20" max="66" width="2.42578125" style="1"/>
    <col min="67" max="86" width="0" style="1" hidden="1" customWidth="1"/>
    <col min="87" max="16384" width="2.42578125" style="1"/>
  </cols>
  <sheetData>
    <row r="1" spans="1:139" ht="15" customHeight="1">
      <c r="A1" s="388"/>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389"/>
      <c r="CO1" s="389"/>
      <c r="CP1" s="389"/>
      <c r="CQ1" s="389"/>
      <c r="CR1" s="389"/>
      <c r="CS1" s="389"/>
      <c r="CT1" s="389"/>
      <c r="CU1" s="389"/>
      <c r="CV1" s="361" t="s">
        <v>1</v>
      </c>
      <c r="CW1" s="361"/>
      <c r="CX1" s="361"/>
      <c r="CY1" s="361"/>
      <c r="CZ1" s="361"/>
      <c r="DA1" s="361"/>
      <c r="DB1" s="361"/>
      <c r="DC1" s="361"/>
      <c r="DD1" s="361"/>
      <c r="DE1" s="362"/>
    </row>
    <row r="2" spans="1:139" ht="15" customHeight="1">
      <c r="A2" s="390"/>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c r="BN2" s="391"/>
      <c r="BO2" s="391"/>
      <c r="BP2" s="391"/>
      <c r="BQ2" s="391"/>
      <c r="BR2" s="391"/>
      <c r="BS2" s="391"/>
      <c r="BT2" s="391"/>
      <c r="BU2" s="391"/>
      <c r="BV2" s="391"/>
      <c r="BW2" s="391"/>
      <c r="BX2" s="391"/>
      <c r="BY2" s="391"/>
      <c r="BZ2" s="391"/>
      <c r="CA2" s="391"/>
      <c r="CB2" s="391"/>
      <c r="CC2" s="391"/>
      <c r="CD2" s="391"/>
      <c r="CE2" s="391"/>
      <c r="CF2" s="391"/>
      <c r="CG2" s="391"/>
      <c r="CH2" s="391"/>
      <c r="CI2" s="391"/>
      <c r="CJ2" s="391"/>
      <c r="CK2" s="391"/>
      <c r="CL2" s="391"/>
      <c r="CM2" s="391"/>
      <c r="CN2" s="391"/>
      <c r="CO2" s="391"/>
      <c r="CP2" s="391"/>
      <c r="CQ2" s="391"/>
      <c r="CR2" s="391"/>
      <c r="CS2" s="391"/>
      <c r="CT2" s="391"/>
      <c r="CU2" s="391"/>
      <c r="CV2" s="363"/>
      <c r="CW2" s="363"/>
      <c r="CX2" s="363"/>
      <c r="CY2" s="363"/>
      <c r="CZ2" s="363"/>
      <c r="DA2" s="363"/>
      <c r="DB2" s="363"/>
      <c r="DC2" s="363"/>
      <c r="DD2" s="363"/>
      <c r="DE2" s="364"/>
    </row>
    <row r="3" spans="1:139" ht="15" customHeight="1">
      <c r="A3" s="390"/>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1"/>
      <c r="BP3" s="391"/>
      <c r="BQ3" s="391"/>
      <c r="BR3" s="391"/>
      <c r="BS3" s="391"/>
      <c r="BT3" s="391"/>
      <c r="BU3" s="391"/>
      <c r="BV3" s="391"/>
      <c r="BW3" s="391"/>
      <c r="BX3" s="391"/>
      <c r="BY3" s="391"/>
      <c r="BZ3" s="391"/>
      <c r="CA3" s="391"/>
      <c r="CB3" s="391"/>
      <c r="CC3" s="391"/>
      <c r="CD3" s="391"/>
      <c r="CE3" s="391"/>
      <c r="CF3" s="391"/>
      <c r="CG3" s="391"/>
      <c r="CH3" s="391"/>
      <c r="CI3" s="391"/>
      <c r="CJ3" s="391"/>
      <c r="CK3" s="391"/>
      <c r="CL3" s="391"/>
      <c r="CM3" s="391"/>
      <c r="CN3" s="391"/>
      <c r="CO3" s="391"/>
      <c r="CP3" s="391"/>
      <c r="CQ3" s="391"/>
      <c r="CR3" s="391"/>
      <c r="CS3" s="391"/>
      <c r="CT3" s="391"/>
      <c r="CU3" s="391"/>
      <c r="CV3" s="363"/>
      <c r="CW3" s="363"/>
      <c r="CX3" s="363"/>
      <c r="CY3" s="363"/>
      <c r="CZ3" s="363"/>
      <c r="DA3" s="363"/>
      <c r="DB3" s="363"/>
      <c r="DC3" s="363"/>
      <c r="DD3" s="363"/>
      <c r="DE3" s="364"/>
    </row>
    <row r="4" spans="1:139" ht="15" customHeight="1">
      <c r="A4" s="390"/>
      <c r="B4" s="391"/>
      <c r="C4" s="391"/>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63"/>
      <c r="CW4" s="363"/>
      <c r="CX4" s="363"/>
      <c r="CY4" s="363"/>
      <c r="CZ4" s="363"/>
      <c r="DA4" s="363"/>
      <c r="DB4" s="363"/>
      <c r="DC4" s="363"/>
      <c r="DD4" s="363"/>
      <c r="DE4" s="364"/>
    </row>
    <row r="5" spans="1:139" ht="15" customHeight="1">
      <c r="A5" s="390"/>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c r="BY5" s="391"/>
      <c r="BZ5" s="391"/>
      <c r="CA5" s="391"/>
      <c r="CB5" s="391"/>
      <c r="CC5" s="391"/>
      <c r="CD5" s="391"/>
      <c r="CE5" s="391"/>
      <c r="CF5" s="391"/>
      <c r="CG5" s="391"/>
      <c r="CH5" s="391"/>
      <c r="CI5" s="391"/>
      <c r="CJ5" s="391"/>
      <c r="CK5" s="391"/>
      <c r="CL5" s="391"/>
      <c r="CM5" s="391"/>
      <c r="CN5" s="391"/>
      <c r="CO5" s="391"/>
      <c r="CP5" s="391"/>
      <c r="CQ5" s="391"/>
      <c r="CR5" s="391"/>
      <c r="CS5" s="391"/>
      <c r="CT5" s="391"/>
      <c r="CU5" s="391"/>
      <c r="CV5" s="363"/>
      <c r="CW5" s="363"/>
      <c r="CX5" s="363"/>
      <c r="CY5" s="363"/>
      <c r="CZ5" s="363"/>
      <c r="DA5" s="363"/>
      <c r="DB5" s="363"/>
      <c r="DC5" s="363"/>
      <c r="DD5" s="363"/>
      <c r="DE5" s="364"/>
    </row>
    <row r="6" spans="1:139" ht="15" customHeight="1" thickBot="1">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65"/>
      <c r="CW6" s="365"/>
      <c r="CX6" s="365"/>
      <c r="CY6" s="365"/>
      <c r="CZ6" s="365"/>
      <c r="DA6" s="365"/>
      <c r="DB6" s="365"/>
      <c r="DC6" s="365"/>
      <c r="DD6" s="365"/>
      <c r="DE6" s="366"/>
    </row>
    <row r="7" spans="1:139" ht="15" customHeight="1">
      <c r="A7" s="392" t="s">
        <v>83</v>
      </c>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c r="BL7" s="393"/>
      <c r="BM7" s="393"/>
      <c r="BN7" s="393"/>
      <c r="BO7" s="393"/>
      <c r="BP7" s="393"/>
      <c r="BQ7" s="393"/>
      <c r="BR7" s="393"/>
      <c r="BS7" s="393"/>
      <c r="BT7" s="393"/>
      <c r="BU7" s="393"/>
      <c r="BV7" s="393"/>
      <c r="BW7" s="393"/>
      <c r="BX7" s="393"/>
      <c r="BY7" s="393"/>
      <c r="BZ7" s="393"/>
      <c r="CA7" s="393"/>
      <c r="CB7" s="393"/>
      <c r="CC7" s="393"/>
      <c r="CD7" s="393"/>
      <c r="CE7" s="393"/>
      <c r="CF7" s="393"/>
      <c r="CG7" s="393"/>
      <c r="CH7" s="393"/>
      <c r="CI7" s="393"/>
      <c r="CJ7" s="393"/>
      <c r="CK7" s="393"/>
      <c r="CL7" s="393"/>
      <c r="CM7" s="393"/>
      <c r="CN7" s="393"/>
      <c r="CO7" s="393"/>
      <c r="CP7" s="367" t="s">
        <v>3</v>
      </c>
      <c r="CQ7" s="367"/>
      <c r="CR7" s="367"/>
      <c r="CS7" s="367"/>
      <c r="CT7" s="367"/>
      <c r="CU7" s="367"/>
      <c r="CV7" s="367"/>
      <c r="CW7" s="367"/>
      <c r="CX7" s="367"/>
      <c r="CY7" s="367"/>
      <c r="CZ7" s="367"/>
      <c r="DA7" s="367"/>
      <c r="DB7" s="367"/>
      <c r="DC7" s="367"/>
      <c r="DD7" s="367"/>
      <c r="DE7" s="368"/>
    </row>
    <row r="8" spans="1:139" ht="15" customHeight="1">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c r="BL8" s="393"/>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67"/>
      <c r="CQ8" s="367"/>
      <c r="CR8" s="367"/>
      <c r="CS8" s="367"/>
      <c r="CT8" s="367"/>
      <c r="CU8" s="367"/>
      <c r="CV8" s="367"/>
      <c r="CW8" s="367"/>
      <c r="CX8" s="367"/>
      <c r="CY8" s="367"/>
      <c r="CZ8" s="367"/>
      <c r="DA8" s="367"/>
      <c r="DB8" s="367"/>
      <c r="DC8" s="367"/>
      <c r="DD8" s="367"/>
      <c r="DE8" s="368"/>
    </row>
    <row r="9" spans="1:139" ht="15" customHeight="1">
      <c r="A9" s="375" t="s">
        <v>4</v>
      </c>
      <c r="B9" s="369"/>
      <c r="C9" s="369"/>
      <c r="D9" s="369"/>
      <c r="E9" s="369"/>
      <c r="F9" s="369"/>
      <c r="G9" s="369"/>
      <c r="H9" s="369"/>
      <c r="I9" s="369"/>
      <c r="J9" s="369"/>
      <c r="K9" s="369"/>
      <c r="L9" s="369"/>
      <c r="M9" s="369"/>
      <c r="N9" s="369"/>
      <c r="O9" s="369"/>
      <c r="P9" s="369"/>
      <c r="Q9" s="369"/>
      <c r="R9" s="369"/>
      <c r="S9" s="370">
        <v>559082</v>
      </c>
      <c r="T9" s="370"/>
      <c r="U9" s="370"/>
      <c r="V9" s="370"/>
      <c r="W9" s="370"/>
      <c r="X9" s="370"/>
      <c r="Y9" s="370"/>
      <c r="Z9" s="370"/>
      <c r="AA9" s="370"/>
      <c r="AB9" s="370"/>
      <c r="AC9" s="370"/>
      <c r="AD9" s="370"/>
      <c r="AE9" s="369" t="s">
        <v>5</v>
      </c>
      <c r="AF9" s="369"/>
      <c r="AG9" s="369"/>
      <c r="AH9" s="369"/>
      <c r="AI9" s="369"/>
      <c r="AJ9" s="369"/>
      <c r="AK9" s="369"/>
      <c r="AL9" s="369"/>
      <c r="AM9" s="369"/>
      <c r="AN9" s="369"/>
      <c r="AO9" s="369"/>
      <c r="AP9" s="369"/>
      <c r="AQ9" s="369"/>
      <c r="AR9" s="369"/>
      <c r="AS9" s="394">
        <v>45678</v>
      </c>
      <c r="AT9" s="394"/>
      <c r="AU9" s="394"/>
      <c r="AV9" s="394"/>
      <c r="AW9" s="394"/>
      <c r="AX9" s="394"/>
      <c r="AY9" s="394"/>
      <c r="AZ9" s="394"/>
      <c r="BA9" s="394"/>
      <c r="BB9" s="394"/>
      <c r="BC9" s="394"/>
      <c r="BD9" s="394"/>
      <c r="BE9" s="394"/>
      <c r="BF9" s="394"/>
      <c r="BG9" s="369" t="s">
        <v>6</v>
      </c>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71" t="s">
        <v>7</v>
      </c>
      <c r="CO9" s="371"/>
      <c r="CP9" s="371"/>
      <c r="CQ9" s="372" t="s">
        <v>8</v>
      </c>
      <c r="CR9" s="372"/>
      <c r="CS9" s="372"/>
      <c r="CT9" s="372"/>
      <c r="CU9" s="372"/>
      <c r="CV9" s="372"/>
      <c r="CW9" s="372"/>
      <c r="CX9" s="372"/>
      <c r="CY9" s="372"/>
      <c r="CZ9" s="372"/>
      <c r="DA9" s="372"/>
      <c r="DB9" s="372"/>
      <c r="DC9" s="372"/>
      <c r="DD9" s="372"/>
      <c r="DE9" s="373"/>
    </row>
    <row r="10" spans="1:139" ht="15" customHeight="1">
      <c r="A10" s="375" t="s">
        <v>9</v>
      </c>
      <c r="B10" s="369"/>
      <c r="C10" s="369"/>
      <c r="D10" s="369"/>
      <c r="E10" s="369"/>
      <c r="F10" s="369"/>
      <c r="G10" s="369"/>
      <c r="H10" s="369"/>
      <c r="I10" s="369"/>
      <c r="J10" s="369"/>
      <c r="K10" s="369"/>
      <c r="L10" s="369"/>
      <c r="M10" s="369"/>
      <c r="N10" s="369"/>
      <c r="O10" s="369"/>
      <c r="P10" s="369"/>
      <c r="Q10" s="369"/>
      <c r="R10" s="369"/>
      <c r="S10" s="370" t="s">
        <v>10</v>
      </c>
      <c r="T10" s="370"/>
      <c r="U10" s="370"/>
      <c r="V10" s="370"/>
      <c r="W10" s="370"/>
      <c r="X10" s="370"/>
      <c r="Y10" s="370"/>
      <c r="Z10" s="370"/>
      <c r="AA10" s="370"/>
      <c r="AB10" s="370"/>
      <c r="AC10" s="370"/>
      <c r="AD10" s="370"/>
      <c r="AE10" s="369" t="s">
        <v>11</v>
      </c>
      <c r="AF10" s="369"/>
      <c r="AG10" s="369"/>
      <c r="AH10" s="369"/>
      <c r="AI10" s="369"/>
      <c r="AJ10" s="369"/>
      <c r="AK10" s="369"/>
      <c r="AL10" s="369"/>
      <c r="AM10" s="369"/>
      <c r="AN10" s="369"/>
      <c r="AO10" s="369"/>
      <c r="AP10" s="369"/>
      <c r="AQ10" s="369"/>
      <c r="AR10" s="369"/>
      <c r="AS10" s="370" t="s">
        <v>12</v>
      </c>
      <c r="AT10" s="370"/>
      <c r="AU10" s="370"/>
      <c r="AV10" s="370"/>
      <c r="AW10" s="370"/>
      <c r="AX10" s="370"/>
      <c r="AY10" s="370"/>
      <c r="AZ10" s="370"/>
      <c r="BA10" s="370"/>
      <c r="BB10" s="370"/>
      <c r="BC10" s="370"/>
      <c r="BD10" s="370"/>
      <c r="BE10" s="370"/>
      <c r="BF10" s="370"/>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71"/>
      <c r="CO10" s="371"/>
      <c r="CP10" s="371"/>
      <c r="CQ10" s="372" t="s">
        <v>13</v>
      </c>
      <c r="CR10" s="372"/>
      <c r="CS10" s="372"/>
      <c r="CT10" s="372"/>
      <c r="CU10" s="372"/>
      <c r="CV10" s="372"/>
      <c r="CW10" s="372"/>
      <c r="CX10" s="372"/>
      <c r="CY10" s="372"/>
      <c r="CZ10" s="372"/>
      <c r="DA10" s="372"/>
      <c r="DB10" s="372"/>
      <c r="DC10" s="372"/>
      <c r="DD10" s="372"/>
      <c r="DE10" s="373"/>
    </row>
    <row r="11" spans="1:139" ht="15" customHeight="1">
      <c r="A11" s="375" t="s">
        <v>14</v>
      </c>
      <c r="B11" s="369"/>
      <c r="C11" s="369"/>
      <c r="D11" s="369"/>
      <c r="E11" s="369"/>
      <c r="F11" s="369"/>
      <c r="G11" s="369"/>
      <c r="H11" s="369"/>
      <c r="I11" s="369"/>
      <c r="J11" s="369"/>
      <c r="K11" s="369"/>
      <c r="L11" s="369"/>
      <c r="M11" s="369"/>
      <c r="N11" s="369"/>
      <c r="O11" s="369"/>
      <c r="P11" s="369"/>
      <c r="Q11" s="369"/>
      <c r="R11" s="369"/>
      <c r="S11" s="370" t="s">
        <v>15</v>
      </c>
      <c r="T11" s="370"/>
      <c r="U11" s="370"/>
      <c r="V11" s="370"/>
      <c r="W11" s="370"/>
      <c r="X11" s="370"/>
      <c r="Y11" s="370"/>
      <c r="Z11" s="370"/>
      <c r="AA11" s="370"/>
      <c r="AB11" s="370"/>
      <c r="AC11" s="370"/>
      <c r="AD11" s="370"/>
      <c r="AE11" s="369" t="s">
        <v>16</v>
      </c>
      <c r="AF11" s="369"/>
      <c r="AG11" s="369"/>
      <c r="AH11" s="369"/>
      <c r="AI11" s="369"/>
      <c r="AJ11" s="369"/>
      <c r="AK11" s="369"/>
      <c r="AL11" s="369"/>
      <c r="AM11" s="369"/>
      <c r="AN11" s="369"/>
      <c r="AO11" s="369"/>
      <c r="AP11" s="369"/>
      <c r="AQ11" s="369"/>
      <c r="AR11" s="369"/>
      <c r="AS11" s="370" t="s">
        <v>17</v>
      </c>
      <c r="AT11" s="370"/>
      <c r="AU11" s="370"/>
      <c r="AV11" s="370"/>
      <c r="AW11" s="370"/>
      <c r="AX11" s="370"/>
      <c r="AY11" s="370"/>
      <c r="AZ11" s="370"/>
      <c r="BA11" s="370"/>
      <c r="BB11" s="370"/>
      <c r="BC11" s="370"/>
      <c r="BD11" s="370"/>
      <c r="BE11" s="370"/>
      <c r="BF11" s="370"/>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71"/>
      <c r="CO11" s="371"/>
      <c r="CP11" s="371"/>
      <c r="CQ11" s="372" t="s">
        <v>18</v>
      </c>
      <c r="CR11" s="372"/>
      <c r="CS11" s="372"/>
      <c r="CT11" s="372"/>
      <c r="CU11" s="372"/>
      <c r="CV11" s="372"/>
      <c r="CW11" s="372"/>
      <c r="CX11" s="372"/>
      <c r="CY11" s="372"/>
      <c r="CZ11" s="372"/>
      <c r="DA11" s="372"/>
      <c r="DB11" s="372"/>
      <c r="DC11" s="372"/>
      <c r="DD11" s="372"/>
      <c r="DE11" s="373"/>
    </row>
    <row r="12" spans="1:139" ht="15" customHeight="1">
      <c r="A12" s="446" t="s">
        <v>84</v>
      </c>
      <c r="B12" s="447"/>
      <c r="C12" s="447"/>
      <c r="D12" s="447"/>
      <c r="E12" s="447"/>
      <c r="F12" s="447"/>
      <c r="G12" s="447"/>
      <c r="H12" s="447"/>
      <c r="I12" s="447"/>
      <c r="J12" s="447"/>
      <c r="K12" s="447"/>
      <c r="L12" s="447"/>
      <c r="M12" s="447"/>
      <c r="N12" s="447"/>
      <c r="O12" s="447"/>
      <c r="P12" s="447"/>
      <c r="Q12" s="447"/>
      <c r="R12" s="447"/>
      <c r="S12" s="447"/>
      <c r="T12" s="447"/>
      <c r="U12" s="447"/>
      <c r="V12" s="447"/>
      <c r="W12" s="447"/>
      <c r="X12" s="447"/>
      <c r="Y12" s="447"/>
      <c r="Z12" s="447"/>
      <c r="AA12" s="447"/>
      <c r="AB12" s="447"/>
      <c r="AC12" s="447"/>
      <c r="AD12" s="447"/>
      <c r="AE12" s="447"/>
      <c r="AF12" s="447"/>
      <c r="AG12" s="447"/>
      <c r="AH12" s="447"/>
      <c r="AI12" s="447"/>
      <c r="AJ12" s="447"/>
      <c r="AK12" s="447"/>
      <c r="AL12" s="447"/>
      <c r="AM12" s="447"/>
      <c r="AN12" s="447"/>
      <c r="AO12" s="447"/>
      <c r="AP12" s="447"/>
      <c r="AQ12" s="447"/>
      <c r="AR12" s="447"/>
      <c r="AS12" s="447"/>
      <c r="AT12" s="447"/>
      <c r="AU12" s="447"/>
      <c r="AV12" s="447"/>
      <c r="AW12" s="447"/>
      <c r="AX12" s="447"/>
      <c r="AY12" s="447"/>
      <c r="AZ12" s="447"/>
      <c r="BA12" s="447"/>
      <c r="BB12" s="447"/>
      <c r="BC12" s="447"/>
      <c r="BD12" s="447"/>
      <c r="BE12" s="447"/>
      <c r="BF12" s="447"/>
      <c r="BG12" s="447"/>
      <c r="BH12" s="447"/>
      <c r="BI12" s="447"/>
      <c r="BJ12" s="447"/>
      <c r="BK12" s="447"/>
      <c r="BL12" s="447"/>
      <c r="BM12" s="447"/>
      <c r="BN12" s="447"/>
      <c r="BO12" s="447"/>
      <c r="BP12" s="447"/>
      <c r="BQ12" s="447"/>
      <c r="BR12" s="447"/>
      <c r="BS12" s="447"/>
      <c r="BT12" s="447"/>
      <c r="BU12" s="447"/>
      <c r="BV12" s="447"/>
      <c r="BW12" s="447"/>
      <c r="BX12" s="447"/>
      <c r="BY12" s="447"/>
      <c r="BZ12" s="447"/>
      <c r="CA12" s="447"/>
      <c r="CB12" s="447"/>
      <c r="CC12" s="447"/>
      <c r="CD12" s="447"/>
      <c r="CE12" s="447"/>
      <c r="CF12" s="447"/>
      <c r="CG12" s="447"/>
      <c r="CH12" s="447"/>
      <c r="CI12" s="447"/>
      <c r="CJ12" s="447"/>
      <c r="CK12" s="447"/>
      <c r="CL12" s="447"/>
      <c r="CM12" s="447"/>
      <c r="CN12" s="447"/>
      <c r="CO12" s="447"/>
      <c r="CP12" s="447"/>
      <c r="CQ12" s="447"/>
      <c r="CR12" s="447"/>
      <c r="CS12" s="447"/>
      <c r="CT12" s="447"/>
      <c r="CU12" s="447"/>
      <c r="CV12" s="447"/>
      <c r="CW12" s="447"/>
      <c r="CX12" s="447"/>
      <c r="CY12" s="447"/>
      <c r="CZ12" s="447"/>
      <c r="DA12" s="447"/>
      <c r="DB12" s="447"/>
      <c r="DC12" s="447"/>
      <c r="DD12" s="447"/>
      <c r="DE12" s="448"/>
    </row>
    <row r="13" spans="1:139" ht="15" customHeight="1">
      <c r="A13" s="449" t="s">
        <v>85</v>
      </c>
      <c r="B13" s="450"/>
      <c r="C13" s="450"/>
      <c r="D13" s="450"/>
      <c r="E13" s="450"/>
      <c r="F13" s="450"/>
      <c r="G13" s="450"/>
      <c r="H13" s="450"/>
      <c r="I13" s="450"/>
      <c r="J13" s="450"/>
      <c r="K13" s="455" t="s">
        <v>86</v>
      </c>
      <c r="L13" s="455"/>
      <c r="M13" s="455"/>
      <c r="N13" s="455"/>
      <c r="O13" s="455"/>
      <c r="P13" s="455"/>
      <c r="Q13" s="455"/>
      <c r="R13" s="455"/>
      <c r="S13" s="455"/>
      <c r="T13" s="450" t="s">
        <v>87</v>
      </c>
      <c r="U13" s="450"/>
      <c r="V13" s="450"/>
      <c r="W13" s="450"/>
      <c r="X13" s="450"/>
      <c r="Y13" s="450"/>
      <c r="Z13" s="450"/>
      <c r="AA13" s="450"/>
      <c r="AB13" s="450"/>
      <c r="AC13" s="455">
        <v>1200</v>
      </c>
      <c r="AD13" s="455"/>
      <c r="AE13" s="455"/>
      <c r="AF13" s="455"/>
      <c r="AG13" s="455"/>
      <c r="AH13" s="455"/>
      <c r="AI13" s="455"/>
      <c r="AJ13" s="455"/>
      <c r="AK13" s="455"/>
      <c r="AL13" s="450" t="s">
        <v>88</v>
      </c>
      <c r="AM13" s="450"/>
      <c r="AN13" s="450"/>
      <c r="AO13" s="450"/>
      <c r="AP13" s="450"/>
      <c r="AQ13" s="450"/>
      <c r="AR13" s="450"/>
      <c r="AS13" s="450"/>
      <c r="AT13" s="450"/>
      <c r="AU13" s="455">
        <v>10</v>
      </c>
      <c r="AV13" s="455"/>
      <c r="AW13" s="455"/>
      <c r="AX13" s="455"/>
      <c r="AY13" s="455"/>
      <c r="AZ13" s="455"/>
      <c r="BA13" s="455"/>
      <c r="BB13" s="455"/>
      <c r="BC13" s="455"/>
      <c r="BD13" s="450" t="s">
        <v>89</v>
      </c>
      <c r="BE13" s="450"/>
      <c r="BF13" s="450"/>
      <c r="BG13" s="450"/>
      <c r="BH13" s="450"/>
      <c r="BI13" s="450"/>
      <c r="BJ13" s="450"/>
      <c r="BK13" s="450"/>
      <c r="BL13" s="450"/>
      <c r="BM13" s="452" t="s">
        <v>90</v>
      </c>
      <c r="BN13" s="453"/>
      <c r="BO13" s="453"/>
      <c r="BP13" s="453"/>
      <c r="BQ13" s="453"/>
      <c r="BR13" s="453"/>
      <c r="BS13" s="453"/>
      <c r="BT13" s="453"/>
      <c r="BU13" s="453"/>
      <c r="BV13" s="453"/>
      <c r="BW13" s="453"/>
      <c r="BX13" s="453"/>
      <c r="BY13" s="453"/>
      <c r="BZ13" s="453"/>
      <c r="CA13" s="453"/>
      <c r="CB13" s="453"/>
      <c r="CC13" s="453"/>
      <c r="CD13" s="453"/>
      <c r="CE13" s="453"/>
      <c r="CF13" s="453"/>
      <c r="CG13" s="453"/>
      <c r="CH13" s="453"/>
      <c r="CI13" s="453"/>
      <c r="CJ13" s="453"/>
      <c r="CK13" s="453"/>
      <c r="CL13" s="453"/>
      <c r="CM13" s="454"/>
      <c r="CN13" s="450" t="s">
        <v>91</v>
      </c>
      <c r="CO13" s="450"/>
      <c r="CP13" s="450"/>
      <c r="CQ13" s="450"/>
      <c r="CR13" s="450"/>
      <c r="CS13" s="450"/>
      <c r="CT13" s="450"/>
      <c r="CU13" s="450"/>
      <c r="CV13" s="450"/>
      <c r="CW13" s="455" t="s">
        <v>92</v>
      </c>
      <c r="CX13" s="455"/>
      <c r="CY13" s="455"/>
      <c r="CZ13" s="455"/>
      <c r="DA13" s="455"/>
      <c r="DB13" s="455"/>
      <c r="DC13" s="455"/>
      <c r="DD13" s="455"/>
      <c r="DE13" s="456"/>
    </row>
    <row r="14" spans="1:139" ht="15" customHeight="1">
      <c r="A14" s="449" t="s">
        <v>93</v>
      </c>
      <c r="B14" s="450"/>
      <c r="C14" s="450"/>
      <c r="D14" s="450"/>
      <c r="E14" s="450"/>
      <c r="F14" s="450"/>
      <c r="G14" s="450"/>
      <c r="H14" s="450"/>
      <c r="I14" s="450"/>
      <c r="J14" s="450"/>
      <c r="K14" s="444" t="s">
        <v>94</v>
      </c>
      <c r="L14" s="444"/>
      <c r="M14" s="444"/>
      <c r="N14" s="444"/>
      <c r="O14" s="444"/>
      <c r="P14" s="444"/>
      <c r="Q14" s="444"/>
      <c r="R14" s="444"/>
      <c r="S14" s="444"/>
      <c r="T14" s="451" t="s">
        <v>95</v>
      </c>
      <c r="U14" s="451"/>
      <c r="V14" s="451"/>
      <c r="W14" s="451"/>
      <c r="X14" s="451"/>
      <c r="Y14" s="451"/>
      <c r="Z14" s="451"/>
      <c r="AA14" s="451"/>
      <c r="AB14" s="451"/>
      <c r="AC14" s="444" t="s">
        <v>96</v>
      </c>
      <c r="AD14" s="444"/>
      <c r="AE14" s="444"/>
      <c r="AF14" s="444"/>
      <c r="AG14" s="444"/>
      <c r="AH14" s="444"/>
      <c r="AI14" s="444"/>
      <c r="AJ14" s="444"/>
      <c r="AK14" s="444"/>
      <c r="AL14" s="451" t="s">
        <v>97</v>
      </c>
      <c r="AM14" s="451"/>
      <c r="AN14" s="451"/>
      <c r="AO14" s="451"/>
      <c r="AP14" s="451"/>
      <c r="AQ14" s="451"/>
      <c r="AR14" s="451"/>
      <c r="AS14" s="451"/>
      <c r="AT14" s="451"/>
      <c r="AU14" s="444" t="s">
        <v>98</v>
      </c>
      <c r="AV14" s="444"/>
      <c r="AW14" s="444"/>
      <c r="AX14" s="444"/>
      <c r="AY14" s="444"/>
      <c r="AZ14" s="444"/>
      <c r="BA14" s="444"/>
      <c r="BB14" s="444"/>
      <c r="BC14" s="444"/>
      <c r="BD14" s="451" t="s">
        <v>99</v>
      </c>
      <c r="BE14" s="451"/>
      <c r="BF14" s="451"/>
      <c r="BG14" s="451"/>
      <c r="BH14" s="451"/>
      <c r="BI14" s="451"/>
      <c r="BJ14" s="451"/>
      <c r="BK14" s="451"/>
      <c r="BL14" s="451"/>
      <c r="BM14" s="452" t="s">
        <v>100</v>
      </c>
      <c r="BN14" s="453"/>
      <c r="BO14" s="453"/>
      <c r="BP14" s="453"/>
      <c r="BQ14" s="453"/>
      <c r="BR14" s="453"/>
      <c r="BS14" s="453"/>
      <c r="BT14" s="453"/>
      <c r="BU14" s="453"/>
      <c r="BV14" s="453"/>
      <c r="BW14" s="453"/>
      <c r="BX14" s="453"/>
      <c r="BY14" s="453"/>
      <c r="BZ14" s="453"/>
      <c r="CA14" s="453"/>
      <c r="CB14" s="453"/>
      <c r="CC14" s="453"/>
      <c r="CD14" s="453"/>
      <c r="CE14" s="453"/>
      <c r="CF14" s="453"/>
      <c r="CG14" s="453"/>
      <c r="CH14" s="453"/>
      <c r="CI14" s="453"/>
      <c r="CJ14" s="453"/>
      <c r="CK14" s="453"/>
      <c r="CL14" s="453"/>
      <c r="CM14" s="454"/>
      <c r="CN14" s="451" t="s">
        <v>101</v>
      </c>
      <c r="CO14" s="451"/>
      <c r="CP14" s="451"/>
      <c r="CQ14" s="451"/>
      <c r="CR14" s="451"/>
      <c r="CS14" s="451"/>
      <c r="CT14" s="451"/>
      <c r="CU14" s="451"/>
      <c r="CV14" s="451"/>
      <c r="CW14" s="444" t="s">
        <v>102</v>
      </c>
      <c r="CX14" s="444"/>
      <c r="CY14" s="444"/>
      <c r="CZ14" s="444"/>
      <c r="DA14" s="444"/>
      <c r="DB14" s="444"/>
      <c r="DC14" s="444"/>
      <c r="DD14" s="444"/>
      <c r="DE14" s="445"/>
    </row>
    <row r="15" spans="1:139" ht="15" customHeight="1">
      <c r="A15" s="446" t="s">
        <v>103</v>
      </c>
      <c r="B15" s="447"/>
      <c r="C15" s="447"/>
      <c r="D15" s="447"/>
      <c r="E15" s="447"/>
      <c r="F15" s="447"/>
      <c r="G15" s="447"/>
      <c r="H15" s="447"/>
      <c r="I15" s="447"/>
      <c r="J15" s="447"/>
      <c r="K15" s="447"/>
      <c r="L15" s="447"/>
      <c r="M15" s="447"/>
      <c r="N15" s="447"/>
      <c r="O15" s="447"/>
      <c r="P15" s="447"/>
      <c r="Q15" s="447"/>
      <c r="R15" s="447"/>
      <c r="S15" s="447"/>
      <c r="T15" s="447"/>
      <c r="U15" s="447"/>
      <c r="V15" s="447"/>
      <c r="W15" s="447"/>
      <c r="X15" s="447"/>
      <c r="Y15" s="447"/>
      <c r="Z15" s="447"/>
      <c r="AA15" s="447"/>
      <c r="AB15" s="447"/>
      <c r="AC15" s="447"/>
      <c r="AD15" s="447"/>
      <c r="AE15" s="447"/>
      <c r="AF15" s="447"/>
      <c r="AG15" s="447"/>
      <c r="AH15" s="447"/>
      <c r="AI15" s="447"/>
      <c r="AJ15" s="447"/>
      <c r="AK15" s="447"/>
      <c r="AL15" s="447"/>
      <c r="AM15" s="447"/>
      <c r="AN15" s="447"/>
      <c r="AO15" s="447"/>
      <c r="AP15" s="447"/>
      <c r="AQ15" s="447"/>
      <c r="AR15" s="447"/>
      <c r="AS15" s="447"/>
      <c r="AT15" s="447"/>
      <c r="AU15" s="447"/>
      <c r="AV15" s="447"/>
      <c r="AW15" s="447"/>
      <c r="AX15" s="447"/>
      <c r="AY15" s="447"/>
      <c r="AZ15" s="447"/>
      <c r="BA15" s="447"/>
      <c r="BB15" s="447"/>
      <c r="BC15" s="447"/>
      <c r="BD15" s="447"/>
      <c r="BE15" s="447"/>
      <c r="BF15" s="447"/>
      <c r="BG15" s="447"/>
      <c r="BH15" s="447"/>
      <c r="BI15" s="447"/>
      <c r="BJ15" s="447"/>
      <c r="BK15" s="447"/>
      <c r="BL15" s="447"/>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447"/>
      <c r="CJ15" s="447"/>
      <c r="CK15" s="447"/>
      <c r="CL15" s="447"/>
      <c r="CM15" s="447"/>
      <c r="CN15" s="447"/>
      <c r="CO15" s="447"/>
      <c r="CP15" s="447"/>
      <c r="CQ15" s="447"/>
      <c r="CR15" s="447"/>
      <c r="CS15" s="447"/>
      <c r="CT15" s="447"/>
      <c r="CU15" s="447"/>
      <c r="CV15" s="447"/>
      <c r="CW15" s="447"/>
      <c r="CX15" s="447"/>
      <c r="CY15" s="447"/>
      <c r="CZ15" s="447"/>
      <c r="DA15" s="447"/>
      <c r="DB15" s="447"/>
      <c r="DC15" s="447"/>
      <c r="DD15" s="447"/>
      <c r="DE15" s="448"/>
      <c r="DF15" s="2"/>
      <c r="DG15" s="2"/>
      <c r="DH15" s="2"/>
      <c r="DI15" s="2"/>
      <c r="DJ15" s="27"/>
      <c r="DK15" s="27"/>
      <c r="DL15" s="27"/>
      <c r="DM15" s="27"/>
      <c r="DN15" s="27"/>
      <c r="DO15" s="27"/>
      <c r="DP15" s="2"/>
      <c r="DQ15" s="2"/>
      <c r="DR15" s="2"/>
      <c r="DS15" s="2"/>
      <c r="DT15" s="2"/>
      <c r="DU15" s="2"/>
      <c r="DV15" s="2"/>
      <c r="DW15" s="2"/>
      <c r="DX15" s="2"/>
      <c r="DY15" s="2"/>
      <c r="DZ15" s="2"/>
      <c r="EA15" s="2"/>
      <c r="EB15" s="2"/>
      <c r="EC15" s="2"/>
      <c r="ED15" s="2"/>
      <c r="EE15" s="2"/>
      <c r="EF15" s="2"/>
      <c r="EG15" s="2"/>
      <c r="EH15" s="2"/>
      <c r="EI15" s="2"/>
    </row>
    <row r="16" spans="1:139" ht="15" customHeight="1">
      <c r="A16" s="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CN16" s="4"/>
      <c r="CO16" s="4"/>
      <c r="CP16" s="4"/>
      <c r="CQ16" s="4"/>
      <c r="CR16" s="4"/>
      <c r="CS16" s="4"/>
      <c r="CT16" s="4"/>
      <c r="CU16" s="4"/>
      <c r="CV16" s="4"/>
      <c r="CW16" s="4"/>
      <c r="CX16" s="4"/>
      <c r="CY16" s="4"/>
      <c r="CZ16" s="4"/>
      <c r="DA16" s="4"/>
      <c r="DB16" s="4"/>
      <c r="DC16" s="4"/>
      <c r="DD16" s="4"/>
      <c r="DE16" s="23"/>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2"/>
      <c r="EI16" s="2"/>
    </row>
    <row r="17" spans="1:133" ht="15" customHeight="1">
      <c r="A17" s="6"/>
      <c r="B17" s="376" t="s">
        <v>19</v>
      </c>
      <c r="C17" s="377"/>
      <c r="D17" s="377"/>
      <c r="E17" s="377"/>
      <c r="F17" s="377"/>
      <c r="G17" s="377"/>
      <c r="H17" s="378"/>
      <c r="I17" s="376" t="s">
        <v>21</v>
      </c>
      <c r="J17" s="377"/>
      <c r="K17" s="377"/>
      <c r="L17" s="377"/>
      <c r="M17" s="377"/>
      <c r="N17" s="377"/>
      <c r="O17" s="378"/>
      <c r="P17" s="376" t="s">
        <v>104</v>
      </c>
      <c r="Q17" s="377"/>
      <c r="R17" s="377"/>
      <c r="S17" s="377"/>
      <c r="T17" s="377"/>
      <c r="U17" s="377"/>
      <c r="V17" s="378"/>
      <c r="W17" s="376" t="s">
        <v>105</v>
      </c>
      <c r="X17" s="377"/>
      <c r="Y17" s="377"/>
      <c r="Z17" s="377"/>
      <c r="AA17" s="377"/>
      <c r="AB17" s="377"/>
      <c r="AC17" s="378"/>
      <c r="AD17" s="376" t="s">
        <v>24</v>
      </c>
      <c r="AE17" s="377"/>
      <c r="AF17" s="377"/>
      <c r="AG17" s="377"/>
      <c r="AH17" s="377"/>
      <c r="AI17" s="377"/>
      <c r="AJ17" s="378"/>
      <c r="AK17" s="376" t="s">
        <v>106</v>
      </c>
      <c r="AL17" s="377"/>
      <c r="AM17" s="377"/>
      <c r="AN17" s="377"/>
      <c r="AO17" s="377"/>
      <c r="AP17" s="377"/>
      <c r="AQ17" s="378"/>
      <c r="AR17" s="376" t="s">
        <v>107</v>
      </c>
      <c r="AS17" s="377"/>
      <c r="AT17" s="377"/>
      <c r="AU17" s="377"/>
      <c r="AV17" s="377"/>
      <c r="AW17" s="377"/>
      <c r="AX17" s="378"/>
      <c r="AY17" s="376" t="s">
        <v>24</v>
      </c>
      <c r="AZ17" s="377"/>
      <c r="BA17" s="377"/>
      <c r="BB17" s="377"/>
      <c r="BC17" s="377"/>
      <c r="BD17" s="377"/>
      <c r="BE17" s="378"/>
      <c r="BF17" s="376" t="s">
        <v>108</v>
      </c>
      <c r="BG17" s="377"/>
      <c r="BH17" s="377"/>
      <c r="BI17" s="377"/>
      <c r="BJ17" s="377"/>
      <c r="BK17" s="377"/>
      <c r="BL17" s="378"/>
      <c r="BM17" s="376" t="s">
        <v>109</v>
      </c>
      <c r="BN17" s="377"/>
      <c r="BO17" s="377"/>
      <c r="BP17" s="377"/>
      <c r="BQ17" s="377"/>
      <c r="BR17" s="377"/>
      <c r="BS17" s="377"/>
      <c r="BT17" s="377"/>
      <c r="BU17" s="377"/>
      <c r="BV17" s="377"/>
      <c r="BW17" s="377"/>
      <c r="BX17" s="377"/>
      <c r="BY17" s="377"/>
      <c r="BZ17" s="377"/>
      <c r="CA17" s="377"/>
      <c r="CB17" s="377"/>
      <c r="CC17" s="377"/>
      <c r="CD17" s="377"/>
      <c r="CE17" s="377"/>
      <c r="CF17" s="377"/>
      <c r="CG17" s="377"/>
      <c r="CH17" s="377"/>
      <c r="CI17" s="377"/>
      <c r="CJ17" s="377"/>
      <c r="CK17" s="377"/>
      <c r="CL17" s="378"/>
      <c r="CM17" s="376" t="s">
        <v>30</v>
      </c>
      <c r="CN17" s="377"/>
      <c r="CO17" s="377"/>
      <c r="CP17" s="377"/>
      <c r="CQ17" s="377"/>
      <c r="CR17" s="377"/>
      <c r="CS17" s="377"/>
      <c r="CT17" s="377"/>
      <c r="CU17" s="377"/>
      <c r="CV17" s="377"/>
      <c r="CW17" s="377"/>
      <c r="CX17" s="377"/>
      <c r="CY17" s="377"/>
      <c r="CZ17" s="377"/>
      <c r="DA17" s="377"/>
      <c r="DB17" s="377"/>
      <c r="DC17" s="377"/>
      <c r="DD17" s="378"/>
      <c r="DE17" s="7"/>
    </row>
    <row r="18" spans="1:133" ht="15" customHeight="1">
      <c r="A18" s="6"/>
      <c r="B18" s="379"/>
      <c r="C18" s="380"/>
      <c r="D18" s="380"/>
      <c r="E18" s="380"/>
      <c r="F18" s="380"/>
      <c r="G18" s="380"/>
      <c r="H18" s="381"/>
      <c r="I18" s="379"/>
      <c r="J18" s="380"/>
      <c r="K18" s="380"/>
      <c r="L18" s="380"/>
      <c r="M18" s="380"/>
      <c r="N18" s="380"/>
      <c r="O18" s="381"/>
      <c r="P18" s="379"/>
      <c r="Q18" s="380"/>
      <c r="R18" s="380"/>
      <c r="S18" s="380"/>
      <c r="T18" s="380"/>
      <c r="U18" s="380"/>
      <c r="V18" s="381"/>
      <c r="W18" s="379"/>
      <c r="X18" s="380"/>
      <c r="Y18" s="380"/>
      <c r="Z18" s="380"/>
      <c r="AA18" s="380"/>
      <c r="AB18" s="380"/>
      <c r="AC18" s="381"/>
      <c r="AD18" s="379"/>
      <c r="AE18" s="380"/>
      <c r="AF18" s="380"/>
      <c r="AG18" s="380"/>
      <c r="AH18" s="380"/>
      <c r="AI18" s="380"/>
      <c r="AJ18" s="381"/>
      <c r="AK18" s="379"/>
      <c r="AL18" s="380"/>
      <c r="AM18" s="380"/>
      <c r="AN18" s="380"/>
      <c r="AO18" s="380"/>
      <c r="AP18" s="380"/>
      <c r="AQ18" s="381"/>
      <c r="AR18" s="379"/>
      <c r="AS18" s="380"/>
      <c r="AT18" s="380"/>
      <c r="AU18" s="380"/>
      <c r="AV18" s="380"/>
      <c r="AW18" s="380"/>
      <c r="AX18" s="381"/>
      <c r="AY18" s="379"/>
      <c r="AZ18" s="380"/>
      <c r="BA18" s="380"/>
      <c r="BB18" s="380"/>
      <c r="BC18" s="380"/>
      <c r="BD18" s="380"/>
      <c r="BE18" s="381"/>
      <c r="BF18" s="379"/>
      <c r="BG18" s="380"/>
      <c r="BH18" s="380"/>
      <c r="BI18" s="380"/>
      <c r="BJ18" s="380"/>
      <c r="BK18" s="380"/>
      <c r="BL18" s="381"/>
      <c r="BM18" s="379"/>
      <c r="BN18" s="380"/>
      <c r="BO18" s="380"/>
      <c r="BP18" s="380"/>
      <c r="BQ18" s="380"/>
      <c r="BR18" s="380"/>
      <c r="BS18" s="380"/>
      <c r="BT18" s="380"/>
      <c r="BU18" s="380"/>
      <c r="BV18" s="380"/>
      <c r="BW18" s="380"/>
      <c r="BX18" s="380"/>
      <c r="BY18" s="380"/>
      <c r="BZ18" s="380"/>
      <c r="CA18" s="380"/>
      <c r="CB18" s="380"/>
      <c r="CC18" s="380"/>
      <c r="CD18" s="380"/>
      <c r="CE18" s="380"/>
      <c r="CF18" s="380"/>
      <c r="CG18" s="380"/>
      <c r="CH18" s="380"/>
      <c r="CI18" s="380"/>
      <c r="CJ18" s="380"/>
      <c r="CK18" s="380"/>
      <c r="CL18" s="381"/>
      <c r="CM18" s="379"/>
      <c r="CN18" s="380"/>
      <c r="CO18" s="380"/>
      <c r="CP18" s="380"/>
      <c r="CQ18" s="380"/>
      <c r="CR18" s="380"/>
      <c r="CS18" s="380"/>
      <c r="CT18" s="380"/>
      <c r="CU18" s="380"/>
      <c r="CV18" s="380"/>
      <c r="CW18" s="380"/>
      <c r="CX18" s="380"/>
      <c r="CY18" s="380"/>
      <c r="CZ18" s="380"/>
      <c r="DA18" s="380"/>
      <c r="DB18" s="380"/>
      <c r="DC18" s="380"/>
      <c r="DD18" s="381"/>
      <c r="DE18" s="7"/>
    </row>
    <row r="19" spans="1:133" ht="15" customHeight="1">
      <c r="A19" s="6"/>
      <c r="B19" s="353"/>
      <c r="C19" s="354"/>
      <c r="D19" s="354"/>
      <c r="E19" s="354"/>
      <c r="F19" s="354"/>
      <c r="G19" s="354"/>
      <c r="H19" s="355"/>
      <c r="I19" s="353"/>
      <c r="J19" s="354"/>
      <c r="K19" s="354"/>
      <c r="L19" s="354"/>
      <c r="M19" s="354"/>
      <c r="N19" s="354"/>
      <c r="O19" s="355"/>
      <c r="P19" s="465"/>
      <c r="Q19" s="466"/>
      <c r="R19" s="466"/>
      <c r="S19" s="466"/>
      <c r="T19" s="466"/>
      <c r="U19" s="466"/>
      <c r="V19" s="467"/>
      <c r="W19" s="395"/>
      <c r="X19" s="396"/>
      <c r="Y19" s="396"/>
      <c r="Z19" s="396"/>
      <c r="AA19" s="396"/>
      <c r="AB19" s="396"/>
      <c r="AC19" s="397"/>
      <c r="AD19" s="395"/>
      <c r="AE19" s="396"/>
      <c r="AF19" s="396"/>
      <c r="AG19" s="396"/>
      <c r="AH19" s="396"/>
      <c r="AI19" s="396"/>
      <c r="AJ19" s="397"/>
      <c r="AK19" s="395"/>
      <c r="AL19" s="396"/>
      <c r="AM19" s="396"/>
      <c r="AN19" s="396"/>
      <c r="AO19" s="396"/>
      <c r="AP19" s="396"/>
      <c r="AQ19" s="397"/>
      <c r="AR19" s="395"/>
      <c r="AS19" s="396"/>
      <c r="AT19" s="396"/>
      <c r="AU19" s="396"/>
      <c r="AV19" s="396"/>
      <c r="AW19" s="396"/>
      <c r="AX19" s="397"/>
      <c r="AY19" s="395"/>
      <c r="AZ19" s="396"/>
      <c r="BA19" s="396"/>
      <c r="BB19" s="396"/>
      <c r="BC19" s="396"/>
      <c r="BD19" s="396"/>
      <c r="BE19" s="397"/>
      <c r="BF19" s="395"/>
      <c r="BG19" s="396"/>
      <c r="BH19" s="396"/>
      <c r="BI19" s="396"/>
      <c r="BJ19" s="396"/>
      <c r="BK19" s="396"/>
      <c r="BL19" s="397"/>
      <c r="BM19" s="353"/>
      <c r="BN19" s="354"/>
      <c r="BO19" s="354"/>
      <c r="BP19" s="354"/>
      <c r="BQ19" s="354"/>
      <c r="BR19" s="354"/>
      <c r="BS19" s="354"/>
      <c r="BT19" s="354"/>
      <c r="BU19" s="354"/>
      <c r="BV19" s="354"/>
      <c r="BW19" s="354"/>
      <c r="BX19" s="354"/>
      <c r="BY19" s="354"/>
      <c r="BZ19" s="354"/>
      <c r="CA19" s="354"/>
      <c r="CB19" s="354"/>
      <c r="CC19" s="354"/>
      <c r="CD19" s="354"/>
      <c r="CE19" s="354"/>
      <c r="CF19" s="354"/>
      <c r="CG19" s="354"/>
      <c r="CH19" s="354"/>
      <c r="CI19" s="354"/>
      <c r="CJ19" s="354"/>
      <c r="CK19" s="354"/>
      <c r="CL19" s="355"/>
      <c r="CM19" s="353"/>
      <c r="CN19" s="354"/>
      <c r="CO19" s="354"/>
      <c r="CP19" s="354"/>
      <c r="CQ19" s="354"/>
      <c r="CR19" s="354"/>
      <c r="CS19" s="354"/>
      <c r="CT19" s="354"/>
      <c r="CU19" s="354"/>
      <c r="CV19" s="354"/>
      <c r="CW19" s="354"/>
      <c r="CX19" s="354"/>
      <c r="CY19" s="354"/>
      <c r="CZ19" s="354"/>
      <c r="DA19" s="354"/>
      <c r="DB19" s="354"/>
      <c r="DC19" s="354"/>
      <c r="DD19" s="355"/>
      <c r="DE19" s="7"/>
    </row>
    <row r="20" spans="1:133" ht="12.75">
      <c r="A20" s="6"/>
      <c r="B20" s="356"/>
      <c r="C20" s="357"/>
      <c r="D20" s="357"/>
      <c r="E20" s="357"/>
      <c r="F20" s="357"/>
      <c r="G20" s="357"/>
      <c r="H20" s="358"/>
      <c r="I20" s="356"/>
      <c r="J20" s="357"/>
      <c r="K20" s="357"/>
      <c r="L20" s="357"/>
      <c r="M20" s="357"/>
      <c r="N20" s="357"/>
      <c r="O20" s="358"/>
      <c r="P20" s="468"/>
      <c r="Q20" s="469"/>
      <c r="R20" s="469"/>
      <c r="S20" s="469"/>
      <c r="T20" s="469"/>
      <c r="U20" s="469"/>
      <c r="V20" s="470"/>
      <c r="W20" s="398"/>
      <c r="X20" s="399"/>
      <c r="Y20" s="399"/>
      <c r="Z20" s="399"/>
      <c r="AA20" s="399"/>
      <c r="AB20" s="399"/>
      <c r="AC20" s="400"/>
      <c r="AD20" s="398"/>
      <c r="AE20" s="399"/>
      <c r="AF20" s="399"/>
      <c r="AG20" s="399"/>
      <c r="AH20" s="399"/>
      <c r="AI20" s="399"/>
      <c r="AJ20" s="400"/>
      <c r="AK20" s="398"/>
      <c r="AL20" s="399"/>
      <c r="AM20" s="399"/>
      <c r="AN20" s="399"/>
      <c r="AO20" s="399"/>
      <c r="AP20" s="399"/>
      <c r="AQ20" s="400"/>
      <c r="AR20" s="398"/>
      <c r="AS20" s="399"/>
      <c r="AT20" s="399"/>
      <c r="AU20" s="399"/>
      <c r="AV20" s="399"/>
      <c r="AW20" s="399"/>
      <c r="AX20" s="400"/>
      <c r="AY20" s="398"/>
      <c r="AZ20" s="399"/>
      <c r="BA20" s="399"/>
      <c r="BB20" s="399"/>
      <c r="BC20" s="399"/>
      <c r="BD20" s="399"/>
      <c r="BE20" s="400"/>
      <c r="BF20" s="398"/>
      <c r="BG20" s="399"/>
      <c r="BH20" s="399"/>
      <c r="BI20" s="399"/>
      <c r="BJ20" s="399"/>
      <c r="BK20" s="399"/>
      <c r="BL20" s="400"/>
      <c r="BM20" s="356"/>
      <c r="BN20" s="357"/>
      <c r="BO20" s="357"/>
      <c r="BP20" s="357"/>
      <c r="BQ20" s="357"/>
      <c r="BR20" s="357"/>
      <c r="BS20" s="357"/>
      <c r="BT20" s="357"/>
      <c r="BU20" s="357"/>
      <c r="BV20" s="357"/>
      <c r="BW20" s="357"/>
      <c r="BX20" s="357"/>
      <c r="BY20" s="357"/>
      <c r="BZ20" s="357"/>
      <c r="CA20" s="357"/>
      <c r="CB20" s="357"/>
      <c r="CC20" s="357"/>
      <c r="CD20" s="357"/>
      <c r="CE20" s="357"/>
      <c r="CF20" s="357"/>
      <c r="CG20" s="357"/>
      <c r="CH20" s="357"/>
      <c r="CI20" s="357"/>
      <c r="CJ20" s="357"/>
      <c r="CK20" s="357"/>
      <c r="CL20" s="358"/>
      <c r="CM20" s="356"/>
      <c r="CN20" s="357"/>
      <c r="CO20" s="357"/>
      <c r="CP20" s="357"/>
      <c r="CQ20" s="357"/>
      <c r="CR20" s="357"/>
      <c r="CS20" s="357"/>
      <c r="CT20" s="357"/>
      <c r="CU20" s="357"/>
      <c r="CV20" s="357"/>
      <c r="CW20" s="357"/>
      <c r="CX20" s="357"/>
      <c r="CY20" s="357"/>
      <c r="CZ20" s="357"/>
      <c r="DA20" s="357"/>
      <c r="DB20" s="357"/>
      <c r="DC20" s="357"/>
      <c r="DD20" s="358"/>
      <c r="DE20" s="7"/>
    </row>
    <row r="21" spans="1:133" ht="15" customHeight="1">
      <c r="A21" s="3"/>
      <c r="B21" s="382"/>
      <c r="C21" s="383"/>
      <c r="D21" s="383"/>
      <c r="E21" s="383"/>
      <c r="F21" s="383"/>
      <c r="G21" s="383"/>
      <c r="H21" s="384"/>
      <c r="I21" s="382"/>
      <c r="J21" s="383"/>
      <c r="K21" s="383"/>
      <c r="L21" s="383"/>
      <c r="M21" s="383"/>
      <c r="N21" s="383"/>
      <c r="O21" s="384"/>
      <c r="P21" s="459"/>
      <c r="Q21" s="460"/>
      <c r="R21" s="460"/>
      <c r="S21" s="460"/>
      <c r="T21" s="460"/>
      <c r="U21" s="460"/>
      <c r="V21" s="461"/>
      <c r="W21" s="408"/>
      <c r="X21" s="409"/>
      <c r="Y21" s="409"/>
      <c r="Z21" s="409"/>
      <c r="AA21" s="409"/>
      <c r="AB21" s="409"/>
      <c r="AC21" s="410"/>
      <c r="AD21" s="408"/>
      <c r="AE21" s="409"/>
      <c r="AF21" s="409"/>
      <c r="AG21" s="409"/>
      <c r="AH21" s="409"/>
      <c r="AI21" s="409"/>
      <c r="AJ21" s="410"/>
      <c r="AK21" s="408"/>
      <c r="AL21" s="409"/>
      <c r="AM21" s="409"/>
      <c r="AN21" s="409"/>
      <c r="AO21" s="409"/>
      <c r="AP21" s="409"/>
      <c r="AQ21" s="410"/>
      <c r="AR21" s="408"/>
      <c r="AS21" s="409"/>
      <c r="AT21" s="409"/>
      <c r="AU21" s="409"/>
      <c r="AV21" s="409"/>
      <c r="AW21" s="409"/>
      <c r="AX21" s="410"/>
      <c r="AY21" s="408"/>
      <c r="AZ21" s="409"/>
      <c r="BA21" s="409"/>
      <c r="BB21" s="409"/>
      <c r="BC21" s="409"/>
      <c r="BD21" s="409"/>
      <c r="BE21" s="410"/>
      <c r="BF21" s="408"/>
      <c r="BG21" s="409"/>
      <c r="BH21" s="409"/>
      <c r="BI21" s="409"/>
      <c r="BJ21" s="409"/>
      <c r="BK21" s="409"/>
      <c r="BL21" s="410"/>
      <c r="BM21" s="382"/>
      <c r="BN21" s="383"/>
      <c r="BO21" s="383"/>
      <c r="BP21" s="383"/>
      <c r="BQ21" s="383"/>
      <c r="BR21" s="383"/>
      <c r="BS21" s="383"/>
      <c r="BT21" s="383"/>
      <c r="BU21" s="383"/>
      <c r="BV21" s="383"/>
      <c r="BW21" s="383"/>
      <c r="BX21" s="383"/>
      <c r="BY21" s="383"/>
      <c r="BZ21" s="383"/>
      <c r="CA21" s="383"/>
      <c r="CB21" s="383"/>
      <c r="CC21" s="383"/>
      <c r="CD21" s="383"/>
      <c r="CE21" s="383"/>
      <c r="CF21" s="383"/>
      <c r="CG21" s="383"/>
      <c r="CH21" s="383"/>
      <c r="CI21" s="383"/>
      <c r="CJ21" s="383"/>
      <c r="CK21" s="383"/>
      <c r="CL21" s="384"/>
      <c r="CM21" s="382"/>
      <c r="CN21" s="383"/>
      <c r="CO21" s="383"/>
      <c r="CP21" s="383"/>
      <c r="CQ21" s="383"/>
      <c r="CR21" s="383"/>
      <c r="CS21" s="383"/>
      <c r="CT21" s="383"/>
      <c r="CU21" s="383"/>
      <c r="CV21" s="383"/>
      <c r="CW21" s="383"/>
      <c r="CX21" s="383"/>
      <c r="CY21" s="383"/>
      <c r="CZ21" s="383"/>
      <c r="DA21" s="383"/>
      <c r="DB21" s="383"/>
      <c r="DC21" s="383"/>
      <c r="DD21" s="384"/>
      <c r="DE21" s="7"/>
    </row>
    <row r="22" spans="1:133" ht="15" customHeight="1">
      <c r="A22" s="6"/>
      <c r="B22" s="385"/>
      <c r="C22" s="386"/>
      <c r="D22" s="386"/>
      <c r="E22" s="386"/>
      <c r="F22" s="386"/>
      <c r="G22" s="386"/>
      <c r="H22" s="387"/>
      <c r="I22" s="385"/>
      <c r="J22" s="386"/>
      <c r="K22" s="386"/>
      <c r="L22" s="386"/>
      <c r="M22" s="386"/>
      <c r="N22" s="386"/>
      <c r="O22" s="387"/>
      <c r="P22" s="462"/>
      <c r="Q22" s="463"/>
      <c r="R22" s="463"/>
      <c r="S22" s="463"/>
      <c r="T22" s="463"/>
      <c r="U22" s="463"/>
      <c r="V22" s="464"/>
      <c r="W22" s="411"/>
      <c r="X22" s="412"/>
      <c r="Y22" s="412"/>
      <c r="Z22" s="412"/>
      <c r="AA22" s="412"/>
      <c r="AB22" s="412"/>
      <c r="AC22" s="413"/>
      <c r="AD22" s="411"/>
      <c r="AE22" s="412"/>
      <c r="AF22" s="412"/>
      <c r="AG22" s="412"/>
      <c r="AH22" s="412"/>
      <c r="AI22" s="412"/>
      <c r="AJ22" s="413"/>
      <c r="AK22" s="411"/>
      <c r="AL22" s="412"/>
      <c r="AM22" s="412"/>
      <c r="AN22" s="412"/>
      <c r="AO22" s="412"/>
      <c r="AP22" s="412"/>
      <c r="AQ22" s="413"/>
      <c r="AR22" s="411"/>
      <c r="AS22" s="412"/>
      <c r="AT22" s="412"/>
      <c r="AU22" s="412"/>
      <c r="AV22" s="412"/>
      <c r="AW22" s="412"/>
      <c r="AX22" s="413"/>
      <c r="AY22" s="411"/>
      <c r="AZ22" s="412"/>
      <c r="BA22" s="412"/>
      <c r="BB22" s="412"/>
      <c r="BC22" s="412"/>
      <c r="BD22" s="412"/>
      <c r="BE22" s="413"/>
      <c r="BF22" s="411"/>
      <c r="BG22" s="412"/>
      <c r="BH22" s="412"/>
      <c r="BI22" s="412"/>
      <c r="BJ22" s="412"/>
      <c r="BK22" s="412"/>
      <c r="BL22" s="413"/>
      <c r="BM22" s="385"/>
      <c r="BN22" s="386"/>
      <c r="BO22" s="386"/>
      <c r="BP22" s="386"/>
      <c r="BQ22" s="386"/>
      <c r="BR22" s="386"/>
      <c r="BS22" s="386"/>
      <c r="BT22" s="386"/>
      <c r="BU22" s="386"/>
      <c r="BV22" s="386"/>
      <c r="BW22" s="386"/>
      <c r="BX22" s="386"/>
      <c r="BY22" s="386"/>
      <c r="BZ22" s="386"/>
      <c r="CA22" s="386"/>
      <c r="CB22" s="386"/>
      <c r="CC22" s="386"/>
      <c r="CD22" s="386"/>
      <c r="CE22" s="386"/>
      <c r="CF22" s="386"/>
      <c r="CG22" s="386"/>
      <c r="CH22" s="386"/>
      <c r="CI22" s="386"/>
      <c r="CJ22" s="386"/>
      <c r="CK22" s="386"/>
      <c r="CL22" s="387"/>
      <c r="CM22" s="385"/>
      <c r="CN22" s="386"/>
      <c r="CO22" s="386"/>
      <c r="CP22" s="386"/>
      <c r="CQ22" s="386"/>
      <c r="CR22" s="386"/>
      <c r="CS22" s="386"/>
      <c r="CT22" s="386"/>
      <c r="CU22" s="386"/>
      <c r="CV22" s="386"/>
      <c r="CW22" s="386"/>
      <c r="CX22" s="386"/>
      <c r="CY22" s="386"/>
      <c r="CZ22" s="386"/>
      <c r="DA22" s="386"/>
      <c r="DB22" s="386"/>
      <c r="DC22" s="386"/>
      <c r="DD22" s="387"/>
      <c r="DE22" s="7"/>
    </row>
    <row r="23" spans="1:133" ht="15" customHeight="1">
      <c r="A23" s="8"/>
      <c r="B23" s="353"/>
      <c r="C23" s="354"/>
      <c r="D23" s="354"/>
      <c r="E23" s="354"/>
      <c r="F23" s="354"/>
      <c r="G23" s="354"/>
      <c r="H23" s="355"/>
      <c r="I23" s="352"/>
      <c r="J23" s="352"/>
      <c r="K23" s="352"/>
      <c r="L23" s="352"/>
      <c r="M23" s="352"/>
      <c r="N23" s="352"/>
      <c r="O23" s="352"/>
      <c r="P23" s="458"/>
      <c r="Q23" s="458"/>
      <c r="R23" s="458"/>
      <c r="S23" s="458"/>
      <c r="T23" s="458"/>
      <c r="U23" s="458"/>
      <c r="V23" s="458"/>
      <c r="W23" s="395"/>
      <c r="X23" s="396"/>
      <c r="Y23" s="396"/>
      <c r="Z23" s="396"/>
      <c r="AA23" s="396"/>
      <c r="AB23" s="396"/>
      <c r="AC23" s="397"/>
      <c r="AD23" s="395"/>
      <c r="AE23" s="396"/>
      <c r="AF23" s="396"/>
      <c r="AG23" s="396"/>
      <c r="AH23" s="396"/>
      <c r="AI23" s="396"/>
      <c r="AJ23" s="397"/>
      <c r="AK23" s="395"/>
      <c r="AL23" s="396"/>
      <c r="AM23" s="396"/>
      <c r="AN23" s="396"/>
      <c r="AO23" s="396"/>
      <c r="AP23" s="396"/>
      <c r="AQ23" s="397"/>
      <c r="AR23" s="395"/>
      <c r="AS23" s="396"/>
      <c r="AT23" s="396"/>
      <c r="AU23" s="396"/>
      <c r="AV23" s="396"/>
      <c r="AW23" s="396"/>
      <c r="AX23" s="397"/>
      <c r="AY23" s="395"/>
      <c r="AZ23" s="396"/>
      <c r="BA23" s="396"/>
      <c r="BB23" s="396"/>
      <c r="BC23" s="396"/>
      <c r="BD23" s="396"/>
      <c r="BE23" s="397"/>
      <c r="BF23" s="395"/>
      <c r="BG23" s="396"/>
      <c r="BH23" s="396"/>
      <c r="BI23" s="396"/>
      <c r="BJ23" s="396"/>
      <c r="BK23" s="396"/>
      <c r="BL23" s="397"/>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c r="CQ23" s="352"/>
      <c r="CR23" s="352"/>
      <c r="CS23" s="352"/>
      <c r="CT23" s="352"/>
      <c r="CU23" s="352"/>
      <c r="CV23" s="352"/>
      <c r="CW23" s="352"/>
      <c r="CX23" s="352"/>
      <c r="CY23" s="352"/>
      <c r="CZ23" s="352"/>
      <c r="DA23" s="352"/>
      <c r="DB23" s="352"/>
      <c r="DC23" s="352"/>
      <c r="DD23" s="352"/>
      <c r="DE23" s="7"/>
    </row>
    <row r="24" spans="1:133" ht="15" customHeight="1">
      <c r="A24" s="8"/>
      <c r="B24" s="356"/>
      <c r="C24" s="357"/>
      <c r="D24" s="357"/>
      <c r="E24" s="357"/>
      <c r="F24" s="357"/>
      <c r="G24" s="357"/>
      <c r="H24" s="358"/>
      <c r="I24" s="352"/>
      <c r="J24" s="352"/>
      <c r="K24" s="352"/>
      <c r="L24" s="352"/>
      <c r="M24" s="352"/>
      <c r="N24" s="352"/>
      <c r="O24" s="352"/>
      <c r="P24" s="458"/>
      <c r="Q24" s="458"/>
      <c r="R24" s="458"/>
      <c r="S24" s="458"/>
      <c r="T24" s="458"/>
      <c r="U24" s="458"/>
      <c r="V24" s="458"/>
      <c r="W24" s="398"/>
      <c r="X24" s="399"/>
      <c r="Y24" s="399"/>
      <c r="Z24" s="399"/>
      <c r="AA24" s="399"/>
      <c r="AB24" s="399"/>
      <c r="AC24" s="400"/>
      <c r="AD24" s="398"/>
      <c r="AE24" s="399"/>
      <c r="AF24" s="399"/>
      <c r="AG24" s="399"/>
      <c r="AH24" s="399"/>
      <c r="AI24" s="399"/>
      <c r="AJ24" s="400"/>
      <c r="AK24" s="398"/>
      <c r="AL24" s="399"/>
      <c r="AM24" s="399"/>
      <c r="AN24" s="399"/>
      <c r="AO24" s="399"/>
      <c r="AP24" s="399"/>
      <c r="AQ24" s="400"/>
      <c r="AR24" s="398"/>
      <c r="AS24" s="399"/>
      <c r="AT24" s="399"/>
      <c r="AU24" s="399"/>
      <c r="AV24" s="399"/>
      <c r="AW24" s="399"/>
      <c r="AX24" s="400"/>
      <c r="AY24" s="398"/>
      <c r="AZ24" s="399"/>
      <c r="BA24" s="399"/>
      <c r="BB24" s="399"/>
      <c r="BC24" s="399"/>
      <c r="BD24" s="399"/>
      <c r="BE24" s="400"/>
      <c r="BF24" s="398"/>
      <c r="BG24" s="399"/>
      <c r="BH24" s="399"/>
      <c r="BI24" s="399"/>
      <c r="BJ24" s="399"/>
      <c r="BK24" s="399"/>
      <c r="BL24" s="400"/>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c r="CQ24" s="352"/>
      <c r="CR24" s="352"/>
      <c r="CS24" s="352"/>
      <c r="CT24" s="352"/>
      <c r="CU24" s="352"/>
      <c r="CV24" s="352"/>
      <c r="CW24" s="352"/>
      <c r="CX24" s="352"/>
      <c r="CY24" s="352"/>
      <c r="CZ24" s="352"/>
      <c r="DA24" s="352"/>
      <c r="DB24" s="352"/>
      <c r="DC24" s="352"/>
      <c r="DD24" s="352"/>
      <c r="DE24" s="7"/>
    </row>
    <row r="25" spans="1:133" ht="15" customHeight="1">
      <c r="A25" s="3"/>
      <c r="B25" s="382"/>
      <c r="C25" s="383"/>
      <c r="D25" s="383"/>
      <c r="E25" s="383"/>
      <c r="F25" s="383"/>
      <c r="G25" s="383"/>
      <c r="H25" s="384"/>
      <c r="I25" s="351"/>
      <c r="J25" s="351"/>
      <c r="K25" s="351"/>
      <c r="L25" s="351"/>
      <c r="M25" s="351"/>
      <c r="N25" s="351"/>
      <c r="O25" s="351"/>
      <c r="P25" s="457"/>
      <c r="Q25" s="457"/>
      <c r="R25" s="457"/>
      <c r="S25" s="457"/>
      <c r="T25" s="457"/>
      <c r="U25" s="457"/>
      <c r="V25" s="457"/>
      <c r="W25" s="408"/>
      <c r="X25" s="409"/>
      <c r="Y25" s="409"/>
      <c r="Z25" s="409"/>
      <c r="AA25" s="409"/>
      <c r="AB25" s="409"/>
      <c r="AC25" s="410"/>
      <c r="AD25" s="408"/>
      <c r="AE25" s="409"/>
      <c r="AF25" s="409"/>
      <c r="AG25" s="409"/>
      <c r="AH25" s="409"/>
      <c r="AI25" s="409"/>
      <c r="AJ25" s="410"/>
      <c r="AK25" s="408"/>
      <c r="AL25" s="409"/>
      <c r="AM25" s="409"/>
      <c r="AN25" s="409"/>
      <c r="AO25" s="409"/>
      <c r="AP25" s="409"/>
      <c r="AQ25" s="410"/>
      <c r="AR25" s="408"/>
      <c r="AS25" s="409"/>
      <c r="AT25" s="409"/>
      <c r="AU25" s="409"/>
      <c r="AV25" s="409"/>
      <c r="AW25" s="409"/>
      <c r="AX25" s="410"/>
      <c r="AY25" s="408"/>
      <c r="AZ25" s="409"/>
      <c r="BA25" s="409"/>
      <c r="BB25" s="409"/>
      <c r="BC25" s="409"/>
      <c r="BD25" s="409"/>
      <c r="BE25" s="410"/>
      <c r="BF25" s="408"/>
      <c r="BG25" s="409"/>
      <c r="BH25" s="409"/>
      <c r="BI25" s="409"/>
      <c r="BJ25" s="409"/>
      <c r="BK25" s="409"/>
      <c r="BL25" s="410"/>
      <c r="BM25" s="351"/>
      <c r="BN25" s="351"/>
      <c r="BO25" s="351"/>
      <c r="BP25" s="351"/>
      <c r="BQ25" s="351"/>
      <c r="BR25" s="351"/>
      <c r="BS25" s="351"/>
      <c r="BT25" s="351"/>
      <c r="BU25" s="351"/>
      <c r="BV25" s="351"/>
      <c r="BW25" s="351"/>
      <c r="BX25" s="351"/>
      <c r="BY25" s="351"/>
      <c r="BZ25" s="351"/>
      <c r="CA25" s="351"/>
      <c r="CB25" s="351"/>
      <c r="CC25" s="351"/>
      <c r="CD25" s="351"/>
      <c r="CE25" s="351"/>
      <c r="CF25" s="351"/>
      <c r="CG25" s="351"/>
      <c r="CH25" s="351"/>
      <c r="CI25" s="351"/>
      <c r="CJ25" s="351"/>
      <c r="CK25" s="351"/>
      <c r="CL25" s="351"/>
      <c r="CM25" s="351"/>
      <c r="CN25" s="351"/>
      <c r="CO25" s="351"/>
      <c r="CP25" s="351"/>
      <c r="CQ25" s="351"/>
      <c r="CR25" s="351"/>
      <c r="CS25" s="351"/>
      <c r="CT25" s="351"/>
      <c r="CU25" s="351"/>
      <c r="CV25" s="351"/>
      <c r="CW25" s="351"/>
      <c r="CX25" s="351"/>
      <c r="CY25" s="351"/>
      <c r="CZ25" s="351"/>
      <c r="DA25" s="351"/>
      <c r="DB25" s="351"/>
      <c r="DC25" s="351"/>
      <c r="DD25" s="351"/>
      <c r="DE25" s="7"/>
    </row>
    <row r="26" spans="1:133" ht="15" customHeight="1">
      <c r="A26" s="3"/>
      <c r="B26" s="385"/>
      <c r="C26" s="386"/>
      <c r="D26" s="386"/>
      <c r="E26" s="386"/>
      <c r="F26" s="386"/>
      <c r="G26" s="386"/>
      <c r="H26" s="387"/>
      <c r="I26" s="351"/>
      <c r="J26" s="351"/>
      <c r="K26" s="351"/>
      <c r="L26" s="351"/>
      <c r="M26" s="351"/>
      <c r="N26" s="351"/>
      <c r="O26" s="351"/>
      <c r="P26" s="457"/>
      <c r="Q26" s="457"/>
      <c r="R26" s="457"/>
      <c r="S26" s="457"/>
      <c r="T26" s="457"/>
      <c r="U26" s="457"/>
      <c r="V26" s="457"/>
      <c r="W26" s="411"/>
      <c r="X26" s="412"/>
      <c r="Y26" s="412"/>
      <c r="Z26" s="412"/>
      <c r="AA26" s="412"/>
      <c r="AB26" s="412"/>
      <c r="AC26" s="413"/>
      <c r="AD26" s="411"/>
      <c r="AE26" s="412"/>
      <c r="AF26" s="412"/>
      <c r="AG26" s="412"/>
      <c r="AH26" s="412"/>
      <c r="AI26" s="412"/>
      <c r="AJ26" s="413"/>
      <c r="AK26" s="411"/>
      <c r="AL26" s="412"/>
      <c r="AM26" s="412"/>
      <c r="AN26" s="412"/>
      <c r="AO26" s="412"/>
      <c r="AP26" s="412"/>
      <c r="AQ26" s="413"/>
      <c r="AR26" s="411"/>
      <c r="AS26" s="412"/>
      <c r="AT26" s="412"/>
      <c r="AU26" s="412"/>
      <c r="AV26" s="412"/>
      <c r="AW26" s="412"/>
      <c r="AX26" s="413"/>
      <c r="AY26" s="411"/>
      <c r="AZ26" s="412"/>
      <c r="BA26" s="412"/>
      <c r="BB26" s="412"/>
      <c r="BC26" s="412"/>
      <c r="BD26" s="412"/>
      <c r="BE26" s="413"/>
      <c r="BF26" s="411"/>
      <c r="BG26" s="412"/>
      <c r="BH26" s="412"/>
      <c r="BI26" s="412"/>
      <c r="BJ26" s="412"/>
      <c r="BK26" s="412"/>
      <c r="BL26" s="413"/>
      <c r="BM26" s="351"/>
      <c r="BN26" s="351"/>
      <c r="BO26" s="351"/>
      <c r="BP26" s="351"/>
      <c r="BQ26" s="351"/>
      <c r="BR26" s="351"/>
      <c r="BS26" s="351"/>
      <c r="BT26" s="351"/>
      <c r="BU26" s="351"/>
      <c r="BV26" s="351"/>
      <c r="BW26" s="351"/>
      <c r="BX26" s="351"/>
      <c r="BY26" s="351"/>
      <c r="BZ26" s="351"/>
      <c r="CA26" s="351"/>
      <c r="CB26" s="351"/>
      <c r="CC26" s="351"/>
      <c r="CD26" s="351"/>
      <c r="CE26" s="351"/>
      <c r="CF26" s="351"/>
      <c r="CG26" s="351"/>
      <c r="CH26" s="351"/>
      <c r="CI26" s="351"/>
      <c r="CJ26" s="351"/>
      <c r="CK26" s="351"/>
      <c r="CL26" s="351"/>
      <c r="CM26" s="351"/>
      <c r="CN26" s="351"/>
      <c r="CO26" s="351"/>
      <c r="CP26" s="351"/>
      <c r="CQ26" s="351"/>
      <c r="CR26" s="351"/>
      <c r="CS26" s="351"/>
      <c r="CT26" s="351"/>
      <c r="CU26" s="351"/>
      <c r="CV26" s="351"/>
      <c r="CW26" s="351"/>
      <c r="CX26" s="351"/>
      <c r="CY26" s="351"/>
      <c r="CZ26" s="351"/>
      <c r="DA26" s="351"/>
      <c r="DB26" s="351"/>
      <c r="DC26" s="351"/>
      <c r="DD26" s="351"/>
      <c r="DE26" s="7"/>
    </row>
    <row r="27" spans="1:133" ht="15" customHeight="1">
      <c r="A27" s="3"/>
      <c r="B27" s="353"/>
      <c r="C27" s="354"/>
      <c r="D27" s="354"/>
      <c r="E27" s="354"/>
      <c r="F27" s="354"/>
      <c r="G27" s="354"/>
      <c r="H27" s="355"/>
      <c r="I27" s="352"/>
      <c r="J27" s="352"/>
      <c r="K27" s="352"/>
      <c r="L27" s="352"/>
      <c r="M27" s="352"/>
      <c r="N27" s="352"/>
      <c r="O27" s="352"/>
      <c r="P27" s="458"/>
      <c r="Q27" s="458"/>
      <c r="R27" s="458"/>
      <c r="S27" s="458"/>
      <c r="T27" s="458"/>
      <c r="U27" s="458"/>
      <c r="V27" s="458"/>
      <c r="W27" s="395"/>
      <c r="X27" s="396"/>
      <c r="Y27" s="396"/>
      <c r="Z27" s="396"/>
      <c r="AA27" s="396"/>
      <c r="AB27" s="396"/>
      <c r="AC27" s="397"/>
      <c r="AD27" s="395"/>
      <c r="AE27" s="396"/>
      <c r="AF27" s="396"/>
      <c r="AG27" s="396"/>
      <c r="AH27" s="396"/>
      <c r="AI27" s="396"/>
      <c r="AJ27" s="397"/>
      <c r="AK27" s="395"/>
      <c r="AL27" s="396"/>
      <c r="AM27" s="396"/>
      <c r="AN27" s="396"/>
      <c r="AO27" s="396"/>
      <c r="AP27" s="396"/>
      <c r="AQ27" s="397"/>
      <c r="AR27" s="395"/>
      <c r="AS27" s="396"/>
      <c r="AT27" s="396"/>
      <c r="AU27" s="396"/>
      <c r="AV27" s="396"/>
      <c r="AW27" s="396"/>
      <c r="AX27" s="397"/>
      <c r="AY27" s="395"/>
      <c r="AZ27" s="396"/>
      <c r="BA27" s="396"/>
      <c r="BB27" s="396"/>
      <c r="BC27" s="396"/>
      <c r="BD27" s="396"/>
      <c r="BE27" s="397"/>
      <c r="BF27" s="395"/>
      <c r="BG27" s="396"/>
      <c r="BH27" s="396"/>
      <c r="BI27" s="396"/>
      <c r="BJ27" s="396"/>
      <c r="BK27" s="396"/>
      <c r="BL27" s="397"/>
      <c r="BM27" s="416"/>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c r="CQ27" s="352"/>
      <c r="CR27" s="352"/>
      <c r="CS27" s="352"/>
      <c r="CT27" s="352"/>
      <c r="CU27" s="352"/>
      <c r="CV27" s="352"/>
      <c r="CW27" s="352"/>
      <c r="CX27" s="352"/>
      <c r="CY27" s="352"/>
      <c r="CZ27" s="352"/>
      <c r="DA27" s="352"/>
      <c r="DB27" s="352"/>
      <c r="DC27" s="352"/>
      <c r="DD27" s="352"/>
      <c r="DE27" s="24"/>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row>
    <row r="28" spans="1:133" ht="15" customHeight="1">
      <c r="A28" s="3"/>
      <c r="B28" s="356"/>
      <c r="C28" s="357"/>
      <c r="D28" s="357"/>
      <c r="E28" s="357"/>
      <c r="F28" s="357"/>
      <c r="G28" s="357"/>
      <c r="H28" s="358"/>
      <c r="I28" s="352"/>
      <c r="J28" s="352"/>
      <c r="K28" s="352"/>
      <c r="L28" s="352"/>
      <c r="M28" s="352"/>
      <c r="N28" s="352"/>
      <c r="O28" s="352"/>
      <c r="P28" s="458"/>
      <c r="Q28" s="458"/>
      <c r="R28" s="458"/>
      <c r="S28" s="458"/>
      <c r="T28" s="458"/>
      <c r="U28" s="458"/>
      <c r="V28" s="458"/>
      <c r="W28" s="398"/>
      <c r="X28" s="399"/>
      <c r="Y28" s="399"/>
      <c r="Z28" s="399"/>
      <c r="AA28" s="399"/>
      <c r="AB28" s="399"/>
      <c r="AC28" s="400"/>
      <c r="AD28" s="398"/>
      <c r="AE28" s="399"/>
      <c r="AF28" s="399"/>
      <c r="AG28" s="399"/>
      <c r="AH28" s="399"/>
      <c r="AI28" s="399"/>
      <c r="AJ28" s="400"/>
      <c r="AK28" s="398"/>
      <c r="AL28" s="399"/>
      <c r="AM28" s="399"/>
      <c r="AN28" s="399"/>
      <c r="AO28" s="399"/>
      <c r="AP28" s="399"/>
      <c r="AQ28" s="400"/>
      <c r="AR28" s="398"/>
      <c r="AS28" s="399"/>
      <c r="AT28" s="399"/>
      <c r="AU28" s="399"/>
      <c r="AV28" s="399"/>
      <c r="AW28" s="399"/>
      <c r="AX28" s="400"/>
      <c r="AY28" s="398"/>
      <c r="AZ28" s="399"/>
      <c r="BA28" s="399"/>
      <c r="BB28" s="399"/>
      <c r="BC28" s="399"/>
      <c r="BD28" s="399"/>
      <c r="BE28" s="400"/>
      <c r="BF28" s="398"/>
      <c r="BG28" s="399"/>
      <c r="BH28" s="399"/>
      <c r="BI28" s="399"/>
      <c r="BJ28" s="399"/>
      <c r="BK28" s="399"/>
      <c r="BL28" s="400"/>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c r="CQ28" s="352"/>
      <c r="CR28" s="352"/>
      <c r="CS28" s="352"/>
      <c r="CT28" s="352"/>
      <c r="CU28" s="352"/>
      <c r="CV28" s="352"/>
      <c r="CW28" s="352"/>
      <c r="CX28" s="352"/>
      <c r="CY28" s="352"/>
      <c r="CZ28" s="352"/>
      <c r="DA28" s="352"/>
      <c r="DB28" s="352"/>
      <c r="DC28" s="352"/>
      <c r="DD28" s="352"/>
      <c r="DE28" s="7"/>
    </row>
    <row r="29" spans="1:133" ht="15" customHeight="1">
      <c r="A29" s="8"/>
      <c r="B29" s="382"/>
      <c r="C29" s="383"/>
      <c r="D29" s="383"/>
      <c r="E29" s="383"/>
      <c r="F29" s="383"/>
      <c r="G29" s="383"/>
      <c r="H29" s="384"/>
      <c r="I29" s="351"/>
      <c r="J29" s="351"/>
      <c r="K29" s="351"/>
      <c r="L29" s="351"/>
      <c r="M29" s="351"/>
      <c r="N29" s="351"/>
      <c r="O29" s="351"/>
      <c r="P29" s="457"/>
      <c r="Q29" s="457"/>
      <c r="R29" s="457"/>
      <c r="S29" s="457"/>
      <c r="T29" s="457"/>
      <c r="U29" s="457"/>
      <c r="V29" s="457"/>
      <c r="W29" s="408"/>
      <c r="X29" s="409"/>
      <c r="Y29" s="409"/>
      <c r="Z29" s="409"/>
      <c r="AA29" s="409"/>
      <c r="AB29" s="409"/>
      <c r="AC29" s="410"/>
      <c r="AD29" s="408"/>
      <c r="AE29" s="409"/>
      <c r="AF29" s="409"/>
      <c r="AG29" s="409"/>
      <c r="AH29" s="409"/>
      <c r="AI29" s="409"/>
      <c r="AJ29" s="410"/>
      <c r="AK29" s="408"/>
      <c r="AL29" s="409"/>
      <c r="AM29" s="409"/>
      <c r="AN29" s="409"/>
      <c r="AO29" s="409"/>
      <c r="AP29" s="409"/>
      <c r="AQ29" s="410"/>
      <c r="AR29" s="408"/>
      <c r="AS29" s="409"/>
      <c r="AT29" s="409"/>
      <c r="AU29" s="409"/>
      <c r="AV29" s="409"/>
      <c r="AW29" s="409"/>
      <c r="AX29" s="410"/>
      <c r="AY29" s="408"/>
      <c r="AZ29" s="409"/>
      <c r="BA29" s="409"/>
      <c r="BB29" s="409"/>
      <c r="BC29" s="409"/>
      <c r="BD29" s="409"/>
      <c r="BE29" s="410"/>
      <c r="BF29" s="408"/>
      <c r="BG29" s="409"/>
      <c r="BH29" s="409"/>
      <c r="BI29" s="409"/>
      <c r="BJ29" s="409"/>
      <c r="BK29" s="409"/>
      <c r="BL29" s="410"/>
      <c r="BM29" s="351"/>
      <c r="BN29" s="351"/>
      <c r="BO29" s="351"/>
      <c r="BP29" s="351"/>
      <c r="BQ29" s="351"/>
      <c r="BR29" s="351"/>
      <c r="BS29" s="351"/>
      <c r="BT29" s="351"/>
      <c r="BU29" s="351"/>
      <c r="BV29" s="351"/>
      <c r="BW29" s="351"/>
      <c r="BX29" s="351"/>
      <c r="BY29" s="351"/>
      <c r="BZ29" s="351"/>
      <c r="CA29" s="351"/>
      <c r="CB29" s="351"/>
      <c r="CC29" s="351"/>
      <c r="CD29" s="351"/>
      <c r="CE29" s="351"/>
      <c r="CF29" s="351"/>
      <c r="CG29" s="351"/>
      <c r="CH29" s="351"/>
      <c r="CI29" s="351"/>
      <c r="CJ29" s="351"/>
      <c r="CK29" s="351"/>
      <c r="CL29" s="351"/>
      <c r="CM29" s="351"/>
      <c r="CN29" s="351"/>
      <c r="CO29" s="351"/>
      <c r="CP29" s="351"/>
      <c r="CQ29" s="351"/>
      <c r="CR29" s="351"/>
      <c r="CS29" s="351"/>
      <c r="CT29" s="351"/>
      <c r="CU29" s="351"/>
      <c r="CV29" s="351"/>
      <c r="CW29" s="351"/>
      <c r="CX29" s="351"/>
      <c r="CY29" s="351"/>
      <c r="CZ29" s="351"/>
      <c r="DA29" s="351"/>
      <c r="DB29" s="351"/>
      <c r="DC29" s="351"/>
      <c r="DD29" s="351"/>
      <c r="DE29" s="7"/>
    </row>
    <row r="30" spans="1:133" ht="15" customHeight="1">
      <c r="A30" s="6"/>
      <c r="B30" s="385"/>
      <c r="C30" s="386"/>
      <c r="D30" s="386"/>
      <c r="E30" s="386"/>
      <c r="F30" s="386"/>
      <c r="G30" s="386"/>
      <c r="H30" s="387"/>
      <c r="I30" s="351"/>
      <c r="J30" s="351"/>
      <c r="K30" s="351"/>
      <c r="L30" s="351"/>
      <c r="M30" s="351"/>
      <c r="N30" s="351"/>
      <c r="O30" s="351"/>
      <c r="P30" s="457"/>
      <c r="Q30" s="457"/>
      <c r="R30" s="457"/>
      <c r="S30" s="457"/>
      <c r="T30" s="457"/>
      <c r="U30" s="457"/>
      <c r="V30" s="457"/>
      <c r="W30" s="411"/>
      <c r="X30" s="412"/>
      <c r="Y30" s="412"/>
      <c r="Z30" s="412"/>
      <c r="AA30" s="412"/>
      <c r="AB30" s="412"/>
      <c r="AC30" s="413"/>
      <c r="AD30" s="411"/>
      <c r="AE30" s="412"/>
      <c r="AF30" s="412"/>
      <c r="AG30" s="412"/>
      <c r="AH30" s="412"/>
      <c r="AI30" s="412"/>
      <c r="AJ30" s="413"/>
      <c r="AK30" s="411"/>
      <c r="AL30" s="412"/>
      <c r="AM30" s="412"/>
      <c r="AN30" s="412"/>
      <c r="AO30" s="412"/>
      <c r="AP30" s="412"/>
      <c r="AQ30" s="413"/>
      <c r="AR30" s="411"/>
      <c r="AS30" s="412"/>
      <c r="AT30" s="412"/>
      <c r="AU30" s="412"/>
      <c r="AV30" s="412"/>
      <c r="AW30" s="412"/>
      <c r="AX30" s="413"/>
      <c r="AY30" s="411"/>
      <c r="AZ30" s="412"/>
      <c r="BA30" s="412"/>
      <c r="BB30" s="412"/>
      <c r="BC30" s="412"/>
      <c r="BD30" s="412"/>
      <c r="BE30" s="413"/>
      <c r="BF30" s="411"/>
      <c r="BG30" s="412"/>
      <c r="BH30" s="412"/>
      <c r="BI30" s="412"/>
      <c r="BJ30" s="412"/>
      <c r="BK30" s="412"/>
      <c r="BL30" s="413"/>
      <c r="BM30" s="351"/>
      <c r="BN30" s="351"/>
      <c r="BO30" s="351"/>
      <c r="BP30" s="351"/>
      <c r="BQ30" s="351"/>
      <c r="BR30" s="351"/>
      <c r="BS30" s="351"/>
      <c r="BT30" s="351"/>
      <c r="BU30" s="351"/>
      <c r="BV30" s="351"/>
      <c r="BW30" s="351"/>
      <c r="BX30" s="351"/>
      <c r="BY30" s="351"/>
      <c r="BZ30" s="351"/>
      <c r="CA30" s="351"/>
      <c r="CB30" s="351"/>
      <c r="CC30" s="351"/>
      <c r="CD30" s="351"/>
      <c r="CE30" s="351"/>
      <c r="CF30" s="351"/>
      <c r="CG30" s="351"/>
      <c r="CH30" s="351"/>
      <c r="CI30" s="351"/>
      <c r="CJ30" s="351"/>
      <c r="CK30" s="351"/>
      <c r="CL30" s="351"/>
      <c r="CM30" s="351"/>
      <c r="CN30" s="351"/>
      <c r="CO30" s="351"/>
      <c r="CP30" s="351"/>
      <c r="CQ30" s="351"/>
      <c r="CR30" s="351"/>
      <c r="CS30" s="351"/>
      <c r="CT30" s="351"/>
      <c r="CU30" s="351"/>
      <c r="CV30" s="351"/>
      <c r="CW30" s="351"/>
      <c r="CX30" s="351"/>
      <c r="CY30" s="351"/>
      <c r="CZ30" s="351"/>
      <c r="DA30" s="351"/>
      <c r="DB30" s="351"/>
      <c r="DC30" s="351"/>
      <c r="DD30" s="351"/>
      <c r="DE30" s="7"/>
    </row>
    <row r="31" spans="1:133" ht="15" customHeight="1">
      <c r="A31" s="3"/>
      <c r="B31" s="353"/>
      <c r="C31" s="354"/>
      <c r="D31" s="354"/>
      <c r="E31" s="354"/>
      <c r="F31" s="354"/>
      <c r="G31" s="354"/>
      <c r="H31" s="355"/>
      <c r="I31" s="352"/>
      <c r="J31" s="352"/>
      <c r="K31" s="352"/>
      <c r="L31" s="352"/>
      <c r="M31" s="352"/>
      <c r="N31" s="352"/>
      <c r="O31" s="352"/>
      <c r="P31" s="458"/>
      <c r="Q31" s="458"/>
      <c r="R31" s="458"/>
      <c r="S31" s="458"/>
      <c r="T31" s="458"/>
      <c r="U31" s="458"/>
      <c r="V31" s="458"/>
      <c r="W31" s="395"/>
      <c r="X31" s="396"/>
      <c r="Y31" s="396"/>
      <c r="Z31" s="396"/>
      <c r="AA31" s="396"/>
      <c r="AB31" s="396"/>
      <c r="AC31" s="397"/>
      <c r="AD31" s="395"/>
      <c r="AE31" s="396"/>
      <c r="AF31" s="396"/>
      <c r="AG31" s="396"/>
      <c r="AH31" s="396"/>
      <c r="AI31" s="396"/>
      <c r="AJ31" s="397"/>
      <c r="AK31" s="395"/>
      <c r="AL31" s="396"/>
      <c r="AM31" s="396"/>
      <c r="AN31" s="396"/>
      <c r="AO31" s="396"/>
      <c r="AP31" s="396"/>
      <c r="AQ31" s="397"/>
      <c r="AR31" s="395"/>
      <c r="AS31" s="396"/>
      <c r="AT31" s="396"/>
      <c r="AU31" s="396"/>
      <c r="AV31" s="396"/>
      <c r="AW31" s="396"/>
      <c r="AX31" s="397"/>
      <c r="AY31" s="395"/>
      <c r="AZ31" s="396"/>
      <c r="BA31" s="396"/>
      <c r="BB31" s="396"/>
      <c r="BC31" s="396"/>
      <c r="BD31" s="396"/>
      <c r="BE31" s="397"/>
      <c r="BF31" s="395"/>
      <c r="BG31" s="396"/>
      <c r="BH31" s="396"/>
      <c r="BI31" s="396"/>
      <c r="BJ31" s="396"/>
      <c r="BK31" s="396"/>
      <c r="BL31" s="397"/>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c r="CQ31" s="352"/>
      <c r="CR31" s="352"/>
      <c r="CS31" s="352"/>
      <c r="CT31" s="352"/>
      <c r="CU31" s="352"/>
      <c r="CV31" s="352"/>
      <c r="CW31" s="352"/>
      <c r="CX31" s="352"/>
      <c r="CY31" s="352"/>
      <c r="CZ31" s="352"/>
      <c r="DA31" s="352"/>
      <c r="DB31" s="352"/>
      <c r="DC31" s="352"/>
      <c r="DD31" s="352"/>
      <c r="DE31" s="7"/>
    </row>
    <row r="32" spans="1:133" ht="15" customHeight="1">
      <c r="A32" s="6"/>
      <c r="B32" s="356"/>
      <c r="C32" s="357"/>
      <c r="D32" s="357"/>
      <c r="E32" s="357"/>
      <c r="F32" s="357"/>
      <c r="G32" s="357"/>
      <c r="H32" s="358"/>
      <c r="I32" s="352"/>
      <c r="J32" s="352"/>
      <c r="K32" s="352"/>
      <c r="L32" s="352"/>
      <c r="M32" s="352"/>
      <c r="N32" s="352"/>
      <c r="O32" s="352"/>
      <c r="P32" s="458"/>
      <c r="Q32" s="458"/>
      <c r="R32" s="458"/>
      <c r="S32" s="458"/>
      <c r="T32" s="458"/>
      <c r="U32" s="458"/>
      <c r="V32" s="458"/>
      <c r="W32" s="398"/>
      <c r="X32" s="399"/>
      <c r="Y32" s="399"/>
      <c r="Z32" s="399"/>
      <c r="AA32" s="399"/>
      <c r="AB32" s="399"/>
      <c r="AC32" s="400"/>
      <c r="AD32" s="398"/>
      <c r="AE32" s="399"/>
      <c r="AF32" s="399"/>
      <c r="AG32" s="399"/>
      <c r="AH32" s="399"/>
      <c r="AI32" s="399"/>
      <c r="AJ32" s="400"/>
      <c r="AK32" s="398"/>
      <c r="AL32" s="399"/>
      <c r="AM32" s="399"/>
      <c r="AN32" s="399"/>
      <c r="AO32" s="399"/>
      <c r="AP32" s="399"/>
      <c r="AQ32" s="400"/>
      <c r="AR32" s="398"/>
      <c r="AS32" s="399"/>
      <c r="AT32" s="399"/>
      <c r="AU32" s="399"/>
      <c r="AV32" s="399"/>
      <c r="AW32" s="399"/>
      <c r="AX32" s="400"/>
      <c r="AY32" s="398"/>
      <c r="AZ32" s="399"/>
      <c r="BA32" s="399"/>
      <c r="BB32" s="399"/>
      <c r="BC32" s="399"/>
      <c r="BD32" s="399"/>
      <c r="BE32" s="400"/>
      <c r="BF32" s="398"/>
      <c r="BG32" s="399"/>
      <c r="BH32" s="399"/>
      <c r="BI32" s="399"/>
      <c r="BJ32" s="399"/>
      <c r="BK32" s="399"/>
      <c r="BL32" s="400"/>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c r="CQ32" s="352"/>
      <c r="CR32" s="352"/>
      <c r="CS32" s="352"/>
      <c r="CT32" s="352"/>
      <c r="CU32" s="352"/>
      <c r="CV32" s="352"/>
      <c r="CW32" s="352"/>
      <c r="CX32" s="352"/>
      <c r="CY32" s="352"/>
      <c r="CZ32" s="352"/>
      <c r="DA32" s="352"/>
      <c r="DB32" s="352"/>
      <c r="DC32" s="352"/>
      <c r="DD32" s="352"/>
      <c r="DE32" s="7"/>
    </row>
    <row r="33" spans="1:109" ht="12.75">
      <c r="A33" s="6"/>
      <c r="B33" s="382"/>
      <c r="C33" s="383"/>
      <c r="D33" s="383"/>
      <c r="E33" s="383"/>
      <c r="F33" s="383"/>
      <c r="G33" s="383"/>
      <c r="H33" s="384"/>
      <c r="I33" s="351"/>
      <c r="J33" s="351"/>
      <c r="K33" s="351"/>
      <c r="L33" s="351"/>
      <c r="M33" s="351"/>
      <c r="N33" s="351"/>
      <c r="O33" s="351"/>
      <c r="P33" s="457"/>
      <c r="Q33" s="457"/>
      <c r="R33" s="457"/>
      <c r="S33" s="457"/>
      <c r="T33" s="457"/>
      <c r="U33" s="457"/>
      <c r="V33" s="457"/>
      <c r="W33" s="408"/>
      <c r="X33" s="409"/>
      <c r="Y33" s="409"/>
      <c r="Z33" s="409"/>
      <c r="AA33" s="409"/>
      <c r="AB33" s="409"/>
      <c r="AC33" s="410"/>
      <c r="AD33" s="408"/>
      <c r="AE33" s="409"/>
      <c r="AF33" s="409"/>
      <c r="AG33" s="409"/>
      <c r="AH33" s="409"/>
      <c r="AI33" s="409"/>
      <c r="AJ33" s="410"/>
      <c r="AK33" s="408"/>
      <c r="AL33" s="409"/>
      <c r="AM33" s="409"/>
      <c r="AN33" s="409"/>
      <c r="AO33" s="409"/>
      <c r="AP33" s="409"/>
      <c r="AQ33" s="410"/>
      <c r="AR33" s="408"/>
      <c r="AS33" s="409"/>
      <c r="AT33" s="409"/>
      <c r="AU33" s="409"/>
      <c r="AV33" s="409"/>
      <c r="AW33" s="409"/>
      <c r="AX33" s="410"/>
      <c r="AY33" s="408"/>
      <c r="AZ33" s="409"/>
      <c r="BA33" s="409"/>
      <c r="BB33" s="409"/>
      <c r="BC33" s="409"/>
      <c r="BD33" s="409"/>
      <c r="BE33" s="410"/>
      <c r="BF33" s="408"/>
      <c r="BG33" s="409"/>
      <c r="BH33" s="409"/>
      <c r="BI33" s="409"/>
      <c r="BJ33" s="409"/>
      <c r="BK33" s="409"/>
      <c r="BL33" s="410"/>
      <c r="BM33" s="351"/>
      <c r="BN33" s="351"/>
      <c r="BO33" s="351"/>
      <c r="BP33" s="351"/>
      <c r="BQ33" s="351"/>
      <c r="BR33" s="351"/>
      <c r="BS33" s="351"/>
      <c r="BT33" s="351"/>
      <c r="BU33" s="351"/>
      <c r="BV33" s="351"/>
      <c r="BW33" s="351"/>
      <c r="BX33" s="351"/>
      <c r="BY33" s="351"/>
      <c r="BZ33" s="351"/>
      <c r="CA33" s="351"/>
      <c r="CB33" s="351"/>
      <c r="CC33" s="351"/>
      <c r="CD33" s="351"/>
      <c r="CE33" s="351"/>
      <c r="CF33" s="351"/>
      <c r="CG33" s="351"/>
      <c r="CH33" s="351"/>
      <c r="CI33" s="351"/>
      <c r="CJ33" s="351"/>
      <c r="CK33" s="351"/>
      <c r="CL33" s="351"/>
      <c r="CM33" s="351"/>
      <c r="CN33" s="351"/>
      <c r="CO33" s="351"/>
      <c r="CP33" s="351"/>
      <c r="CQ33" s="351"/>
      <c r="CR33" s="351"/>
      <c r="CS33" s="351"/>
      <c r="CT33" s="351"/>
      <c r="CU33" s="351"/>
      <c r="CV33" s="351"/>
      <c r="CW33" s="351"/>
      <c r="CX33" s="351"/>
      <c r="CY33" s="351"/>
      <c r="CZ33" s="351"/>
      <c r="DA33" s="351"/>
      <c r="DB33" s="351"/>
      <c r="DC33" s="351"/>
      <c r="DD33" s="351"/>
      <c r="DE33" s="7"/>
    </row>
    <row r="34" spans="1:109" ht="15" customHeight="1">
      <c r="A34" s="3"/>
      <c r="B34" s="385"/>
      <c r="C34" s="386"/>
      <c r="D34" s="386"/>
      <c r="E34" s="386"/>
      <c r="F34" s="386"/>
      <c r="G34" s="386"/>
      <c r="H34" s="387"/>
      <c r="I34" s="351"/>
      <c r="J34" s="351"/>
      <c r="K34" s="351"/>
      <c r="L34" s="351"/>
      <c r="M34" s="351"/>
      <c r="N34" s="351"/>
      <c r="O34" s="351"/>
      <c r="P34" s="457"/>
      <c r="Q34" s="457"/>
      <c r="R34" s="457"/>
      <c r="S34" s="457"/>
      <c r="T34" s="457"/>
      <c r="U34" s="457"/>
      <c r="V34" s="457"/>
      <c r="W34" s="411"/>
      <c r="X34" s="412"/>
      <c r="Y34" s="412"/>
      <c r="Z34" s="412"/>
      <c r="AA34" s="412"/>
      <c r="AB34" s="412"/>
      <c r="AC34" s="413"/>
      <c r="AD34" s="411"/>
      <c r="AE34" s="412"/>
      <c r="AF34" s="412"/>
      <c r="AG34" s="412"/>
      <c r="AH34" s="412"/>
      <c r="AI34" s="412"/>
      <c r="AJ34" s="413"/>
      <c r="AK34" s="411"/>
      <c r="AL34" s="412"/>
      <c r="AM34" s="412"/>
      <c r="AN34" s="412"/>
      <c r="AO34" s="412"/>
      <c r="AP34" s="412"/>
      <c r="AQ34" s="413"/>
      <c r="AR34" s="411"/>
      <c r="AS34" s="412"/>
      <c r="AT34" s="412"/>
      <c r="AU34" s="412"/>
      <c r="AV34" s="412"/>
      <c r="AW34" s="412"/>
      <c r="AX34" s="413"/>
      <c r="AY34" s="411"/>
      <c r="AZ34" s="412"/>
      <c r="BA34" s="412"/>
      <c r="BB34" s="412"/>
      <c r="BC34" s="412"/>
      <c r="BD34" s="412"/>
      <c r="BE34" s="413"/>
      <c r="BF34" s="411"/>
      <c r="BG34" s="412"/>
      <c r="BH34" s="412"/>
      <c r="BI34" s="412"/>
      <c r="BJ34" s="412"/>
      <c r="BK34" s="412"/>
      <c r="BL34" s="413"/>
      <c r="BM34" s="351"/>
      <c r="BN34" s="351"/>
      <c r="BO34" s="351"/>
      <c r="BP34" s="351"/>
      <c r="BQ34" s="351"/>
      <c r="BR34" s="351"/>
      <c r="BS34" s="351"/>
      <c r="BT34" s="351"/>
      <c r="BU34" s="351"/>
      <c r="BV34" s="351"/>
      <c r="BW34" s="351"/>
      <c r="BX34" s="351"/>
      <c r="BY34" s="351"/>
      <c r="BZ34" s="351"/>
      <c r="CA34" s="351"/>
      <c r="CB34" s="351"/>
      <c r="CC34" s="351"/>
      <c r="CD34" s="351"/>
      <c r="CE34" s="351"/>
      <c r="CF34" s="351"/>
      <c r="CG34" s="351"/>
      <c r="CH34" s="351"/>
      <c r="CI34" s="351"/>
      <c r="CJ34" s="351"/>
      <c r="CK34" s="351"/>
      <c r="CL34" s="351"/>
      <c r="CM34" s="351"/>
      <c r="CN34" s="351"/>
      <c r="CO34" s="351"/>
      <c r="CP34" s="351"/>
      <c r="CQ34" s="351"/>
      <c r="CR34" s="351"/>
      <c r="CS34" s="351"/>
      <c r="CT34" s="351"/>
      <c r="CU34" s="351"/>
      <c r="CV34" s="351"/>
      <c r="CW34" s="351"/>
      <c r="CX34" s="351"/>
      <c r="CY34" s="351"/>
      <c r="CZ34" s="351"/>
      <c r="DA34" s="351"/>
      <c r="DB34" s="351"/>
      <c r="DC34" s="351"/>
      <c r="DD34" s="351"/>
      <c r="DE34" s="7"/>
    </row>
    <row r="35" spans="1:109" ht="15" customHeight="1">
      <c r="A35" s="6"/>
      <c r="B35" s="353"/>
      <c r="C35" s="354"/>
      <c r="D35" s="354"/>
      <c r="E35" s="354"/>
      <c r="F35" s="354"/>
      <c r="G35" s="354"/>
      <c r="H35" s="355"/>
      <c r="I35" s="352"/>
      <c r="J35" s="352"/>
      <c r="K35" s="352"/>
      <c r="L35" s="352"/>
      <c r="M35" s="352"/>
      <c r="N35" s="352"/>
      <c r="O35" s="352"/>
      <c r="P35" s="458"/>
      <c r="Q35" s="458"/>
      <c r="R35" s="458"/>
      <c r="S35" s="458"/>
      <c r="T35" s="458"/>
      <c r="U35" s="458"/>
      <c r="V35" s="458"/>
      <c r="W35" s="395"/>
      <c r="X35" s="396"/>
      <c r="Y35" s="396"/>
      <c r="Z35" s="396"/>
      <c r="AA35" s="396"/>
      <c r="AB35" s="396"/>
      <c r="AC35" s="397"/>
      <c r="AD35" s="395"/>
      <c r="AE35" s="396"/>
      <c r="AF35" s="396"/>
      <c r="AG35" s="396"/>
      <c r="AH35" s="396"/>
      <c r="AI35" s="396"/>
      <c r="AJ35" s="397"/>
      <c r="AK35" s="395"/>
      <c r="AL35" s="396"/>
      <c r="AM35" s="396"/>
      <c r="AN35" s="396"/>
      <c r="AO35" s="396"/>
      <c r="AP35" s="396"/>
      <c r="AQ35" s="397"/>
      <c r="AR35" s="395"/>
      <c r="AS35" s="396"/>
      <c r="AT35" s="396"/>
      <c r="AU35" s="396"/>
      <c r="AV35" s="396"/>
      <c r="AW35" s="396"/>
      <c r="AX35" s="397"/>
      <c r="AY35" s="395"/>
      <c r="AZ35" s="396"/>
      <c r="BA35" s="396"/>
      <c r="BB35" s="396"/>
      <c r="BC35" s="396"/>
      <c r="BD35" s="396"/>
      <c r="BE35" s="397"/>
      <c r="BF35" s="395"/>
      <c r="BG35" s="396"/>
      <c r="BH35" s="396"/>
      <c r="BI35" s="396"/>
      <c r="BJ35" s="396"/>
      <c r="BK35" s="396"/>
      <c r="BL35" s="397"/>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c r="CQ35" s="352"/>
      <c r="CR35" s="352"/>
      <c r="CS35" s="352"/>
      <c r="CT35" s="352"/>
      <c r="CU35" s="352"/>
      <c r="CV35" s="352"/>
      <c r="CW35" s="352"/>
      <c r="CX35" s="352"/>
      <c r="CY35" s="352"/>
      <c r="CZ35" s="352"/>
      <c r="DA35" s="352"/>
      <c r="DB35" s="352"/>
      <c r="DC35" s="352"/>
      <c r="DD35" s="352"/>
      <c r="DE35" s="7"/>
    </row>
    <row r="36" spans="1:109" ht="15" customHeight="1">
      <c r="A36" s="8"/>
      <c r="B36" s="356"/>
      <c r="C36" s="357"/>
      <c r="D36" s="357"/>
      <c r="E36" s="357"/>
      <c r="F36" s="357"/>
      <c r="G36" s="357"/>
      <c r="H36" s="358"/>
      <c r="I36" s="352"/>
      <c r="J36" s="352"/>
      <c r="K36" s="352"/>
      <c r="L36" s="352"/>
      <c r="M36" s="352"/>
      <c r="N36" s="352"/>
      <c r="O36" s="352"/>
      <c r="P36" s="458"/>
      <c r="Q36" s="458"/>
      <c r="R36" s="458"/>
      <c r="S36" s="458"/>
      <c r="T36" s="458"/>
      <c r="U36" s="458"/>
      <c r="V36" s="458"/>
      <c r="W36" s="398"/>
      <c r="X36" s="399"/>
      <c r="Y36" s="399"/>
      <c r="Z36" s="399"/>
      <c r="AA36" s="399"/>
      <c r="AB36" s="399"/>
      <c r="AC36" s="400"/>
      <c r="AD36" s="398"/>
      <c r="AE36" s="399"/>
      <c r="AF36" s="399"/>
      <c r="AG36" s="399"/>
      <c r="AH36" s="399"/>
      <c r="AI36" s="399"/>
      <c r="AJ36" s="400"/>
      <c r="AK36" s="398"/>
      <c r="AL36" s="399"/>
      <c r="AM36" s="399"/>
      <c r="AN36" s="399"/>
      <c r="AO36" s="399"/>
      <c r="AP36" s="399"/>
      <c r="AQ36" s="400"/>
      <c r="AR36" s="398"/>
      <c r="AS36" s="399"/>
      <c r="AT36" s="399"/>
      <c r="AU36" s="399"/>
      <c r="AV36" s="399"/>
      <c r="AW36" s="399"/>
      <c r="AX36" s="400"/>
      <c r="AY36" s="398"/>
      <c r="AZ36" s="399"/>
      <c r="BA36" s="399"/>
      <c r="BB36" s="399"/>
      <c r="BC36" s="399"/>
      <c r="BD36" s="399"/>
      <c r="BE36" s="400"/>
      <c r="BF36" s="398"/>
      <c r="BG36" s="399"/>
      <c r="BH36" s="399"/>
      <c r="BI36" s="399"/>
      <c r="BJ36" s="399"/>
      <c r="BK36" s="399"/>
      <c r="BL36" s="400"/>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c r="CQ36" s="352"/>
      <c r="CR36" s="352"/>
      <c r="CS36" s="352"/>
      <c r="CT36" s="352"/>
      <c r="CU36" s="352"/>
      <c r="CV36" s="352"/>
      <c r="CW36" s="352"/>
      <c r="CX36" s="352"/>
      <c r="CY36" s="352"/>
      <c r="CZ36" s="352"/>
      <c r="DA36" s="352"/>
      <c r="DB36" s="352"/>
      <c r="DC36" s="352"/>
      <c r="DD36" s="352"/>
      <c r="DE36" s="7"/>
    </row>
    <row r="37" spans="1:109" ht="15" customHeight="1">
      <c r="A37" s="8"/>
      <c r="B37" s="382"/>
      <c r="C37" s="383"/>
      <c r="D37" s="383"/>
      <c r="E37" s="383"/>
      <c r="F37" s="383"/>
      <c r="G37" s="383"/>
      <c r="H37" s="384"/>
      <c r="I37" s="351"/>
      <c r="J37" s="351"/>
      <c r="K37" s="351"/>
      <c r="L37" s="351"/>
      <c r="M37" s="351"/>
      <c r="N37" s="351"/>
      <c r="O37" s="351"/>
      <c r="P37" s="457"/>
      <c r="Q37" s="457"/>
      <c r="R37" s="457"/>
      <c r="S37" s="457"/>
      <c r="T37" s="457"/>
      <c r="U37" s="457"/>
      <c r="V37" s="457"/>
      <c r="W37" s="408"/>
      <c r="X37" s="409"/>
      <c r="Y37" s="409"/>
      <c r="Z37" s="409"/>
      <c r="AA37" s="409"/>
      <c r="AB37" s="409"/>
      <c r="AC37" s="410"/>
      <c r="AD37" s="408"/>
      <c r="AE37" s="409"/>
      <c r="AF37" s="409"/>
      <c r="AG37" s="409"/>
      <c r="AH37" s="409"/>
      <c r="AI37" s="409"/>
      <c r="AJ37" s="410"/>
      <c r="AK37" s="408"/>
      <c r="AL37" s="409"/>
      <c r="AM37" s="409"/>
      <c r="AN37" s="409"/>
      <c r="AO37" s="409"/>
      <c r="AP37" s="409"/>
      <c r="AQ37" s="410"/>
      <c r="AR37" s="408"/>
      <c r="AS37" s="409"/>
      <c r="AT37" s="409"/>
      <c r="AU37" s="409"/>
      <c r="AV37" s="409"/>
      <c r="AW37" s="409"/>
      <c r="AX37" s="410"/>
      <c r="AY37" s="408"/>
      <c r="AZ37" s="409"/>
      <c r="BA37" s="409"/>
      <c r="BB37" s="409"/>
      <c r="BC37" s="409"/>
      <c r="BD37" s="409"/>
      <c r="BE37" s="410"/>
      <c r="BF37" s="408"/>
      <c r="BG37" s="409"/>
      <c r="BH37" s="409"/>
      <c r="BI37" s="409"/>
      <c r="BJ37" s="409"/>
      <c r="BK37" s="409"/>
      <c r="BL37" s="410"/>
      <c r="BM37" s="382"/>
      <c r="BN37" s="383"/>
      <c r="BO37" s="383"/>
      <c r="BP37" s="383"/>
      <c r="BQ37" s="383"/>
      <c r="BR37" s="383"/>
      <c r="BS37" s="383"/>
      <c r="BT37" s="383"/>
      <c r="BU37" s="383"/>
      <c r="BV37" s="383"/>
      <c r="BW37" s="383"/>
      <c r="BX37" s="383"/>
      <c r="BY37" s="383"/>
      <c r="BZ37" s="383"/>
      <c r="CA37" s="383"/>
      <c r="CB37" s="383"/>
      <c r="CC37" s="383"/>
      <c r="CD37" s="383"/>
      <c r="CE37" s="383"/>
      <c r="CF37" s="383"/>
      <c r="CG37" s="383"/>
      <c r="CH37" s="383"/>
      <c r="CI37" s="383"/>
      <c r="CJ37" s="383"/>
      <c r="CK37" s="383"/>
      <c r="CL37" s="384"/>
      <c r="CM37" s="351"/>
      <c r="CN37" s="351"/>
      <c r="CO37" s="351"/>
      <c r="CP37" s="351"/>
      <c r="CQ37" s="351"/>
      <c r="CR37" s="351"/>
      <c r="CS37" s="351"/>
      <c r="CT37" s="351"/>
      <c r="CU37" s="351"/>
      <c r="CV37" s="351"/>
      <c r="CW37" s="351"/>
      <c r="CX37" s="351"/>
      <c r="CY37" s="351"/>
      <c r="CZ37" s="351"/>
      <c r="DA37" s="351"/>
      <c r="DB37" s="351"/>
      <c r="DC37" s="351"/>
      <c r="DD37" s="351"/>
      <c r="DE37" s="7"/>
    </row>
    <row r="38" spans="1:109" ht="15" customHeight="1">
      <c r="A38" s="3"/>
      <c r="B38" s="385"/>
      <c r="C38" s="386"/>
      <c r="D38" s="386"/>
      <c r="E38" s="386"/>
      <c r="F38" s="386"/>
      <c r="G38" s="386"/>
      <c r="H38" s="387"/>
      <c r="I38" s="351"/>
      <c r="J38" s="351"/>
      <c r="K38" s="351"/>
      <c r="L38" s="351"/>
      <c r="M38" s="351"/>
      <c r="N38" s="351"/>
      <c r="O38" s="351"/>
      <c r="P38" s="457"/>
      <c r="Q38" s="457"/>
      <c r="R38" s="457"/>
      <c r="S38" s="457"/>
      <c r="T38" s="457"/>
      <c r="U38" s="457"/>
      <c r="V38" s="457"/>
      <c r="W38" s="411"/>
      <c r="X38" s="412"/>
      <c r="Y38" s="412"/>
      <c r="Z38" s="412"/>
      <c r="AA38" s="412"/>
      <c r="AB38" s="412"/>
      <c r="AC38" s="413"/>
      <c r="AD38" s="411"/>
      <c r="AE38" s="412"/>
      <c r="AF38" s="412"/>
      <c r="AG38" s="412"/>
      <c r="AH38" s="412"/>
      <c r="AI38" s="412"/>
      <c r="AJ38" s="413"/>
      <c r="AK38" s="411"/>
      <c r="AL38" s="412"/>
      <c r="AM38" s="412"/>
      <c r="AN38" s="412"/>
      <c r="AO38" s="412"/>
      <c r="AP38" s="412"/>
      <c r="AQ38" s="413"/>
      <c r="AR38" s="411"/>
      <c r="AS38" s="412"/>
      <c r="AT38" s="412"/>
      <c r="AU38" s="412"/>
      <c r="AV38" s="412"/>
      <c r="AW38" s="412"/>
      <c r="AX38" s="413"/>
      <c r="AY38" s="411"/>
      <c r="AZ38" s="412"/>
      <c r="BA38" s="412"/>
      <c r="BB38" s="412"/>
      <c r="BC38" s="412"/>
      <c r="BD38" s="412"/>
      <c r="BE38" s="413"/>
      <c r="BF38" s="411"/>
      <c r="BG38" s="412"/>
      <c r="BH38" s="412"/>
      <c r="BI38" s="412"/>
      <c r="BJ38" s="412"/>
      <c r="BK38" s="412"/>
      <c r="BL38" s="413"/>
      <c r="BM38" s="385"/>
      <c r="BN38" s="386"/>
      <c r="BO38" s="386"/>
      <c r="BP38" s="386"/>
      <c r="BQ38" s="386"/>
      <c r="BR38" s="386"/>
      <c r="BS38" s="386"/>
      <c r="BT38" s="386"/>
      <c r="BU38" s="386"/>
      <c r="BV38" s="386"/>
      <c r="BW38" s="386"/>
      <c r="BX38" s="386"/>
      <c r="BY38" s="386"/>
      <c r="BZ38" s="386"/>
      <c r="CA38" s="386"/>
      <c r="CB38" s="386"/>
      <c r="CC38" s="386"/>
      <c r="CD38" s="386"/>
      <c r="CE38" s="386"/>
      <c r="CF38" s="386"/>
      <c r="CG38" s="386"/>
      <c r="CH38" s="386"/>
      <c r="CI38" s="386"/>
      <c r="CJ38" s="386"/>
      <c r="CK38" s="386"/>
      <c r="CL38" s="387"/>
      <c r="CM38" s="351"/>
      <c r="CN38" s="351"/>
      <c r="CO38" s="351"/>
      <c r="CP38" s="351"/>
      <c r="CQ38" s="351"/>
      <c r="CR38" s="351"/>
      <c r="CS38" s="351"/>
      <c r="CT38" s="351"/>
      <c r="CU38" s="351"/>
      <c r="CV38" s="351"/>
      <c r="CW38" s="351"/>
      <c r="CX38" s="351"/>
      <c r="CY38" s="351"/>
      <c r="CZ38" s="351"/>
      <c r="DA38" s="351"/>
      <c r="DB38" s="351"/>
      <c r="DC38" s="351"/>
      <c r="DD38" s="351"/>
      <c r="DE38" s="7"/>
    </row>
    <row r="39" spans="1:109" ht="15" customHeight="1">
      <c r="A39" s="3"/>
      <c r="B39" s="353"/>
      <c r="C39" s="354"/>
      <c r="D39" s="354"/>
      <c r="E39" s="354"/>
      <c r="F39" s="354"/>
      <c r="G39" s="354"/>
      <c r="H39" s="355"/>
      <c r="I39" s="352"/>
      <c r="J39" s="352"/>
      <c r="K39" s="352"/>
      <c r="L39" s="352"/>
      <c r="M39" s="352"/>
      <c r="N39" s="352"/>
      <c r="O39" s="352"/>
      <c r="P39" s="458"/>
      <c r="Q39" s="458"/>
      <c r="R39" s="458"/>
      <c r="S39" s="458"/>
      <c r="T39" s="458"/>
      <c r="U39" s="458"/>
      <c r="V39" s="458"/>
      <c r="W39" s="395"/>
      <c r="X39" s="396"/>
      <c r="Y39" s="396"/>
      <c r="Z39" s="396"/>
      <c r="AA39" s="396"/>
      <c r="AB39" s="396"/>
      <c r="AC39" s="397"/>
      <c r="AD39" s="395"/>
      <c r="AE39" s="396"/>
      <c r="AF39" s="396"/>
      <c r="AG39" s="396"/>
      <c r="AH39" s="396"/>
      <c r="AI39" s="396"/>
      <c r="AJ39" s="397"/>
      <c r="AK39" s="395"/>
      <c r="AL39" s="396"/>
      <c r="AM39" s="396"/>
      <c r="AN39" s="396"/>
      <c r="AO39" s="396"/>
      <c r="AP39" s="396"/>
      <c r="AQ39" s="397"/>
      <c r="AR39" s="395"/>
      <c r="AS39" s="396"/>
      <c r="AT39" s="396"/>
      <c r="AU39" s="396"/>
      <c r="AV39" s="396"/>
      <c r="AW39" s="396"/>
      <c r="AX39" s="397"/>
      <c r="AY39" s="395"/>
      <c r="AZ39" s="396"/>
      <c r="BA39" s="396"/>
      <c r="BB39" s="396"/>
      <c r="BC39" s="396"/>
      <c r="BD39" s="396"/>
      <c r="BE39" s="397"/>
      <c r="BF39" s="395"/>
      <c r="BG39" s="396"/>
      <c r="BH39" s="396"/>
      <c r="BI39" s="396"/>
      <c r="BJ39" s="396"/>
      <c r="BK39" s="396"/>
      <c r="BL39" s="397"/>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c r="CQ39" s="352"/>
      <c r="CR39" s="352"/>
      <c r="CS39" s="352"/>
      <c r="CT39" s="352"/>
      <c r="CU39" s="352"/>
      <c r="CV39" s="352"/>
      <c r="CW39" s="352"/>
      <c r="CX39" s="352"/>
      <c r="CY39" s="352"/>
      <c r="CZ39" s="352"/>
      <c r="DA39" s="352"/>
      <c r="DB39" s="352"/>
      <c r="DC39" s="352"/>
      <c r="DD39" s="352"/>
      <c r="DE39" s="7"/>
    </row>
    <row r="40" spans="1:109" ht="15" customHeight="1">
      <c r="A40" s="6"/>
      <c r="B40" s="356"/>
      <c r="C40" s="357"/>
      <c r="D40" s="357"/>
      <c r="E40" s="357"/>
      <c r="F40" s="357"/>
      <c r="G40" s="357"/>
      <c r="H40" s="358"/>
      <c r="I40" s="352"/>
      <c r="J40" s="352"/>
      <c r="K40" s="352"/>
      <c r="L40" s="352"/>
      <c r="M40" s="352"/>
      <c r="N40" s="352"/>
      <c r="O40" s="352"/>
      <c r="P40" s="458"/>
      <c r="Q40" s="458"/>
      <c r="R40" s="458"/>
      <c r="S40" s="458"/>
      <c r="T40" s="458"/>
      <c r="U40" s="458"/>
      <c r="V40" s="458"/>
      <c r="W40" s="398"/>
      <c r="X40" s="399"/>
      <c r="Y40" s="399"/>
      <c r="Z40" s="399"/>
      <c r="AA40" s="399"/>
      <c r="AB40" s="399"/>
      <c r="AC40" s="400"/>
      <c r="AD40" s="398"/>
      <c r="AE40" s="399"/>
      <c r="AF40" s="399"/>
      <c r="AG40" s="399"/>
      <c r="AH40" s="399"/>
      <c r="AI40" s="399"/>
      <c r="AJ40" s="400"/>
      <c r="AK40" s="398"/>
      <c r="AL40" s="399"/>
      <c r="AM40" s="399"/>
      <c r="AN40" s="399"/>
      <c r="AO40" s="399"/>
      <c r="AP40" s="399"/>
      <c r="AQ40" s="400"/>
      <c r="AR40" s="398"/>
      <c r="AS40" s="399"/>
      <c r="AT40" s="399"/>
      <c r="AU40" s="399"/>
      <c r="AV40" s="399"/>
      <c r="AW40" s="399"/>
      <c r="AX40" s="400"/>
      <c r="AY40" s="398"/>
      <c r="AZ40" s="399"/>
      <c r="BA40" s="399"/>
      <c r="BB40" s="399"/>
      <c r="BC40" s="399"/>
      <c r="BD40" s="399"/>
      <c r="BE40" s="400"/>
      <c r="BF40" s="398"/>
      <c r="BG40" s="399"/>
      <c r="BH40" s="399"/>
      <c r="BI40" s="399"/>
      <c r="BJ40" s="399"/>
      <c r="BK40" s="399"/>
      <c r="BL40" s="400"/>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c r="CQ40" s="352"/>
      <c r="CR40" s="352"/>
      <c r="CS40" s="352"/>
      <c r="CT40" s="352"/>
      <c r="CU40" s="352"/>
      <c r="CV40" s="352"/>
      <c r="CW40" s="352"/>
      <c r="CX40" s="352"/>
      <c r="CY40" s="352"/>
      <c r="CZ40" s="352"/>
      <c r="DA40" s="352"/>
      <c r="DB40" s="352"/>
      <c r="DC40" s="352"/>
      <c r="DD40" s="352"/>
      <c r="DE40" s="7"/>
    </row>
    <row r="41" spans="1:109" ht="15" customHeight="1">
      <c r="A41" s="8"/>
      <c r="B41" s="382"/>
      <c r="C41" s="383"/>
      <c r="D41" s="383"/>
      <c r="E41" s="383"/>
      <c r="F41" s="383"/>
      <c r="G41" s="383"/>
      <c r="H41" s="384"/>
      <c r="I41" s="351"/>
      <c r="J41" s="351"/>
      <c r="K41" s="351"/>
      <c r="L41" s="351"/>
      <c r="M41" s="351"/>
      <c r="N41" s="351"/>
      <c r="O41" s="351"/>
      <c r="P41" s="457"/>
      <c r="Q41" s="457"/>
      <c r="R41" s="457"/>
      <c r="S41" s="457"/>
      <c r="T41" s="457"/>
      <c r="U41" s="457"/>
      <c r="V41" s="457"/>
      <c r="W41" s="408"/>
      <c r="X41" s="409"/>
      <c r="Y41" s="409"/>
      <c r="Z41" s="409"/>
      <c r="AA41" s="409"/>
      <c r="AB41" s="409"/>
      <c r="AC41" s="410"/>
      <c r="AD41" s="408"/>
      <c r="AE41" s="409"/>
      <c r="AF41" s="409"/>
      <c r="AG41" s="409"/>
      <c r="AH41" s="409"/>
      <c r="AI41" s="409"/>
      <c r="AJ41" s="410"/>
      <c r="AK41" s="408"/>
      <c r="AL41" s="409"/>
      <c r="AM41" s="409"/>
      <c r="AN41" s="409"/>
      <c r="AO41" s="409"/>
      <c r="AP41" s="409"/>
      <c r="AQ41" s="410"/>
      <c r="AR41" s="408"/>
      <c r="AS41" s="409"/>
      <c r="AT41" s="409"/>
      <c r="AU41" s="409"/>
      <c r="AV41" s="409"/>
      <c r="AW41" s="409"/>
      <c r="AX41" s="410"/>
      <c r="AY41" s="408"/>
      <c r="AZ41" s="409"/>
      <c r="BA41" s="409"/>
      <c r="BB41" s="409"/>
      <c r="BC41" s="409"/>
      <c r="BD41" s="409"/>
      <c r="BE41" s="410"/>
      <c r="BF41" s="408"/>
      <c r="BG41" s="409"/>
      <c r="BH41" s="409"/>
      <c r="BI41" s="409"/>
      <c r="BJ41" s="409"/>
      <c r="BK41" s="409"/>
      <c r="BL41" s="410"/>
      <c r="BM41" s="351"/>
      <c r="BN41" s="351"/>
      <c r="BO41" s="351"/>
      <c r="BP41" s="351"/>
      <c r="BQ41" s="351"/>
      <c r="BR41" s="351"/>
      <c r="BS41" s="351"/>
      <c r="BT41" s="351"/>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1"/>
      <c r="CU41" s="351"/>
      <c r="CV41" s="351"/>
      <c r="CW41" s="351"/>
      <c r="CX41" s="351"/>
      <c r="CY41" s="351"/>
      <c r="CZ41" s="351"/>
      <c r="DA41" s="351"/>
      <c r="DB41" s="351"/>
      <c r="DC41" s="351"/>
      <c r="DD41" s="351"/>
      <c r="DE41" s="7"/>
    </row>
    <row r="42" spans="1:109" ht="15" customHeight="1">
      <c r="A42" s="3"/>
      <c r="B42" s="385"/>
      <c r="C42" s="386"/>
      <c r="D42" s="386"/>
      <c r="E42" s="386"/>
      <c r="F42" s="386"/>
      <c r="G42" s="386"/>
      <c r="H42" s="387"/>
      <c r="I42" s="351"/>
      <c r="J42" s="351"/>
      <c r="K42" s="351"/>
      <c r="L42" s="351"/>
      <c r="M42" s="351"/>
      <c r="N42" s="351"/>
      <c r="O42" s="351"/>
      <c r="P42" s="457"/>
      <c r="Q42" s="457"/>
      <c r="R42" s="457"/>
      <c r="S42" s="457"/>
      <c r="T42" s="457"/>
      <c r="U42" s="457"/>
      <c r="V42" s="457"/>
      <c r="W42" s="411"/>
      <c r="X42" s="412"/>
      <c r="Y42" s="412"/>
      <c r="Z42" s="412"/>
      <c r="AA42" s="412"/>
      <c r="AB42" s="412"/>
      <c r="AC42" s="413"/>
      <c r="AD42" s="411"/>
      <c r="AE42" s="412"/>
      <c r="AF42" s="412"/>
      <c r="AG42" s="412"/>
      <c r="AH42" s="412"/>
      <c r="AI42" s="412"/>
      <c r="AJ42" s="413"/>
      <c r="AK42" s="411"/>
      <c r="AL42" s="412"/>
      <c r="AM42" s="412"/>
      <c r="AN42" s="412"/>
      <c r="AO42" s="412"/>
      <c r="AP42" s="412"/>
      <c r="AQ42" s="413"/>
      <c r="AR42" s="411"/>
      <c r="AS42" s="412"/>
      <c r="AT42" s="412"/>
      <c r="AU42" s="412"/>
      <c r="AV42" s="412"/>
      <c r="AW42" s="412"/>
      <c r="AX42" s="413"/>
      <c r="AY42" s="411"/>
      <c r="AZ42" s="412"/>
      <c r="BA42" s="412"/>
      <c r="BB42" s="412"/>
      <c r="BC42" s="412"/>
      <c r="BD42" s="412"/>
      <c r="BE42" s="413"/>
      <c r="BF42" s="411"/>
      <c r="BG42" s="412"/>
      <c r="BH42" s="412"/>
      <c r="BI42" s="412"/>
      <c r="BJ42" s="412"/>
      <c r="BK42" s="412"/>
      <c r="BL42" s="413"/>
      <c r="BM42" s="351"/>
      <c r="BN42" s="351"/>
      <c r="BO42" s="351"/>
      <c r="BP42" s="351"/>
      <c r="BQ42" s="351"/>
      <c r="BR42" s="351"/>
      <c r="BS42" s="351"/>
      <c r="BT42" s="351"/>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1"/>
      <c r="CU42" s="351"/>
      <c r="CV42" s="351"/>
      <c r="CW42" s="351"/>
      <c r="CX42" s="351"/>
      <c r="CY42" s="351"/>
      <c r="CZ42" s="351"/>
      <c r="DA42" s="351"/>
      <c r="DB42" s="351"/>
      <c r="DC42" s="351"/>
      <c r="DD42" s="351"/>
      <c r="DE42" s="7"/>
    </row>
    <row r="43" spans="1:109" ht="15" customHeight="1">
      <c r="A43" s="3"/>
      <c r="B43" s="353"/>
      <c r="C43" s="354"/>
      <c r="D43" s="354"/>
      <c r="E43" s="354"/>
      <c r="F43" s="354"/>
      <c r="G43" s="354"/>
      <c r="H43" s="355"/>
      <c r="I43" s="352"/>
      <c r="J43" s="352"/>
      <c r="K43" s="352"/>
      <c r="L43" s="352"/>
      <c r="M43" s="352"/>
      <c r="N43" s="352"/>
      <c r="O43" s="352"/>
      <c r="P43" s="458"/>
      <c r="Q43" s="458"/>
      <c r="R43" s="458"/>
      <c r="S43" s="458"/>
      <c r="T43" s="458"/>
      <c r="U43" s="458"/>
      <c r="V43" s="458"/>
      <c r="W43" s="395"/>
      <c r="X43" s="396"/>
      <c r="Y43" s="396"/>
      <c r="Z43" s="396"/>
      <c r="AA43" s="396"/>
      <c r="AB43" s="396"/>
      <c r="AC43" s="397"/>
      <c r="AD43" s="395"/>
      <c r="AE43" s="396"/>
      <c r="AF43" s="396"/>
      <c r="AG43" s="396"/>
      <c r="AH43" s="396"/>
      <c r="AI43" s="396"/>
      <c r="AJ43" s="397"/>
      <c r="AK43" s="395"/>
      <c r="AL43" s="396"/>
      <c r="AM43" s="396"/>
      <c r="AN43" s="396"/>
      <c r="AO43" s="396"/>
      <c r="AP43" s="396"/>
      <c r="AQ43" s="397"/>
      <c r="AR43" s="395"/>
      <c r="AS43" s="396"/>
      <c r="AT43" s="396"/>
      <c r="AU43" s="396"/>
      <c r="AV43" s="396"/>
      <c r="AW43" s="396"/>
      <c r="AX43" s="397"/>
      <c r="AY43" s="395"/>
      <c r="AZ43" s="396"/>
      <c r="BA43" s="396"/>
      <c r="BB43" s="396"/>
      <c r="BC43" s="396"/>
      <c r="BD43" s="396"/>
      <c r="BE43" s="397"/>
      <c r="BF43" s="395"/>
      <c r="BG43" s="396"/>
      <c r="BH43" s="396"/>
      <c r="BI43" s="396"/>
      <c r="BJ43" s="396"/>
      <c r="BK43" s="396"/>
      <c r="BL43" s="397"/>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c r="CQ43" s="352"/>
      <c r="CR43" s="352"/>
      <c r="CS43" s="352"/>
      <c r="CT43" s="352"/>
      <c r="CU43" s="352"/>
      <c r="CV43" s="352"/>
      <c r="CW43" s="352"/>
      <c r="CX43" s="352"/>
      <c r="CY43" s="352"/>
      <c r="CZ43" s="352"/>
      <c r="DA43" s="352"/>
      <c r="DB43" s="352"/>
      <c r="DC43" s="352"/>
      <c r="DD43" s="352"/>
      <c r="DE43" s="7"/>
    </row>
    <row r="44" spans="1:109" ht="15" customHeight="1">
      <c r="A44" s="3"/>
      <c r="B44" s="356"/>
      <c r="C44" s="357"/>
      <c r="D44" s="357"/>
      <c r="E44" s="357"/>
      <c r="F44" s="357"/>
      <c r="G44" s="357"/>
      <c r="H44" s="358"/>
      <c r="I44" s="352"/>
      <c r="J44" s="352"/>
      <c r="K44" s="352"/>
      <c r="L44" s="352"/>
      <c r="M44" s="352"/>
      <c r="N44" s="352"/>
      <c r="O44" s="352"/>
      <c r="P44" s="458"/>
      <c r="Q44" s="458"/>
      <c r="R44" s="458"/>
      <c r="S44" s="458"/>
      <c r="T44" s="458"/>
      <c r="U44" s="458"/>
      <c r="V44" s="458"/>
      <c r="W44" s="398"/>
      <c r="X44" s="399"/>
      <c r="Y44" s="399"/>
      <c r="Z44" s="399"/>
      <c r="AA44" s="399"/>
      <c r="AB44" s="399"/>
      <c r="AC44" s="400"/>
      <c r="AD44" s="398"/>
      <c r="AE44" s="399"/>
      <c r="AF44" s="399"/>
      <c r="AG44" s="399"/>
      <c r="AH44" s="399"/>
      <c r="AI44" s="399"/>
      <c r="AJ44" s="400"/>
      <c r="AK44" s="398"/>
      <c r="AL44" s="399"/>
      <c r="AM44" s="399"/>
      <c r="AN44" s="399"/>
      <c r="AO44" s="399"/>
      <c r="AP44" s="399"/>
      <c r="AQ44" s="400"/>
      <c r="AR44" s="398"/>
      <c r="AS44" s="399"/>
      <c r="AT44" s="399"/>
      <c r="AU44" s="399"/>
      <c r="AV44" s="399"/>
      <c r="AW44" s="399"/>
      <c r="AX44" s="400"/>
      <c r="AY44" s="398"/>
      <c r="AZ44" s="399"/>
      <c r="BA44" s="399"/>
      <c r="BB44" s="399"/>
      <c r="BC44" s="399"/>
      <c r="BD44" s="399"/>
      <c r="BE44" s="400"/>
      <c r="BF44" s="398"/>
      <c r="BG44" s="399"/>
      <c r="BH44" s="399"/>
      <c r="BI44" s="399"/>
      <c r="BJ44" s="399"/>
      <c r="BK44" s="399"/>
      <c r="BL44" s="400"/>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c r="CQ44" s="352"/>
      <c r="CR44" s="352"/>
      <c r="CS44" s="352"/>
      <c r="CT44" s="352"/>
      <c r="CU44" s="352"/>
      <c r="CV44" s="352"/>
      <c r="CW44" s="352"/>
      <c r="CX44" s="352"/>
      <c r="CY44" s="352"/>
      <c r="CZ44" s="352"/>
      <c r="DA44" s="352"/>
      <c r="DB44" s="352"/>
      <c r="DC44" s="352"/>
      <c r="DD44" s="352"/>
      <c r="DE44" s="7"/>
    </row>
    <row r="45" spans="1:109" ht="15" customHeight="1">
      <c r="A45" s="6"/>
      <c r="B45" s="382"/>
      <c r="C45" s="383"/>
      <c r="D45" s="383"/>
      <c r="E45" s="383"/>
      <c r="F45" s="383"/>
      <c r="G45" s="383"/>
      <c r="H45" s="384"/>
      <c r="I45" s="351"/>
      <c r="J45" s="351"/>
      <c r="K45" s="351"/>
      <c r="L45" s="351"/>
      <c r="M45" s="351"/>
      <c r="N45" s="351"/>
      <c r="O45" s="351"/>
      <c r="P45" s="457"/>
      <c r="Q45" s="457"/>
      <c r="R45" s="457"/>
      <c r="S45" s="457"/>
      <c r="T45" s="457"/>
      <c r="U45" s="457"/>
      <c r="V45" s="457"/>
      <c r="W45" s="408"/>
      <c r="X45" s="409"/>
      <c r="Y45" s="409"/>
      <c r="Z45" s="409"/>
      <c r="AA45" s="409"/>
      <c r="AB45" s="409"/>
      <c r="AC45" s="410"/>
      <c r="AD45" s="408"/>
      <c r="AE45" s="409"/>
      <c r="AF45" s="409"/>
      <c r="AG45" s="409"/>
      <c r="AH45" s="409"/>
      <c r="AI45" s="409"/>
      <c r="AJ45" s="410"/>
      <c r="AK45" s="408"/>
      <c r="AL45" s="409"/>
      <c r="AM45" s="409"/>
      <c r="AN45" s="409"/>
      <c r="AO45" s="409"/>
      <c r="AP45" s="409"/>
      <c r="AQ45" s="410"/>
      <c r="AR45" s="408"/>
      <c r="AS45" s="409"/>
      <c r="AT45" s="409"/>
      <c r="AU45" s="409"/>
      <c r="AV45" s="409"/>
      <c r="AW45" s="409"/>
      <c r="AX45" s="410"/>
      <c r="AY45" s="408"/>
      <c r="AZ45" s="409"/>
      <c r="BA45" s="409"/>
      <c r="BB45" s="409"/>
      <c r="BC45" s="409"/>
      <c r="BD45" s="409"/>
      <c r="BE45" s="410"/>
      <c r="BF45" s="408"/>
      <c r="BG45" s="409"/>
      <c r="BH45" s="409"/>
      <c r="BI45" s="409"/>
      <c r="BJ45" s="409"/>
      <c r="BK45" s="409"/>
      <c r="BL45" s="410"/>
      <c r="BM45" s="351"/>
      <c r="BN45" s="351"/>
      <c r="BO45" s="351"/>
      <c r="BP45" s="351"/>
      <c r="BQ45" s="351"/>
      <c r="BR45" s="351"/>
      <c r="BS45" s="351"/>
      <c r="BT45" s="351"/>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1"/>
      <c r="CU45" s="351"/>
      <c r="CV45" s="351"/>
      <c r="CW45" s="351"/>
      <c r="CX45" s="351"/>
      <c r="CY45" s="351"/>
      <c r="CZ45" s="351"/>
      <c r="DA45" s="351"/>
      <c r="DB45" s="351"/>
      <c r="DC45" s="351"/>
      <c r="DD45" s="351"/>
      <c r="DE45" s="7"/>
    </row>
    <row r="46" spans="1:109" ht="15" customHeight="1">
      <c r="A46" s="8"/>
      <c r="B46" s="385"/>
      <c r="C46" s="386"/>
      <c r="D46" s="386"/>
      <c r="E46" s="386"/>
      <c r="F46" s="386"/>
      <c r="G46" s="386"/>
      <c r="H46" s="387"/>
      <c r="I46" s="351"/>
      <c r="J46" s="351"/>
      <c r="K46" s="351"/>
      <c r="L46" s="351"/>
      <c r="M46" s="351"/>
      <c r="N46" s="351"/>
      <c r="O46" s="351"/>
      <c r="P46" s="457"/>
      <c r="Q46" s="457"/>
      <c r="R46" s="457"/>
      <c r="S46" s="457"/>
      <c r="T46" s="457"/>
      <c r="U46" s="457"/>
      <c r="V46" s="457"/>
      <c r="W46" s="411"/>
      <c r="X46" s="412"/>
      <c r="Y46" s="412"/>
      <c r="Z46" s="412"/>
      <c r="AA46" s="412"/>
      <c r="AB46" s="412"/>
      <c r="AC46" s="413"/>
      <c r="AD46" s="411"/>
      <c r="AE46" s="412"/>
      <c r="AF46" s="412"/>
      <c r="AG46" s="412"/>
      <c r="AH46" s="412"/>
      <c r="AI46" s="412"/>
      <c r="AJ46" s="413"/>
      <c r="AK46" s="411"/>
      <c r="AL46" s="412"/>
      <c r="AM46" s="412"/>
      <c r="AN46" s="412"/>
      <c r="AO46" s="412"/>
      <c r="AP46" s="412"/>
      <c r="AQ46" s="413"/>
      <c r="AR46" s="411"/>
      <c r="AS46" s="412"/>
      <c r="AT46" s="412"/>
      <c r="AU46" s="412"/>
      <c r="AV46" s="412"/>
      <c r="AW46" s="412"/>
      <c r="AX46" s="413"/>
      <c r="AY46" s="411"/>
      <c r="AZ46" s="412"/>
      <c r="BA46" s="412"/>
      <c r="BB46" s="412"/>
      <c r="BC46" s="412"/>
      <c r="BD46" s="412"/>
      <c r="BE46" s="413"/>
      <c r="BF46" s="411"/>
      <c r="BG46" s="412"/>
      <c r="BH46" s="412"/>
      <c r="BI46" s="412"/>
      <c r="BJ46" s="412"/>
      <c r="BK46" s="412"/>
      <c r="BL46" s="413"/>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7"/>
    </row>
    <row r="47" spans="1:109" ht="15" customHeight="1">
      <c r="A47" s="8"/>
      <c r="B47" s="353"/>
      <c r="C47" s="354"/>
      <c r="D47" s="354"/>
      <c r="E47" s="354"/>
      <c r="F47" s="354"/>
      <c r="G47" s="354"/>
      <c r="H47" s="355"/>
      <c r="I47" s="352"/>
      <c r="J47" s="352"/>
      <c r="K47" s="352"/>
      <c r="L47" s="352"/>
      <c r="M47" s="352"/>
      <c r="N47" s="352"/>
      <c r="O47" s="352"/>
      <c r="P47" s="458"/>
      <c r="Q47" s="458"/>
      <c r="R47" s="458"/>
      <c r="S47" s="458"/>
      <c r="T47" s="458"/>
      <c r="U47" s="458"/>
      <c r="V47" s="458"/>
      <c r="W47" s="395"/>
      <c r="X47" s="396"/>
      <c r="Y47" s="396"/>
      <c r="Z47" s="396"/>
      <c r="AA47" s="396"/>
      <c r="AB47" s="396"/>
      <c r="AC47" s="397"/>
      <c r="AD47" s="395"/>
      <c r="AE47" s="396"/>
      <c r="AF47" s="396"/>
      <c r="AG47" s="396"/>
      <c r="AH47" s="396"/>
      <c r="AI47" s="396"/>
      <c r="AJ47" s="397"/>
      <c r="AK47" s="395"/>
      <c r="AL47" s="396"/>
      <c r="AM47" s="396"/>
      <c r="AN47" s="396"/>
      <c r="AO47" s="396"/>
      <c r="AP47" s="396"/>
      <c r="AQ47" s="397"/>
      <c r="AR47" s="395"/>
      <c r="AS47" s="396"/>
      <c r="AT47" s="396"/>
      <c r="AU47" s="396"/>
      <c r="AV47" s="396"/>
      <c r="AW47" s="396"/>
      <c r="AX47" s="397"/>
      <c r="AY47" s="395"/>
      <c r="AZ47" s="396"/>
      <c r="BA47" s="396"/>
      <c r="BB47" s="396"/>
      <c r="BC47" s="396"/>
      <c r="BD47" s="396"/>
      <c r="BE47" s="397"/>
      <c r="BF47" s="395"/>
      <c r="BG47" s="396"/>
      <c r="BH47" s="396"/>
      <c r="BI47" s="396"/>
      <c r="BJ47" s="396"/>
      <c r="BK47" s="396"/>
      <c r="BL47" s="397"/>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c r="CQ47" s="352"/>
      <c r="CR47" s="352"/>
      <c r="CS47" s="352"/>
      <c r="CT47" s="352"/>
      <c r="CU47" s="352"/>
      <c r="CV47" s="352"/>
      <c r="CW47" s="352"/>
      <c r="CX47" s="352"/>
      <c r="CY47" s="352"/>
      <c r="CZ47" s="352"/>
      <c r="DA47" s="352"/>
      <c r="DB47" s="352"/>
      <c r="DC47" s="352"/>
      <c r="DD47" s="352"/>
      <c r="DE47" s="7"/>
    </row>
    <row r="48" spans="1:109" ht="15" customHeight="1">
      <c r="A48" s="8"/>
      <c r="B48" s="356"/>
      <c r="C48" s="357"/>
      <c r="D48" s="357"/>
      <c r="E48" s="357"/>
      <c r="F48" s="357"/>
      <c r="G48" s="357"/>
      <c r="H48" s="358"/>
      <c r="I48" s="352"/>
      <c r="J48" s="352"/>
      <c r="K48" s="352"/>
      <c r="L48" s="352"/>
      <c r="M48" s="352"/>
      <c r="N48" s="352"/>
      <c r="O48" s="352"/>
      <c r="P48" s="458"/>
      <c r="Q48" s="458"/>
      <c r="R48" s="458"/>
      <c r="S48" s="458"/>
      <c r="T48" s="458"/>
      <c r="U48" s="458"/>
      <c r="V48" s="458"/>
      <c r="W48" s="398"/>
      <c r="X48" s="399"/>
      <c r="Y48" s="399"/>
      <c r="Z48" s="399"/>
      <c r="AA48" s="399"/>
      <c r="AB48" s="399"/>
      <c r="AC48" s="400"/>
      <c r="AD48" s="398"/>
      <c r="AE48" s="399"/>
      <c r="AF48" s="399"/>
      <c r="AG48" s="399"/>
      <c r="AH48" s="399"/>
      <c r="AI48" s="399"/>
      <c r="AJ48" s="400"/>
      <c r="AK48" s="398"/>
      <c r="AL48" s="399"/>
      <c r="AM48" s="399"/>
      <c r="AN48" s="399"/>
      <c r="AO48" s="399"/>
      <c r="AP48" s="399"/>
      <c r="AQ48" s="400"/>
      <c r="AR48" s="398"/>
      <c r="AS48" s="399"/>
      <c r="AT48" s="399"/>
      <c r="AU48" s="399"/>
      <c r="AV48" s="399"/>
      <c r="AW48" s="399"/>
      <c r="AX48" s="400"/>
      <c r="AY48" s="398"/>
      <c r="AZ48" s="399"/>
      <c r="BA48" s="399"/>
      <c r="BB48" s="399"/>
      <c r="BC48" s="399"/>
      <c r="BD48" s="399"/>
      <c r="BE48" s="400"/>
      <c r="BF48" s="398"/>
      <c r="BG48" s="399"/>
      <c r="BH48" s="399"/>
      <c r="BI48" s="399"/>
      <c r="BJ48" s="399"/>
      <c r="BK48" s="399"/>
      <c r="BL48" s="400"/>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c r="CQ48" s="352"/>
      <c r="CR48" s="352"/>
      <c r="CS48" s="352"/>
      <c r="CT48" s="352"/>
      <c r="CU48" s="352"/>
      <c r="CV48" s="352"/>
      <c r="CW48" s="352"/>
      <c r="CX48" s="352"/>
      <c r="CY48" s="352"/>
      <c r="CZ48" s="352"/>
      <c r="DA48" s="352"/>
      <c r="DB48" s="352"/>
      <c r="DC48" s="352"/>
      <c r="DD48" s="352"/>
      <c r="DE48" s="7"/>
    </row>
    <row r="49" spans="1:133" ht="15" customHeight="1">
      <c r="A49" s="3"/>
      <c r="B49" s="382"/>
      <c r="C49" s="383"/>
      <c r="D49" s="383"/>
      <c r="E49" s="383"/>
      <c r="F49" s="383"/>
      <c r="G49" s="383"/>
      <c r="H49" s="384"/>
      <c r="I49" s="351"/>
      <c r="J49" s="351"/>
      <c r="K49" s="351"/>
      <c r="L49" s="351"/>
      <c r="M49" s="351"/>
      <c r="N49" s="351"/>
      <c r="O49" s="351"/>
      <c r="P49" s="457"/>
      <c r="Q49" s="457"/>
      <c r="R49" s="457"/>
      <c r="S49" s="457"/>
      <c r="T49" s="457"/>
      <c r="U49" s="457"/>
      <c r="V49" s="457"/>
      <c r="W49" s="408"/>
      <c r="X49" s="409"/>
      <c r="Y49" s="409"/>
      <c r="Z49" s="409"/>
      <c r="AA49" s="409"/>
      <c r="AB49" s="409"/>
      <c r="AC49" s="410"/>
      <c r="AD49" s="408"/>
      <c r="AE49" s="409"/>
      <c r="AF49" s="409"/>
      <c r="AG49" s="409"/>
      <c r="AH49" s="409"/>
      <c r="AI49" s="409"/>
      <c r="AJ49" s="410"/>
      <c r="AK49" s="408"/>
      <c r="AL49" s="409"/>
      <c r="AM49" s="409"/>
      <c r="AN49" s="409"/>
      <c r="AO49" s="409"/>
      <c r="AP49" s="409"/>
      <c r="AQ49" s="410"/>
      <c r="AR49" s="408"/>
      <c r="AS49" s="409"/>
      <c r="AT49" s="409"/>
      <c r="AU49" s="409"/>
      <c r="AV49" s="409"/>
      <c r="AW49" s="409"/>
      <c r="AX49" s="410"/>
      <c r="AY49" s="408"/>
      <c r="AZ49" s="409"/>
      <c r="BA49" s="409"/>
      <c r="BB49" s="409"/>
      <c r="BC49" s="409"/>
      <c r="BD49" s="409"/>
      <c r="BE49" s="410"/>
      <c r="BF49" s="408"/>
      <c r="BG49" s="409"/>
      <c r="BH49" s="409"/>
      <c r="BI49" s="409"/>
      <c r="BJ49" s="409"/>
      <c r="BK49" s="409"/>
      <c r="BL49" s="410"/>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7"/>
    </row>
    <row r="50" spans="1:133" ht="15" customHeight="1">
      <c r="A50" s="3"/>
      <c r="B50" s="385"/>
      <c r="C50" s="386"/>
      <c r="D50" s="386"/>
      <c r="E50" s="386"/>
      <c r="F50" s="386"/>
      <c r="G50" s="386"/>
      <c r="H50" s="387"/>
      <c r="I50" s="351"/>
      <c r="J50" s="351"/>
      <c r="K50" s="351"/>
      <c r="L50" s="351"/>
      <c r="M50" s="351"/>
      <c r="N50" s="351"/>
      <c r="O50" s="351"/>
      <c r="P50" s="457"/>
      <c r="Q50" s="457"/>
      <c r="R50" s="457"/>
      <c r="S50" s="457"/>
      <c r="T50" s="457"/>
      <c r="U50" s="457"/>
      <c r="V50" s="457"/>
      <c r="W50" s="411"/>
      <c r="X50" s="412"/>
      <c r="Y50" s="412"/>
      <c r="Z50" s="412"/>
      <c r="AA50" s="412"/>
      <c r="AB50" s="412"/>
      <c r="AC50" s="413"/>
      <c r="AD50" s="411"/>
      <c r="AE50" s="412"/>
      <c r="AF50" s="412"/>
      <c r="AG50" s="412"/>
      <c r="AH50" s="412"/>
      <c r="AI50" s="412"/>
      <c r="AJ50" s="413"/>
      <c r="AK50" s="411"/>
      <c r="AL50" s="412"/>
      <c r="AM50" s="412"/>
      <c r="AN50" s="412"/>
      <c r="AO50" s="412"/>
      <c r="AP50" s="412"/>
      <c r="AQ50" s="413"/>
      <c r="AR50" s="411"/>
      <c r="AS50" s="412"/>
      <c r="AT50" s="412"/>
      <c r="AU50" s="412"/>
      <c r="AV50" s="412"/>
      <c r="AW50" s="412"/>
      <c r="AX50" s="413"/>
      <c r="AY50" s="411"/>
      <c r="AZ50" s="412"/>
      <c r="BA50" s="412"/>
      <c r="BB50" s="412"/>
      <c r="BC50" s="412"/>
      <c r="BD50" s="412"/>
      <c r="BE50" s="413"/>
      <c r="BF50" s="411"/>
      <c r="BG50" s="412"/>
      <c r="BH50" s="412"/>
      <c r="BI50" s="412"/>
      <c r="BJ50" s="412"/>
      <c r="BK50" s="412"/>
      <c r="BL50" s="413"/>
      <c r="BM50" s="351"/>
      <c r="BN50" s="351"/>
      <c r="BO50" s="351"/>
      <c r="BP50" s="351"/>
      <c r="BQ50" s="351"/>
      <c r="BR50" s="351"/>
      <c r="BS50" s="351"/>
      <c r="BT50" s="351"/>
      <c r="BU50" s="351"/>
      <c r="BV50" s="351"/>
      <c r="BW50" s="351"/>
      <c r="BX50" s="351"/>
      <c r="BY50" s="351"/>
      <c r="BZ50" s="351"/>
      <c r="CA50" s="351"/>
      <c r="CB50" s="351"/>
      <c r="CC50" s="351"/>
      <c r="CD50" s="351"/>
      <c r="CE50" s="351"/>
      <c r="CF50" s="351"/>
      <c r="CG50" s="351"/>
      <c r="CH50" s="351"/>
      <c r="CI50" s="351"/>
      <c r="CJ50" s="351"/>
      <c r="CK50" s="351"/>
      <c r="CL50" s="351"/>
      <c r="CM50" s="351"/>
      <c r="CN50" s="351"/>
      <c r="CO50" s="351"/>
      <c r="CP50" s="351"/>
      <c r="CQ50" s="351"/>
      <c r="CR50" s="351"/>
      <c r="CS50" s="351"/>
      <c r="CT50" s="351"/>
      <c r="CU50" s="351"/>
      <c r="CV50" s="351"/>
      <c r="CW50" s="351"/>
      <c r="CX50" s="351"/>
      <c r="CY50" s="351"/>
      <c r="CZ50" s="351"/>
      <c r="DA50" s="351"/>
      <c r="DB50" s="351"/>
      <c r="DC50" s="351"/>
      <c r="DD50" s="351"/>
      <c r="DE50" s="7"/>
    </row>
    <row r="51" spans="1:133" ht="15" customHeight="1">
      <c r="A51" s="3"/>
      <c r="B51" s="353"/>
      <c r="C51" s="354"/>
      <c r="D51" s="354"/>
      <c r="E51" s="354"/>
      <c r="F51" s="354"/>
      <c r="G51" s="354"/>
      <c r="H51" s="355"/>
      <c r="I51" s="352"/>
      <c r="J51" s="352"/>
      <c r="K51" s="352"/>
      <c r="L51" s="352"/>
      <c r="M51" s="352"/>
      <c r="N51" s="352"/>
      <c r="O51" s="352"/>
      <c r="P51" s="458"/>
      <c r="Q51" s="458"/>
      <c r="R51" s="458"/>
      <c r="S51" s="458"/>
      <c r="T51" s="458"/>
      <c r="U51" s="458"/>
      <c r="V51" s="458"/>
      <c r="W51" s="395"/>
      <c r="X51" s="396"/>
      <c r="Y51" s="396"/>
      <c r="Z51" s="396"/>
      <c r="AA51" s="396"/>
      <c r="AB51" s="396"/>
      <c r="AC51" s="397"/>
      <c r="AD51" s="395"/>
      <c r="AE51" s="396"/>
      <c r="AF51" s="396"/>
      <c r="AG51" s="396"/>
      <c r="AH51" s="396"/>
      <c r="AI51" s="396"/>
      <c r="AJ51" s="397"/>
      <c r="AK51" s="395"/>
      <c r="AL51" s="396"/>
      <c r="AM51" s="396"/>
      <c r="AN51" s="396"/>
      <c r="AO51" s="396"/>
      <c r="AP51" s="396"/>
      <c r="AQ51" s="397"/>
      <c r="AR51" s="395"/>
      <c r="AS51" s="396"/>
      <c r="AT51" s="396"/>
      <c r="AU51" s="396"/>
      <c r="AV51" s="396"/>
      <c r="AW51" s="396"/>
      <c r="AX51" s="397"/>
      <c r="AY51" s="395"/>
      <c r="AZ51" s="396"/>
      <c r="BA51" s="396"/>
      <c r="BB51" s="396"/>
      <c r="BC51" s="396"/>
      <c r="BD51" s="396"/>
      <c r="BE51" s="397"/>
      <c r="BF51" s="395"/>
      <c r="BG51" s="396"/>
      <c r="BH51" s="396"/>
      <c r="BI51" s="396"/>
      <c r="BJ51" s="396"/>
      <c r="BK51" s="396"/>
      <c r="BL51" s="397"/>
      <c r="BM51" s="352"/>
      <c r="BN51" s="352"/>
      <c r="BO51" s="352"/>
      <c r="BP51" s="352"/>
      <c r="BQ51" s="352"/>
      <c r="BR51" s="352"/>
      <c r="BS51" s="352"/>
      <c r="BT51" s="352"/>
      <c r="BU51" s="352"/>
      <c r="BV51" s="352"/>
      <c r="BW51" s="352"/>
      <c r="BX51" s="352"/>
      <c r="BY51" s="352"/>
      <c r="BZ51" s="352"/>
      <c r="CA51" s="352"/>
      <c r="CB51" s="352"/>
      <c r="CC51" s="352"/>
      <c r="CD51" s="352"/>
      <c r="CE51" s="352"/>
      <c r="CF51" s="352"/>
      <c r="CG51" s="352"/>
      <c r="CH51" s="352"/>
      <c r="CI51" s="352"/>
      <c r="CJ51" s="352"/>
      <c r="CK51" s="352"/>
      <c r="CL51" s="352"/>
      <c r="CM51" s="352"/>
      <c r="CN51" s="352"/>
      <c r="CO51" s="352"/>
      <c r="CP51" s="352"/>
      <c r="CQ51" s="352"/>
      <c r="CR51" s="352"/>
      <c r="CS51" s="352"/>
      <c r="CT51" s="352"/>
      <c r="CU51" s="352"/>
      <c r="CV51" s="352"/>
      <c r="CW51" s="352"/>
      <c r="CX51" s="352"/>
      <c r="CY51" s="352"/>
      <c r="CZ51" s="352"/>
      <c r="DA51" s="352"/>
      <c r="DB51" s="352"/>
      <c r="DC51" s="352"/>
      <c r="DD51" s="352"/>
      <c r="DE51" s="24"/>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row>
    <row r="52" spans="1:133" ht="15" customHeight="1">
      <c r="A52" s="3"/>
      <c r="B52" s="356"/>
      <c r="C52" s="357"/>
      <c r="D52" s="357"/>
      <c r="E52" s="357"/>
      <c r="F52" s="357"/>
      <c r="G52" s="357"/>
      <c r="H52" s="358"/>
      <c r="I52" s="352"/>
      <c r="J52" s="352"/>
      <c r="K52" s="352"/>
      <c r="L52" s="352"/>
      <c r="M52" s="352"/>
      <c r="N52" s="352"/>
      <c r="O52" s="352"/>
      <c r="P52" s="458"/>
      <c r="Q52" s="458"/>
      <c r="R52" s="458"/>
      <c r="S52" s="458"/>
      <c r="T52" s="458"/>
      <c r="U52" s="458"/>
      <c r="V52" s="458"/>
      <c r="W52" s="398"/>
      <c r="X52" s="399"/>
      <c r="Y52" s="399"/>
      <c r="Z52" s="399"/>
      <c r="AA52" s="399"/>
      <c r="AB52" s="399"/>
      <c r="AC52" s="400"/>
      <c r="AD52" s="398"/>
      <c r="AE52" s="399"/>
      <c r="AF52" s="399"/>
      <c r="AG52" s="399"/>
      <c r="AH52" s="399"/>
      <c r="AI52" s="399"/>
      <c r="AJ52" s="400"/>
      <c r="AK52" s="398"/>
      <c r="AL52" s="399"/>
      <c r="AM52" s="399"/>
      <c r="AN52" s="399"/>
      <c r="AO52" s="399"/>
      <c r="AP52" s="399"/>
      <c r="AQ52" s="400"/>
      <c r="AR52" s="398"/>
      <c r="AS52" s="399"/>
      <c r="AT52" s="399"/>
      <c r="AU52" s="399"/>
      <c r="AV52" s="399"/>
      <c r="AW52" s="399"/>
      <c r="AX52" s="400"/>
      <c r="AY52" s="398"/>
      <c r="AZ52" s="399"/>
      <c r="BA52" s="399"/>
      <c r="BB52" s="399"/>
      <c r="BC52" s="399"/>
      <c r="BD52" s="399"/>
      <c r="BE52" s="400"/>
      <c r="BF52" s="398"/>
      <c r="BG52" s="399"/>
      <c r="BH52" s="399"/>
      <c r="BI52" s="399"/>
      <c r="BJ52" s="399"/>
      <c r="BK52" s="399"/>
      <c r="BL52" s="400"/>
      <c r="BM52" s="352"/>
      <c r="BN52" s="352"/>
      <c r="BO52" s="352"/>
      <c r="BP52" s="352"/>
      <c r="BQ52" s="352"/>
      <c r="BR52" s="352"/>
      <c r="BS52" s="352"/>
      <c r="BT52" s="352"/>
      <c r="BU52" s="352"/>
      <c r="BV52" s="352"/>
      <c r="BW52" s="352"/>
      <c r="BX52" s="352"/>
      <c r="BY52" s="352"/>
      <c r="BZ52" s="352"/>
      <c r="CA52" s="352"/>
      <c r="CB52" s="352"/>
      <c r="CC52" s="352"/>
      <c r="CD52" s="352"/>
      <c r="CE52" s="352"/>
      <c r="CF52" s="352"/>
      <c r="CG52" s="352"/>
      <c r="CH52" s="352"/>
      <c r="CI52" s="352"/>
      <c r="CJ52" s="352"/>
      <c r="CK52" s="352"/>
      <c r="CL52" s="352"/>
      <c r="CM52" s="352"/>
      <c r="CN52" s="352"/>
      <c r="CO52" s="352"/>
      <c r="CP52" s="352"/>
      <c r="CQ52" s="352"/>
      <c r="CR52" s="352"/>
      <c r="CS52" s="352"/>
      <c r="CT52" s="352"/>
      <c r="CU52" s="352"/>
      <c r="CV52" s="352"/>
      <c r="CW52" s="352"/>
      <c r="CX52" s="352"/>
      <c r="CY52" s="352"/>
      <c r="CZ52" s="352"/>
      <c r="DA52" s="352"/>
      <c r="DB52" s="352"/>
      <c r="DC52" s="352"/>
      <c r="DD52" s="352"/>
      <c r="DE52" s="7"/>
    </row>
    <row r="53" spans="1:133" ht="15" customHeight="1">
      <c r="A53" s="3"/>
      <c r="B53" s="382"/>
      <c r="C53" s="383"/>
      <c r="D53" s="383"/>
      <c r="E53" s="383"/>
      <c r="F53" s="383"/>
      <c r="G53" s="383"/>
      <c r="H53" s="384"/>
      <c r="I53" s="351"/>
      <c r="J53" s="351"/>
      <c r="K53" s="351"/>
      <c r="L53" s="351"/>
      <c r="M53" s="351"/>
      <c r="N53" s="351"/>
      <c r="O53" s="351"/>
      <c r="P53" s="457"/>
      <c r="Q53" s="457"/>
      <c r="R53" s="457"/>
      <c r="S53" s="457"/>
      <c r="T53" s="457"/>
      <c r="U53" s="457"/>
      <c r="V53" s="457"/>
      <c r="W53" s="408"/>
      <c r="X53" s="409"/>
      <c r="Y53" s="409"/>
      <c r="Z53" s="409"/>
      <c r="AA53" s="409"/>
      <c r="AB53" s="409"/>
      <c r="AC53" s="410"/>
      <c r="AD53" s="408"/>
      <c r="AE53" s="409"/>
      <c r="AF53" s="409"/>
      <c r="AG53" s="409"/>
      <c r="AH53" s="409"/>
      <c r="AI53" s="409"/>
      <c r="AJ53" s="410"/>
      <c r="AK53" s="408"/>
      <c r="AL53" s="409"/>
      <c r="AM53" s="409"/>
      <c r="AN53" s="409"/>
      <c r="AO53" s="409"/>
      <c r="AP53" s="409"/>
      <c r="AQ53" s="410"/>
      <c r="AR53" s="408"/>
      <c r="AS53" s="409"/>
      <c r="AT53" s="409"/>
      <c r="AU53" s="409"/>
      <c r="AV53" s="409"/>
      <c r="AW53" s="409"/>
      <c r="AX53" s="410"/>
      <c r="AY53" s="408"/>
      <c r="AZ53" s="409"/>
      <c r="BA53" s="409"/>
      <c r="BB53" s="409"/>
      <c r="BC53" s="409"/>
      <c r="BD53" s="409"/>
      <c r="BE53" s="410"/>
      <c r="BF53" s="408"/>
      <c r="BG53" s="409"/>
      <c r="BH53" s="409"/>
      <c r="BI53" s="409"/>
      <c r="BJ53" s="409"/>
      <c r="BK53" s="409"/>
      <c r="BL53" s="410"/>
      <c r="BM53" s="351"/>
      <c r="BN53" s="351"/>
      <c r="BO53" s="351"/>
      <c r="BP53" s="351"/>
      <c r="BQ53" s="351"/>
      <c r="BR53" s="351"/>
      <c r="BS53" s="351"/>
      <c r="BT53" s="351"/>
      <c r="BU53" s="351"/>
      <c r="BV53" s="351"/>
      <c r="BW53" s="351"/>
      <c r="BX53" s="351"/>
      <c r="BY53" s="351"/>
      <c r="BZ53" s="351"/>
      <c r="CA53" s="351"/>
      <c r="CB53" s="351"/>
      <c r="CC53" s="351"/>
      <c r="CD53" s="351"/>
      <c r="CE53" s="351"/>
      <c r="CF53" s="351"/>
      <c r="CG53" s="351"/>
      <c r="CH53" s="351"/>
      <c r="CI53" s="351"/>
      <c r="CJ53" s="351"/>
      <c r="CK53" s="351"/>
      <c r="CL53" s="351"/>
      <c r="CM53" s="351"/>
      <c r="CN53" s="351"/>
      <c r="CO53" s="351"/>
      <c r="CP53" s="351"/>
      <c r="CQ53" s="351"/>
      <c r="CR53" s="351"/>
      <c r="CS53" s="351"/>
      <c r="CT53" s="351"/>
      <c r="CU53" s="351"/>
      <c r="CV53" s="351"/>
      <c r="CW53" s="351"/>
      <c r="CX53" s="351"/>
      <c r="CY53" s="351"/>
      <c r="CZ53" s="351"/>
      <c r="DA53" s="351"/>
      <c r="DB53" s="351"/>
      <c r="DC53" s="351"/>
      <c r="DD53" s="351"/>
      <c r="DE53" s="7"/>
    </row>
    <row r="54" spans="1:133" ht="15" customHeight="1">
      <c r="A54" s="6"/>
      <c r="B54" s="385"/>
      <c r="C54" s="386"/>
      <c r="D54" s="386"/>
      <c r="E54" s="386"/>
      <c r="F54" s="386"/>
      <c r="G54" s="386"/>
      <c r="H54" s="387"/>
      <c r="I54" s="351"/>
      <c r="J54" s="351"/>
      <c r="K54" s="351"/>
      <c r="L54" s="351"/>
      <c r="M54" s="351"/>
      <c r="N54" s="351"/>
      <c r="O54" s="351"/>
      <c r="P54" s="457"/>
      <c r="Q54" s="457"/>
      <c r="R54" s="457"/>
      <c r="S54" s="457"/>
      <c r="T54" s="457"/>
      <c r="U54" s="457"/>
      <c r="V54" s="457"/>
      <c r="W54" s="411"/>
      <c r="X54" s="412"/>
      <c r="Y54" s="412"/>
      <c r="Z54" s="412"/>
      <c r="AA54" s="412"/>
      <c r="AB54" s="412"/>
      <c r="AC54" s="413"/>
      <c r="AD54" s="411"/>
      <c r="AE54" s="412"/>
      <c r="AF54" s="412"/>
      <c r="AG54" s="412"/>
      <c r="AH54" s="412"/>
      <c r="AI54" s="412"/>
      <c r="AJ54" s="413"/>
      <c r="AK54" s="411"/>
      <c r="AL54" s="412"/>
      <c r="AM54" s="412"/>
      <c r="AN54" s="412"/>
      <c r="AO54" s="412"/>
      <c r="AP54" s="412"/>
      <c r="AQ54" s="413"/>
      <c r="AR54" s="411"/>
      <c r="AS54" s="412"/>
      <c r="AT54" s="412"/>
      <c r="AU54" s="412"/>
      <c r="AV54" s="412"/>
      <c r="AW54" s="412"/>
      <c r="AX54" s="413"/>
      <c r="AY54" s="411"/>
      <c r="AZ54" s="412"/>
      <c r="BA54" s="412"/>
      <c r="BB54" s="412"/>
      <c r="BC54" s="412"/>
      <c r="BD54" s="412"/>
      <c r="BE54" s="413"/>
      <c r="BF54" s="411"/>
      <c r="BG54" s="412"/>
      <c r="BH54" s="412"/>
      <c r="BI54" s="412"/>
      <c r="BJ54" s="412"/>
      <c r="BK54" s="412"/>
      <c r="BL54" s="413"/>
      <c r="BM54" s="351"/>
      <c r="BN54" s="351"/>
      <c r="BO54" s="351"/>
      <c r="BP54" s="351"/>
      <c r="BQ54" s="351"/>
      <c r="BR54" s="351"/>
      <c r="BS54" s="351"/>
      <c r="BT54" s="351"/>
      <c r="BU54" s="351"/>
      <c r="BV54" s="351"/>
      <c r="BW54" s="351"/>
      <c r="BX54" s="351"/>
      <c r="BY54" s="351"/>
      <c r="BZ54" s="351"/>
      <c r="CA54" s="351"/>
      <c r="CB54" s="351"/>
      <c r="CC54" s="351"/>
      <c r="CD54" s="351"/>
      <c r="CE54" s="351"/>
      <c r="CF54" s="351"/>
      <c r="CG54" s="351"/>
      <c r="CH54" s="351"/>
      <c r="CI54" s="351"/>
      <c r="CJ54" s="351"/>
      <c r="CK54" s="351"/>
      <c r="CL54" s="351"/>
      <c r="CM54" s="351"/>
      <c r="CN54" s="351"/>
      <c r="CO54" s="351"/>
      <c r="CP54" s="351"/>
      <c r="CQ54" s="351"/>
      <c r="CR54" s="351"/>
      <c r="CS54" s="351"/>
      <c r="CT54" s="351"/>
      <c r="CU54" s="351"/>
      <c r="CV54" s="351"/>
      <c r="CW54" s="351"/>
      <c r="CX54" s="351"/>
      <c r="CY54" s="351"/>
      <c r="CZ54" s="351"/>
      <c r="DA54" s="351"/>
      <c r="DB54" s="351"/>
      <c r="DC54" s="351"/>
      <c r="DD54" s="351"/>
      <c r="DE54" s="7"/>
    </row>
    <row r="55" spans="1:133" ht="15" customHeight="1" thickBot="1">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4"/>
    </row>
    <row r="56" spans="1:133" ht="15" customHeight="1">
      <c r="A56" s="388"/>
      <c r="B56" s="389"/>
      <c r="C56" s="389"/>
      <c r="D56" s="389"/>
      <c r="E56" s="389"/>
      <c r="F56" s="389"/>
      <c r="G56" s="389"/>
      <c r="H56" s="389"/>
      <c r="I56" s="389"/>
      <c r="J56" s="389"/>
      <c r="K56" s="389"/>
      <c r="L56" s="389"/>
      <c r="M56" s="389"/>
      <c r="N56" s="389"/>
      <c r="O56" s="389"/>
      <c r="P56" s="389"/>
      <c r="Q56" s="389"/>
      <c r="R56" s="389"/>
      <c r="S56" s="389"/>
      <c r="T56" s="389"/>
      <c r="U56" s="389"/>
      <c r="V56" s="389"/>
      <c r="W56" s="389"/>
      <c r="X56" s="389"/>
      <c r="Y56" s="389"/>
      <c r="Z56" s="389"/>
      <c r="AA56" s="389"/>
      <c r="AB56" s="389"/>
      <c r="AC56" s="389"/>
      <c r="AD56" s="389"/>
      <c r="AE56" s="389"/>
      <c r="AF56" s="389"/>
      <c r="AG56" s="389"/>
      <c r="AH56" s="389"/>
      <c r="AI56" s="389"/>
      <c r="AJ56" s="389"/>
      <c r="AK56" s="389"/>
      <c r="AL56" s="389"/>
      <c r="AM56" s="389"/>
      <c r="AN56" s="389"/>
      <c r="AO56" s="389"/>
      <c r="AP56" s="389"/>
      <c r="AQ56" s="389"/>
      <c r="AR56" s="389"/>
      <c r="AS56" s="389"/>
      <c r="AT56" s="389"/>
      <c r="AU56" s="389"/>
      <c r="AV56" s="389"/>
      <c r="AW56" s="389"/>
      <c r="AX56" s="389"/>
      <c r="AY56" s="389"/>
      <c r="AZ56" s="389"/>
      <c r="BA56" s="389"/>
      <c r="BB56" s="389"/>
      <c r="BC56" s="389"/>
      <c r="BD56" s="389"/>
      <c r="BE56" s="389"/>
      <c r="BF56" s="389"/>
      <c r="BG56" s="389"/>
      <c r="BH56" s="389"/>
      <c r="BI56" s="389"/>
      <c r="BJ56" s="389"/>
      <c r="BK56" s="389"/>
      <c r="BL56" s="389"/>
      <c r="BM56" s="389"/>
      <c r="BN56" s="389"/>
      <c r="BO56" s="389"/>
      <c r="BP56" s="389"/>
      <c r="BQ56" s="389"/>
      <c r="BR56" s="389"/>
      <c r="BS56" s="389"/>
      <c r="BT56" s="389"/>
      <c r="BU56" s="389"/>
      <c r="BV56" s="389"/>
      <c r="BW56" s="389"/>
      <c r="BX56" s="389"/>
      <c r="BY56" s="389"/>
      <c r="BZ56" s="389"/>
      <c r="CA56" s="389"/>
      <c r="CB56" s="389"/>
      <c r="CC56" s="389"/>
      <c r="CD56" s="389"/>
      <c r="CE56" s="389"/>
      <c r="CF56" s="389"/>
      <c r="CG56" s="389"/>
      <c r="CH56" s="389"/>
      <c r="CI56" s="389"/>
      <c r="CJ56" s="389"/>
      <c r="CK56" s="389"/>
      <c r="CL56" s="389"/>
      <c r="CM56" s="389"/>
      <c r="CN56" s="389"/>
      <c r="CO56" s="389"/>
      <c r="CP56" s="389"/>
      <c r="CQ56" s="389"/>
      <c r="CR56" s="389"/>
      <c r="CS56" s="389"/>
      <c r="CT56" s="389"/>
      <c r="CU56" s="389"/>
      <c r="CV56" s="361" t="s">
        <v>1</v>
      </c>
      <c r="CW56" s="361"/>
      <c r="CX56" s="361"/>
      <c r="CY56" s="361"/>
      <c r="CZ56" s="361"/>
      <c r="DA56" s="361"/>
      <c r="DB56" s="361"/>
      <c r="DC56" s="361"/>
      <c r="DD56" s="361"/>
      <c r="DE56" s="362"/>
    </row>
    <row r="57" spans="1:133" ht="15" customHeight="1">
      <c r="A57" s="390"/>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c r="BQ57" s="391"/>
      <c r="BR57" s="391"/>
      <c r="BS57" s="391"/>
      <c r="BT57" s="391"/>
      <c r="BU57" s="391"/>
      <c r="BV57" s="391"/>
      <c r="BW57" s="391"/>
      <c r="BX57" s="391"/>
      <c r="BY57" s="391"/>
      <c r="BZ57" s="391"/>
      <c r="CA57" s="391"/>
      <c r="CB57" s="391"/>
      <c r="CC57" s="391"/>
      <c r="CD57" s="391"/>
      <c r="CE57" s="391"/>
      <c r="CF57" s="391"/>
      <c r="CG57" s="391"/>
      <c r="CH57" s="391"/>
      <c r="CI57" s="391"/>
      <c r="CJ57" s="391"/>
      <c r="CK57" s="391"/>
      <c r="CL57" s="391"/>
      <c r="CM57" s="391"/>
      <c r="CN57" s="391"/>
      <c r="CO57" s="391"/>
      <c r="CP57" s="391"/>
      <c r="CQ57" s="391"/>
      <c r="CR57" s="391"/>
      <c r="CS57" s="391"/>
      <c r="CT57" s="391"/>
      <c r="CU57" s="391"/>
      <c r="CV57" s="363"/>
      <c r="CW57" s="363"/>
      <c r="CX57" s="363"/>
      <c r="CY57" s="363"/>
      <c r="CZ57" s="363"/>
      <c r="DA57" s="363"/>
      <c r="DB57" s="363"/>
      <c r="DC57" s="363"/>
      <c r="DD57" s="363"/>
      <c r="DE57" s="364"/>
    </row>
    <row r="58" spans="1:133" ht="15" customHeight="1">
      <c r="A58" s="390"/>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1"/>
      <c r="CG58" s="391"/>
      <c r="CH58" s="391"/>
      <c r="CI58" s="391"/>
      <c r="CJ58" s="391"/>
      <c r="CK58" s="391"/>
      <c r="CL58" s="391"/>
      <c r="CM58" s="391"/>
      <c r="CN58" s="391"/>
      <c r="CO58" s="391"/>
      <c r="CP58" s="391"/>
      <c r="CQ58" s="391"/>
      <c r="CR58" s="391"/>
      <c r="CS58" s="391"/>
      <c r="CT58" s="391"/>
      <c r="CU58" s="391"/>
      <c r="CV58" s="363"/>
      <c r="CW58" s="363"/>
      <c r="CX58" s="363"/>
      <c r="CY58" s="363"/>
      <c r="CZ58" s="363"/>
      <c r="DA58" s="363"/>
      <c r="DB58" s="363"/>
      <c r="DC58" s="363"/>
      <c r="DD58" s="363"/>
      <c r="DE58" s="364"/>
    </row>
    <row r="59" spans="1:133" ht="15" customHeight="1">
      <c r="A59" s="390"/>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391"/>
      <c r="BP59" s="391"/>
      <c r="BQ59" s="391"/>
      <c r="BR59" s="391"/>
      <c r="BS59" s="391"/>
      <c r="BT59" s="391"/>
      <c r="BU59" s="391"/>
      <c r="BV59" s="391"/>
      <c r="BW59" s="391"/>
      <c r="BX59" s="391"/>
      <c r="BY59" s="391"/>
      <c r="BZ59" s="391"/>
      <c r="CA59" s="391"/>
      <c r="CB59" s="391"/>
      <c r="CC59" s="391"/>
      <c r="CD59" s="391"/>
      <c r="CE59" s="391"/>
      <c r="CF59" s="391"/>
      <c r="CG59" s="391"/>
      <c r="CH59" s="391"/>
      <c r="CI59" s="391"/>
      <c r="CJ59" s="391"/>
      <c r="CK59" s="391"/>
      <c r="CL59" s="391"/>
      <c r="CM59" s="391"/>
      <c r="CN59" s="391"/>
      <c r="CO59" s="391"/>
      <c r="CP59" s="391"/>
      <c r="CQ59" s="391"/>
      <c r="CR59" s="391"/>
      <c r="CS59" s="391"/>
      <c r="CT59" s="391"/>
      <c r="CU59" s="391"/>
      <c r="CV59" s="363"/>
      <c r="CW59" s="363"/>
      <c r="CX59" s="363"/>
      <c r="CY59" s="363"/>
      <c r="CZ59" s="363"/>
      <c r="DA59" s="363"/>
      <c r="DB59" s="363"/>
      <c r="DC59" s="363"/>
      <c r="DD59" s="363"/>
      <c r="DE59" s="364"/>
    </row>
    <row r="60" spans="1:133" ht="15" customHeight="1">
      <c r="A60" s="390"/>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391"/>
      <c r="BC60" s="391"/>
      <c r="BD60" s="391"/>
      <c r="BE60" s="391"/>
      <c r="BF60" s="391"/>
      <c r="BG60" s="391"/>
      <c r="BH60" s="391"/>
      <c r="BI60" s="391"/>
      <c r="BJ60" s="391"/>
      <c r="BK60" s="391"/>
      <c r="BL60" s="391"/>
      <c r="BM60" s="391"/>
      <c r="BN60" s="391"/>
      <c r="BO60" s="391"/>
      <c r="BP60" s="391"/>
      <c r="BQ60" s="391"/>
      <c r="BR60" s="391"/>
      <c r="BS60" s="391"/>
      <c r="BT60" s="391"/>
      <c r="BU60" s="391"/>
      <c r="BV60" s="391"/>
      <c r="BW60" s="391"/>
      <c r="BX60" s="391"/>
      <c r="BY60" s="391"/>
      <c r="BZ60" s="391"/>
      <c r="CA60" s="391"/>
      <c r="CB60" s="391"/>
      <c r="CC60" s="391"/>
      <c r="CD60" s="391"/>
      <c r="CE60" s="391"/>
      <c r="CF60" s="391"/>
      <c r="CG60" s="391"/>
      <c r="CH60" s="391"/>
      <c r="CI60" s="391"/>
      <c r="CJ60" s="391"/>
      <c r="CK60" s="391"/>
      <c r="CL60" s="391"/>
      <c r="CM60" s="391"/>
      <c r="CN60" s="391"/>
      <c r="CO60" s="391"/>
      <c r="CP60" s="391"/>
      <c r="CQ60" s="391"/>
      <c r="CR60" s="391"/>
      <c r="CS60" s="391"/>
      <c r="CT60" s="391"/>
      <c r="CU60" s="391"/>
      <c r="CV60" s="363"/>
      <c r="CW60" s="363"/>
      <c r="CX60" s="363"/>
      <c r="CY60" s="363"/>
      <c r="CZ60" s="363"/>
      <c r="DA60" s="363"/>
      <c r="DB60" s="363"/>
      <c r="DC60" s="363"/>
      <c r="DD60" s="363"/>
      <c r="DE60" s="364"/>
    </row>
    <row r="61" spans="1:133" ht="15" customHeight="1" thickBot="1">
      <c r="A61" s="390"/>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1"/>
      <c r="CG61" s="391"/>
      <c r="CH61" s="391"/>
      <c r="CI61" s="391"/>
      <c r="CJ61" s="391"/>
      <c r="CK61" s="391"/>
      <c r="CL61" s="391"/>
      <c r="CM61" s="391"/>
      <c r="CN61" s="391"/>
      <c r="CO61" s="391"/>
      <c r="CP61" s="391"/>
      <c r="CQ61" s="391"/>
      <c r="CR61" s="391"/>
      <c r="CS61" s="391"/>
      <c r="CT61" s="391"/>
      <c r="CU61" s="391"/>
      <c r="CV61" s="365"/>
      <c r="CW61" s="365"/>
      <c r="CX61" s="365"/>
      <c r="CY61" s="365"/>
      <c r="CZ61" s="365"/>
      <c r="DA61" s="365"/>
      <c r="DB61" s="365"/>
      <c r="DC61" s="365"/>
      <c r="DD61" s="365"/>
      <c r="DE61" s="366"/>
    </row>
    <row r="62" spans="1:133" ht="15" customHeight="1">
      <c r="A62" s="392" t="s">
        <v>83</v>
      </c>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c r="BL62" s="393"/>
      <c r="BM62" s="393"/>
      <c r="BN62" s="393"/>
      <c r="BO62" s="393"/>
      <c r="BP62" s="393"/>
      <c r="BQ62" s="393"/>
      <c r="BR62" s="393"/>
      <c r="BS62" s="393"/>
      <c r="BT62" s="393"/>
      <c r="BU62" s="393"/>
      <c r="BV62" s="393"/>
      <c r="BW62" s="393"/>
      <c r="BX62" s="393"/>
      <c r="BY62" s="393"/>
      <c r="BZ62" s="393"/>
      <c r="CA62" s="393"/>
      <c r="CB62" s="393"/>
      <c r="CC62" s="393"/>
      <c r="CD62" s="393"/>
      <c r="CE62" s="393"/>
      <c r="CF62" s="393"/>
      <c r="CG62" s="393"/>
      <c r="CH62" s="393"/>
      <c r="CI62" s="393"/>
      <c r="CJ62" s="393"/>
      <c r="CK62" s="393"/>
      <c r="CL62" s="393"/>
      <c r="CM62" s="393"/>
      <c r="CN62" s="393"/>
      <c r="CO62" s="393"/>
      <c r="CP62" s="367" t="s">
        <v>3</v>
      </c>
      <c r="CQ62" s="367"/>
      <c r="CR62" s="367"/>
      <c r="CS62" s="367"/>
      <c r="CT62" s="367"/>
      <c r="CU62" s="367"/>
      <c r="CV62" s="367"/>
      <c r="CW62" s="367"/>
      <c r="CX62" s="367"/>
      <c r="CY62" s="367"/>
      <c r="CZ62" s="367"/>
      <c r="DA62" s="367"/>
      <c r="DB62" s="367"/>
      <c r="DC62" s="367"/>
      <c r="DD62" s="367"/>
      <c r="DE62" s="368"/>
    </row>
    <row r="63" spans="1:133" ht="15" customHeight="1">
      <c r="A63" s="392"/>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c r="BL63" s="393"/>
      <c r="BM63" s="393"/>
      <c r="BN63" s="393"/>
      <c r="BO63" s="393"/>
      <c r="BP63" s="393"/>
      <c r="BQ63" s="393"/>
      <c r="BR63" s="393"/>
      <c r="BS63" s="393"/>
      <c r="BT63" s="393"/>
      <c r="BU63" s="393"/>
      <c r="BV63" s="393"/>
      <c r="BW63" s="393"/>
      <c r="BX63" s="393"/>
      <c r="BY63" s="393"/>
      <c r="BZ63" s="393"/>
      <c r="CA63" s="393"/>
      <c r="CB63" s="393"/>
      <c r="CC63" s="393"/>
      <c r="CD63" s="393"/>
      <c r="CE63" s="393"/>
      <c r="CF63" s="393"/>
      <c r="CG63" s="393"/>
      <c r="CH63" s="393"/>
      <c r="CI63" s="393"/>
      <c r="CJ63" s="393"/>
      <c r="CK63" s="393"/>
      <c r="CL63" s="393"/>
      <c r="CM63" s="393"/>
      <c r="CN63" s="393"/>
      <c r="CO63" s="393"/>
      <c r="CP63" s="367"/>
      <c r="CQ63" s="367"/>
      <c r="CR63" s="367"/>
      <c r="CS63" s="367"/>
      <c r="CT63" s="367"/>
      <c r="CU63" s="367"/>
      <c r="CV63" s="367"/>
      <c r="CW63" s="367"/>
      <c r="CX63" s="367"/>
      <c r="CY63" s="367"/>
      <c r="CZ63" s="367"/>
      <c r="DA63" s="367"/>
      <c r="DB63" s="367"/>
      <c r="DC63" s="367"/>
      <c r="DD63" s="367"/>
      <c r="DE63" s="368"/>
    </row>
    <row r="64" spans="1:133" ht="15" customHeight="1">
      <c r="A64" s="375" t="s">
        <v>4</v>
      </c>
      <c r="B64" s="369"/>
      <c r="C64" s="369"/>
      <c r="D64" s="369"/>
      <c r="E64" s="369"/>
      <c r="F64" s="369"/>
      <c r="G64" s="369"/>
      <c r="H64" s="369"/>
      <c r="I64" s="369"/>
      <c r="J64" s="369"/>
      <c r="K64" s="369"/>
      <c r="L64" s="369"/>
      <c r="M64" s="369"/>
      <c r="N64" s="369"/>
      <c r="O64" s="369"/>
      <c r="P64" s="369"/>
      <c r="Q64" s="369"/>
      <c r="R64" s="369"/>
      <c r="S64" s="370">
        <v>559082</v>
      </c>
      <c r="T64" s="370"/>
      <c r="U64" s="370"/>
      <c r="V64" s="370"/>
      <c r="W64" s="370"/>
      <c r="X64" s="370"/>
      <c r="Y64" s="370"/>
      <c r="Z64" s="370"/>
      <c r="AA64" s="370"/>
      <c r="AB64" s="370"/>
      <c r="AC64" s="370"/>
      <c r="AD64" s="370"/>
      <c r="AE64" s="369" t="s">
        <v>5</v>
      </c>
      <c r="AF64" s="369"/>
      <c r="AG64" s="369"/>
      <c r="AH64" s="369"/>
      <c r="AI64" s="369"/>
      <c r="AJ64" s="369"/>
      <c r="AK64" s="369"/>
      <c r="AL64" s="369"/>
      <c r="AM64" s="369"/>
      <c r="AN64" s="369"/>
      <c r="AO64" s="369"/>
      <c r="AP64" s="369"/>
      <c r="AQ64" s="369"/>
      <c r="AR64" s="369"/>
      <c r="AS64" s="394">
        <v>45678</v>
      </c>
      <c r="AT64" s="394"/>
      <c r="AU64" s="394"/>
      <c r="AV64" s="394"/>
      <c r="AW64" s="394"/>
      <c r="AX64" s="394"/>
      <c r="AY64" s="394"/>
      <c r="AZ64" s="394"/>
      <c r="BA64" s="394"/>
      <c r="BB64" s="394"/>
      <c r="BC64" s="394"/>
      <c r="BD64" s="394"/>
      <c r="BE64" s="394"/>
      <c r="BF64" s="394"/>
      <c r="BG64" s="369" t="s">
        <v>6</v>
      </c>
      <c r="BH64" s="369"/>
      <c r="BI64" s="369"/>
      <c r="BJ64" s="369"/>
      <c r="BK64" s="369"/>
      <c r="BL64" s="369"/>
      <c r="BM64" s="369"/>
      <c r="BN64" s="369"/>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71" t="s">
        <v>7</v>
      </c>
      <c r="CO64" s="371"/>
      <c r="CP64" s="371"/>
      <c r="CQ64" s="372" t="s">
        <v>8</v>
      </c>
      <c r="CR64" s="372"/>
      <c r="CS64" s="372"/>
      <c r="CT64" s="372"/>
      <c r="CU64" s="372"/>
      <c r="CV64" s="372"/>
      <c r="CW64" s="372"/>
      <c r="CX64" s="372"/>
      <c r="CY64" s="372"/>
      <c r="CZ64" s="372"/>
      <c r="DA64" s="372"/>
      <c r="DB64" s="372"/>
      <c r="DC64" s="372"/>
      <c r="DD64" s="372"/>
      <c r="DE64" s="373"/>
    </row>
    <row r="65" spans="1:109" ht="15" customHeight="1">
      <c r="A65" s="375" t="s">
        <v>9</v>
      </c>
      <c r="B65" s="369"/>
      <c r="C65" s="369"/>
      <c r="D65" s="369"/>
      <c r="E65" s="369"/>
      <c r="F65" s="369"/>
      <c r="G65" s="369"/>
      <c r="H65" s="369"/>
      <c r="I65" s="369"/>
      <c r="J65" s="369"/>
      <c r="K65" s="369"/>
      <c r="L65" s="369"/>
      <c r="M65" s="369"/>
      <c r="N65" s="369"/>
      <c r="O65" s="369"/>
      <c r="P65" s="369"/>
      <c r="Q65" s="369"/>
      <c r="R65" s="369"/>
      <c r="S65" s="370" t="s">
        <v>10</v>
      </c>
      <c r="T65" s="370"/>
      <c r="U65" s="370"/>
      <c r="V65" s="370"/>
      <c r="W65" s="370"/>
      <c r="X65" s="370"/>
      <c r="Y65" s="370"/>
      <c r="Z65" s="370"/>
      <c r="AA65" s="370"/>
      <c r="AB65" s="370"/>
      <c r="AC65" s="370"/>
      <c r="AD65" s="370"/>
      <c r="AE65" s="369" t="s">
        <v>11</v>
      </c>
      <c r="AF65" s="369"/>
      <c r="AG65" s="369"/>
      <c r="AH65" s="369"/>
      <c r="AI65" s="369"/>
      <c r="AJ65" s="369"/>
      <c r="AK65" s="369"/>
      <c r="AL65" s="369"/>
      <c r="AM65" s="369"/>
      <c r="AN65" s="369"/>
      <c r="AO65" s="369"/>
      <c r="AP65" s="369"/>
      <c r="AQ65" s="369"/>
      <c r="AR65" s="369"/>
      <c r="AS65" s="370" t="s">
        <v>12</v>
      </c>
      <c r="AT65" s="370"/>
      <c r="AU65" s="370"/>
      <c r="AV65" s="370"/>
      <c r="AW65" s="370"/>
      <c r="AX65" s="370"/>
      <c r="AY65" s="370"/>
      <c r="AZ65" s="370"/>
      <c r="BA65" s="370"/>
      <c r="BB65" s="370"/>
      <c r="BC65" s="370"/>
      <c r="BD65" s="370"/>
      <c r="BE65" s="370"/>
      <c r="BF65" s="370"/>
      <c r="BG65" s="369"/>
      <c r="BH65" s="369"/>
      <c r="BI65" s="369"/>
      <c r="BJ65" s="369"/>
      <c r="BK65" s="369"/>
      <c r="BL65" s="369"/>
      <c r="BM65" s="369"/>
      <c r="BN65" s="369"/>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71"/>
      <c r="CO65" s="371"/>
      <c r="CP65" s="371"/>
      <c r="CQ65" s="372" t="s">
        <v>13</v>
      </c>
      <c r="CR65" s="372"/>
      <c r="CS65" s="372"/>
      <c r="CT65" s="372"/>
      <c r="CU65" s="372"/>
      <c r="CV65" s="372"/>
      <c r="CW65" s="372"/>
      <c r="CX65" s="372"/>
      <c r="CY65" s="372"/>
      <c r="CZ65" s="372"/>
      <c r="DA65" s="372"/>
      <c r="DB65" s="372"/>
      <c r="DC65" s="372"/>
      <c r="DD65" s="372"/>
      <c r="DE65" s="373"/>
    </row>
    <row r="66" spans="1:109" ht="15" customHeight="1">
      <c r="A66" s="375" t="s">
        <v>14</v>
      </c>
      <c r="B66" s="369"/>
      <c r="C66" s="369"/>
      <c r="D66" s="369"/>
      <c r="E66" s="369"/>
      <c r="F66" s="369"/>
      <c r="G66" s="369"/>
      <c r="H66" s="369"/>
      <c r="I66" s="369"/>
      <c r="J66" s="369"/>
      <c r="K66" s="369"/>
      <c r="L66" s="369"/>
      <c r="M66" s="369"/>
      <c r="N66" s="369"/>
      <c r="O66" s="369"/>
      <c r="P66" s="369"/>
      <c r="Q66" s="369"/>
      <c r="R66" s="369"/>
      <c r="S66" s="370" t="s">
        <v>15</v>
      </c>
      <c r="T66" s="370"/>
      <c r="U66" s="370"/>
      <c r="V66" s="370"/>
      <c r="W66" s="370"/>
      <c r="X66" s="370"/>
      <c r="Y66" s="370"/>
      <c r="Z66" s="370"/>
      <c r="AA66" s="370"/>
      <c r="AB66" s="370"/>
      <c r="AC66" s="370"/>
      <c r="AD66" s="370"/>
      <c r="AE66" s="369" t="s">
        <v>16</v>
      </c>
      <c r="AF66" s="369"/>
      <c r="AG66" s="369"/>
      <c r="AH66" s="369"/>
      <c r="AI66" s="369"/>
      <c r="AJ66" s="369"/>
      <c r="AK66" s="369"/>
      <c r="AL66" s="369"/>
      <c r="AM66" s="369"/>
      <c r="AN66" s="369"/>
      <c r="AO66" s="369"/>
      <c r="AP66" s="369"/>
      <c r="AQ66" s="369"/>
      <c r="AR66" s="369"/>
      <c r="AS66" s="370" t="s">
        <v>17</v>
      </c>
      <c r="AT66" s="370"/>
      <c r="AU66" s="370"/>
      <c r="AV66" s="370"/>
      <c r="AW66" s="370"/>
      <c r="AX66" s="370"/>
      <c r="AY66" s="370"/>
      <c r="AZ66" s="370"/>
      <c r="BA66" s="370"/>
      <c r="BB66" s="370"/>
      <c r="BC66" s="370"/>
      <c r="BD66" s="370"/>
      <c r="BE66" s="370"/>
      <c r="BF66" s="370"/>
      <c r="BG66" s="369"/>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71"/>
      <c r="CO66" s="371"/>
      <c r="CP66" s="371"/>
      <c r="CQ66" s="372" t="s">
        <v>18</v>
      </c>
      <c r="CR66" s="372"/>
      <c r="CS66" s="372"/>
      <c r="CT66" s="372"/>
      <c r="CU66" s="372"/>
      <c r="CV66" s="372"/>
      <c r="CW66" s="372"/>
      <c r="CX66" s="372"/>
      <c r="CY66" s="372"/>
      <c r="CZ66" s="372"/>
      <c r="DA66" s="372"/>
      <c r="DB66" s="372"/>
      <c r="DC66" s="372"/>
      <c r="DD66" s="372"/>
      <c r="DE66" s="373"/>
    </row>
    <row r="67" spans="1:109" ht="15" customHeight="1">
      <c r="A67" s="446" t="s">
        <v>84</v>
      </c>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c r="AA67" s="447"/>
      <c r="AB67" s="447"/>
      <c r="AC67" s="447"/>
      <c r="AD67" s="447"/>
      <c r="AE67" s="447"/>
      <c r="AF67" s="447"/>
      <c r="AG67" s="447"/>
      <c r="AH67" s="447"/>
      <c r="AI67" s="447"/>
      <c r="AJ67" s="447"/>
      <c r="AK67" s="447"/>
      <c r="AL67" s="447"/>
      <c r="AM67" s="447"/>
      <c r="AN67" s="447"/>
      <c r="AO67" s="447"/>
      <c r="AP67" s="447"/>
      <c r="AQ67" s="447"/>
      <c r="AR67" s="447"/>
      <c r="AS67" s="447"/>
      <c r="AT67" s="447"/>
      <c r="AU67" s="447"/>
      <c r="AV67" s="447"/>
      <c r="AW67" s="447"/>
      <c r="AX67" s="447"/>
      <c r="AY67" s="447"/>
      <c r="AZ67" s="447"/>
      <c r="BA67" s="447"/>
      <c r="BB67" s="447"/>
      <c r="BC67" s="447"/>
      <c r="BD67" s="447"/>
      <c r="BE67" s="447"/>
      <c r="BF67" s="447"/>
      <c r="BG67" s="447"/>
      <c r="BH67" s="447"/>
      <c r="BI67" s="447"/>
      <c r="BJ67" s="447"/>
      <c r="BK67" s="447"/>
      <c r="BL67" s="447"/>
      <c r="BM67" s="447"/>
      <c r="BN67" s="447"/>
      <c r="BO67" s="447"/>
      <c r="BP67" s="447"/>
      <c r="BQ67" s="447"/>
      <c r="BR67" s="447"/>
      <c r="BS67" s="447"/>
      <c r="BT67" s="447"/>
      <c r="BU67" s="447"/>
      <c r="BV67" s="447"/>
      <c r="BW67" s="447"/>
      <c r="BX67" s="447"/>
      <c r="BY67" s="447"/>
      <c r="BZ67" s="447"/>
      <c r="CA67" s="447"/>
      <c r="CB67" s="447"/>
      <c r="CC67" s="447"/>
      <c r="CD67" s="447"/>
      <c r="CE67" s="447"/>
      <c r="CF67" s="447"/>
      <c r="CG67" s="447"/>
      <c r="CH67" s="447"/>
      <c r="CI67" s="447"/>
      <c r="CJ67" s="447"/>
      <c r="CK67" s="447"/>
      <c r="CL67" s="447"/>
      <c r="CM67" s="447"/>
      <c r="CN67" s="447"/>
      <c r="CO67" s="447"/>
      <c r="CP67" s="447"/>
      <c r="CQ67" s="447"/>
      <c r="CR67" s="447"/>
      <c r="CS67" s="447"/>
      <c r="CT67" s="447"/>
      <c r="CU67" s="447"/>
      <c r="CV67" s="447"/>
      <c r="CW67" s="447"/>
      <c r="CX67" s="447"/>
      <c r="CY67" s="447"/>
      <c r="CZ67" s="447"/>
      <c r="DA67" s="447"/>
      <c r="DB67" s="447"/>
      <c r="DC67" s="447"/>
      <c r="DD67" s="447"/>
      <c r="DE67" s="448"/>
    </row>
    <row r="68" spans="1:109" ht="15" customHeight="1">
      <c r="A68" s="449" t="s">
        <v>85</v>
      </c>
      <c r="B68" s="450"/>
      <c r="C68" s="450"/>
      <c r="D68" s="450"/>
      <c r="E68" s="450"/>
      <c r="F68" s="450"/>
      <c r="G68" s="450"/>
      <c r="H68" s="450"/>
      <c r="I68" s="450"/>
      <c r="J68" s="450"/>
      <c r="K68" s="455" t="s">
        <v>86</v>
      </c>
      <c r="L68" s="455"/>
      <c r="M68" s="455"/>
      <c r="N68" s="455"/>
      <c r="O68" s="455"/>
      <c r="P68" s="455"/>
      <c r="Q68" s="455"/>
      <c r="R68" s="455"/>
      <c r="S68" s="455"/>
      <c r="T68" s="450" t="s">
        <v>87</v>
      </c>
      <c r="U68" s="450"/>
      <c r="V68" s="450"/>
      <c r="W68" s="450"/>
      <c r="X68" s="450"/>
      <c r="Y68" s="450"/>
      <c r="Z68" s="450"/>
      <c r="AA68" s="450"/>
      <c r="AB68" s="450"/>
      <c r="AC68" s="455">
        <v>1200</v>
      </c>
      <c r="AD68" s="455"/>
      <c r="AE68" s="455"/>
      <c r="AF68" s="455"/>
      <c r="AG68" s="455"/>
      <c r="AH68" s="455"/>
      <c r="AI68" s="455"/>
      <c r="AJ68" s="455"/>
      <c r="AK68" s="455"/>
      <c r="AL68" s="450" t="s">
        <v>88</v>
      </c>
      <c r="AM68" s="450"/>
      <c r="AN68" s="450"/>
      <c r="AO68" s="450"/>
      <c r="AP68" s="450"/>
      <c r="AQ68" s="450"/>
      <c r="AR68" s="450"/>
      <c r="AS68" s="450"/>
      <c r="AT68" s="450"/>
      <c r="AU68" s="455">
        <v>10</v>
      </c>
      <c r="AV68" s="455"/>
      <c r="AW68" s="455"/>
      <c r="AX68" s="455"/>
      <c r="AY68" s="455"/>
      <c r="AZ68" s="455"/>
      <c r="BA68" s="455"/>
      <c r="BB68" s="455"/>
      <c r="BC68" s="455"/>
      <c r="BD68" s="450" t="s">
        <v>89</v>
      </c>
      <c r="BE68" s="450"/>
      <c r="BF68" s="450"/>
      <c r="BG68" s="450"/>
      <c r="BH68" s="450"/>
      <c r="BI68" s="450"/>
      <c r="BJ68" s="450"/>
      <c r="BK68" s="450"/>
      <c r="BL68" s="450"/>
      <c r="BM68" s="452" t="s">
        <v>90</v>
      </c>
      <c r="BN68" s="453"/>
      <c r="BO68" s="453"/>
      <c r="BP68" s="453"/>
      <c r="BQ68" s="453"/>
      <c r="BR68" s="453"/>
      <c r="BS68" s="453"/>
      <c r="BT68" s="453"/>
      <c r="BU68" s="453"/>
      <c r="BV68" s="453"/>
      <c r="BW68" s="453"/>
      <c r="BX68" s="453"/>
      <c r="BY68" s="453"/>
      <c r="BZ68" s="453"/>
      <c r="CA68" s="453"/>
      <c r="CB68" s="453"/>
      <c r="CC68" s="453"/>
      <c r="CD68" s="453"/>
      <c r="CE68" s="453"/>
      <c r="CF68" s="453"/>
      <c r="CG68" s="453"/>
      <c r="CH68" s="453"/>
      <c r="CI68" s="453"/>
      <c r="CJ68" s="453"/>
      <c r="CK68" s="453"/>
      <c r="CL68" s="453"/>
      <c r="CM68" s="454"/>
      <c r="CN68" s="450" t="s">
        <v>91</v>
      </c>
      <c r="CO68" s="450"/>
      <c r="CP68" s="450"/>
      <c r="CQ68" s="450"/>
      <c r="CR68" s="450"/>
      <c r="CS68" s="450"/>
      <c r="CT68" s="450"/>
      <c r="CU68" s="450"/>
      <c r="CV68" s="450"/>
      <c r="CW68" s="455" t="s">
        <v>92</v>
      </c>
      <c r="CX68" s="455"/>
      <c r="CY68" s="455"/>
      <c r="CZ68" s="455"/>
      <c r="DA68" s="455"/>
      <c r="DB68" s="455"/>
      <c r="DC68" s="455"/>
      <c r="DD68" s="455"/>
      <c r="DE68" s="456"/>
    </row>
    <row r="69" spans="1:109" ht="15" customHeight="1">
      <c r="A69" s="449" t="s">
        <v>93</v>
      </c>
      <c r="B69" s="450"/>
      <c r="C69" s="450"/>
      <c r="D69" s="450"/>
      <c r="E69" s="450"/>
      <c r="F69" s="450"/>
      <c r="G69" s="450"/>
      <c r="H69" s="450"/>
      <c r="I69" s="450"/>
      <c r="J69" s="450"/>
      <c r="K69" s="444" t="s">
        <v>94</v>
      </c>
      <c r="L69" s="444"/>
      <c r="M69" s="444"/>
      <c r="N69" s="444"/>
      <c r="O69" s="444"/>
      <c r="P69" s="444"/>
      <c r="Q69" s="444"/>
      <c r="R69" s="444"/>
      <c r="S69" s="444"/>
      <c r="T69" s="451" t="s">
        <v>95</v>
      </c>
      <c r="U69" s="451"/>
      <c r="V69" s="451"/>
      <c r="W69" s="451"/>
      <c r="X69" s="451"/>
      <c r="Y69" s="451"/>
      <c r="Z69" s="451"/>
      <c r="AA69" s="451"/>
      <c r="AB69" s="451"/>
      <c r="AC69" s="444" t="s">
        <v>96</v>
      </c>
      <c r="AD69" s="444"/>
      <c r="AE69" s="444"/>
      <c r="AF69" s="444"/>
      <c r="AG69" s="444"/>
      <c r="AH69" s="444"/>
      <c r="AI69" s="444"/>
      <c r="AJ69" s="444"/>
      <c r="AK69" s="444"/>
      <c r="AL69" s="451" t="s">
        <v>97</v>
      </c>
      <c r="AM69" s="451"/>
      <c r="AN69" s="451"/>
      <c r="AO69" s="451"/>
      <c r="AP69" s="451"/>
      <c r="AQ69" s="451"/>
      <c r="AR69" s="451"/>
      <c r="AS69" s="451"/>
      <c r="AT69" s="451"/>
      <c r="AU69" s="444" t="s">
        <v>98</v>
      </c>
      <c r="AV69" s="444"/>
      <c r="AW69" s="444"/>
      <c r="AX69" s="444"/>
      <c r="AY69" s="444"/>
      <c r="AZ69" s="444"/>
      <c r="BA69" s="444"/>
      <c r="BB69" s="444"/>
      <c r="BC69" s="444"/>
      <c r="BD69" s="451" t="s">
        <v>99</v>
      </c>
      <c r="BE69" s="451"/>
      <c r="BF69" s="451"/>
      <c r="BG69" s="451"/>
      <c r="BH69" s="451"/>
      <c r="BI69" s="451"/>
      <c r="BJ69" s="451"/>
      <c r="BK69" s="451"/>
      <c r="BL69" s="451"/>
      <c r="BM69" s="452" t="s">
        <v>100</v>
      </c>
      <c r="BN69" s="453"/>
      <c r="BO69" s="453"/>
      <c r="BP69" s="453"/>
      <c r="BQ69" s="453"/>
      <c r="BR69" s="453"/>
      <c r="BS69" s="453"/>
      <c r="BT69" s="453"/>
      <c r="BU69" s="453"/>
      <c r="BV69" s="453"/>
      <c r="BW69" s="453"/>
      <c r="BX69" s="453"/>
      <c r="BY69" s="453"/>
      <c r="BZ69" s="453"/>
      <c r="CA69" s="453"/>
      <c r="CB69" s="453"/>
      <c r="CC69" s="453"/>
      <c r="CD69" s="453"/>
      <c r="CE69" s="453"/>
      <c r="CF69" s="453"/>
      <c r="CG69" s="453"/>
      <c r="CH69" s="453"/>
      <c r="CI69" s="453"/>
      <c r="CJ69" s="453"/>
      <c r="CK69" s="453"/>
      <c r="CL69" s="453"/>
      <c r="CM69" s="454"/>
      <c r="CN69" s="451" t="s">
        <v>101</v>
      </c>
      <c r="CO69" s="451"/>
      <c r="CP69" s="451"/>
      <c r="CQ69" s="451"/>
      <c r="CR69" s="451"/>
      <c r="CS69" s="451"/>
      <c r="CT69" s="451"/>
      <c r="CU69" s="451"/>
      <c r="CV69" s="451"/>
      <c r="CW69" s="444" t="s">
        <v>102</v>
      </c>
      <c r="CX69" s="444"/>
      <c r="CY69" s="444"/>
      <c r="CZ69" s="444"/>
      <c r="DA69" s="444"/>
      <c r="DB69" s="444"/>
      <c r="DC69" s="444"/>
      <c r="DD69" s="444"/>
      <c r="DE69" s="445"/>
    </row>
    <row r="70" spans="1:109" ht="15" customHeight="1">
      <c r="A70" s="446" t="s">
        <v>103</v>
      </c>
      <c r="B70" s="447"/>
      <c r="C70" s="447"/>
      <c r="D70" s="447"/>
      <c r="E70" s="447"/>
      <c r="F70" s="447"/>
      <c r="G70" s="447"/>
      <c r="H70" s="447"/>
      <c r="I70" s="447"/>
      <c r="J70" s="447"/>
      <c r="K70" s="447"/>
      <c r="L70" s="447"/>
      <c r="M70" s="447"/>
      <c r="N70" s="447"/>
      <c r="O70" s="447"/>
      <c r="P70" s="447"/>
      <c r="Q70" s="447"/>
      <c r="R70" s="447"/>
      <c r="S70" s="447"/>
      <c r="T70" s="447"/>
      <c r="U70" s="447"/>
      <c r="V70" s="447"/>
      <c r="W70" s="447"/>
      <c r="X70" s="447"/>
      <c r="Y70" s="447"/>
      <c r="Z70" s="447"/>
      <c r="AA70" s="447"/>
      <c r="AB70" s="447"/>
      <c r="AC70" s="447"/>
      <c r="AD70" s="447"/>
      <c r="AE70" s="447"/>
      <c r="AF70" s="447"/>
      <c r="AG70" s="447"/>
      <c r="AH70" s="447"/>
      <c r="AI70" s="447"/>
      <c r="AJ70" s="447"/>
      <c r="AK70" s="447"/>
      <c r="AL70" s="447"/>
      <c r="AM70" s="447"/>
      <c r="AN70" s="447"/>
      <c r="AO70" s="447"/>
      <c r="AP70" s="447"/>
      <c r="AQ70" s="447"/>
      <c r="AR70" s="447"/>
      <c r="AS70" s="447"/>
      <c r="AT70" s="447"/>
      <c r="AU70" s="447"/>
      <c r="AV70" s="447"/>
      <c r="AW70" s="447"/>
      <c r="AX70" s="447"/>
      <c r="AY70" s="447"/>
      <c r="AZ70" s="447"/>
      <c r="BA70" s="447"/>
      <c r="BB70" s="447"/>
      <c r="BC70" s="447"/>
      <c r="BD70" s="447"/>
      <c r="BE70" s="447"/>
      <c r="BF70" s="447"/>
      <c r="BG70" s="447"/>
      <c r="BH70" s="447"/>
      <c r="BI70" s="447"/>
      <c r="BJ70" s="447"/>
      <c r="BK70" s="447"/>
      <c r="BL70" s="447"/>
      <c r="BM70" s="447"/>
      <c r="BN70" s="447"/>
      <c r="BO70" s="447"/>
      <c r="BP70" s="447"/>
      <c r="BQ70" s="447"/>
      <c r="BR70" s="447"/>
      <c r="BS70" s="447"/>
      <c r="BT70" s="447"/>
      <c r="BU70" s="447"/>
      <c r="BV70" s="447"/>
      <c r="BW70" s="447"/>
      <c r="BX70" s="447"/>
      <c r="BY70" s="447"/>
      <c r="BZ70" s="447"/>
      <c r="CA70" s="447"/>
      <c r="CB70" s="447"/>
      <c r="CC70" s="447"/>
      <c r="CD70" s="447"/>
      <c r="CE70" s="447"/>
      <c r="CF70" s="447"/>
      <c r="CG70" s="447"/>
      <c r="CH70" s="447"/>
      <c r="CI70" s="447"/>
      <c r="CJ70" s="447"/>
      <c r="CK70" s="447"/>
      <c r="CL70" s="447"/>
      <c r="CM70" s="447"/>
      <c r="CN70" s="447"/>
      <c r="CO70" s="447"/>
      <c r="CP70" s="447"/>
      <c r="CQ70" s="447"/>
      <c r="CR70" s="447"/>
      <c r="CS70" s="447"/>
      <c r="CT70" s="447"/>
      <c r="CU70" s="447"/>
      <c r="CV70" s="447"/>
      <c r="CW70" s="447"/>
      <c r="CX70" s="447"/>
      <c r="CY70" s="447"/>
      <c r="CZ70" s="447"/>
      <c r="DA70" s="447"/>
      <c r="DB70" s="447"/>
      <c r="DC70" s="447"/>
      <c r="DD70" s="447"/>
      <c r="DE70" s="448"/>
    </row>
    <row r="71" spans="1:109" ht="15" customHeight="1">
      <c r="A71" s="3"/>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CN71" s="4"/>
      <c r="CO71" s="4"/>
      <c r="CP71" s="4"/>
      <c r="CQ71" s="4"/>
      <c r="CR71" s="4"/>
      <c r="CS71" s="4"/>
      <c r="CT71" s="4"/>
      <c r="CU71" s="4"/>
      <c r="CV71" s="4"/>
      <c r="CW71" s="4"/>
      <c r="CX71" s="4"/>
      <c r="CY71" s="4"/>
      <c r="CZ71" s="4"/>
      <c r="DA71" s="4"/>
      <c r="DB71" s="4"/>
      <c r="DC71" s="4"/>
      <c r="DD71" s="4"/>
      <c r="DE71" s="23"/>
    </row>
    <row r="72" spans="1:109" ht="15" customHeight="1">
      <c r="A72" s="6"/>
      <c r="B72" s="376" t="s">
        <v>19</v>
      </c>
      <c r="C72" s="377"/>
      <c r="D72" s="377"/>
      <c r="E72" s="377"/>
      <c r="F72" s="377"/>
      <c r="G72" s="377"/>
      <c r="H72" s="378"/>
      <c r="I72" s="376" t="s">
        <v>21</v>
      </c>
      <c r="J72" s="377"/>
      <c r="K72" s="377"/>
      <c r="L72" s="377"/>
      <c r="M72" s="377"/>
      <c r="N72" s="377"/>
      <c r="O72" s="378"/>
      <c r="P72" s="376" t="s">
        <v>104</v>
      </c>
      <c r="Q72" s="377"/>
      <c r="R72" s="377"/>
      <c r="S72" s="377"/>
      <c r="T72" s="377"/>
      <c r="U72" s="377"/>
      <c r="V72" s="378"/>
      <c r="W72" s="376" t="s">
        <v>105</v>
      </c>
      <c r="X72" s="377"/>
      <c r="Y72" s="377"/>
      <c r="Z72" s="377"/>
      <c r="AA72" s="377"/>
      <c r="AB72" s="377"/>
      <c r="AC72" s="378"/>
      <c r="AD72" s="376" t="s">
        <v>24</v>
      </c>
      <c r="AE72" s="377"/>
      <c r="AF72" s="377"/>
      <c r="AG72" s="377"/>
      <c r="AH72" s="377"/>
      <c r="AI72" s="377"/>
      <c r="AJ72" s="378"/>
      <c r="AK72" s="376" t="s">
        <v>106</v>
      </c>
      <c r="AL72" s="377"/>
      <c r="AM72" s="377"/>
      <c r="AN72" s="377"/>
      <c r="AO72" s="377"/>
      <c r="AP72" s="377"/>
      <c r="AQ72" s="378"/>
      <c r="AR72" s="376" t="s">
        <v>107</v>
      </c>
      <c r="AS72" s="377"/>
      <c r="AT72" s="377"/>
      <c r="AU72" s="377"/>
      <c r="AV72" s="377"/>
      <c r="AW72" s="377"/>
      <c r="AX72" s="378"/>
      <c r="AY72" s="376" t="s">
        <v>24</v>
      </c>
      <c r="AZ72" s="377"/>
      <c r="BA72" s="377"/>
      <c r="BB72" s="377"/>
      <c r="BC72" s="377"/>
      <c r="BD72" s="377"/>
      <c r="BE72" s="378"/>
      <c r="BF72" s="376" t="s">
        <v>108</v>
      </c>
      <c r="BG72" s="377"/>
      <c r="BH72" s="377"/>
      <c r="BI72" s="377"/>
      <c r="BJ72" s="377"/>
      <c r="BK72" s="377"/>
      <c r="BL72" s="378"/>
      <c r="BM72" s="376" t="s">
        <v>109</v>
      </c>
      <c r="BN72" s="377"/>
      <c r="BO72" s="377"/>
      <c r="BP72" s="377"/>
      <c r="BQ72" s="377"/>
      <c r="BR72" s="377"/>
      <c r="BS72" s="377"/>
      <c r="BT72" s="377"/>
      <c r="BU72" s="377"/>
      <c r="BV72" s="377"/>
      <c r="BW72" s="377"/>
      <c r="BX72" s="377"/>
      <c r="BY72" s="377"/>
      <c r="BZ72" s="377"/>
      <c r="CA72" s="377"/>
      <c r="CB72" s="377"/>
      <c r="CC72" s="377"/>
      <c r="CD72" s="377"/>
      <c r="CE72" s="377"/>
      <c r="CF72" s="377"/>
      <c r="CG72" s="377"/>
      <c r="CH72" s="377"/>
      <c r="CI72" s="377"/>
      <c r="CJ72" s="377"/>
      <c r="CK72" s="377"/>
      <c r="CL72" s="378"/>
      <c r="CM72" s="376" t="s">
        <v>30</v>
      </c>
      <c r="CN72" s="377"/>
      <c r="CO72" s="377"/>
      <c r="CP72" s="377"/>
      <c r="CQ72" s="377"/>
      <c r="CR72" s="377"/>
      <c r="CS72" s="377"/>
      <c r="CT72" s="377"/>
      <c r="CU72" s="377"/>
      <c r="CV72" s="377"/>
      <c r="CW72" s="377"/>
      <c r="CX72" s="377"/>
      <c r="CY72" s="377"/>
      <c r="CZ72" s="377"/>
      <c r="DA72" s="377"/>
      <c r="DB72" s="377"/>
      <c r="DC72" s="377"/>
      <c r="DD72" s="378"/>
      <c r="DE72" s="7"/>
    </row>
    <row r="73" spans="1:109" ht="15" customHeight="1">
      <c r="A73" s="6"/>
      <c r="B73" s="379"/>
      <c r="C73" s="380"/>
      <c r="D73" s="380"/>
      <c r="E73" s="380"/>
      <c r="F73" s="380"/>
      <c r="G73" s="380"/>
      <c r="H73" s="381"/>
      <c r="I73" s="379"/>
      <c r="J73" s="380"/>
      <c r="K73" s="380"/>
      <c r="L73" s="380"/>
      <c r="M73" s="380"/>
      <c r="N73" s="380"/>
      <c r="O73" s="381"/>
      <c r="P73" s="379"/>
      <c r="Q73" s="380"/>
      <c r="R73" s="380"/>
      <c r="S73" s="380"/>
      <c r="T73" s="380"/>
      <c r="U73" s="380"/>
      <c r="V73" s="381"/>
      <c r="W73" s="379"/>
      <c r="X73" s="380"/>
      <c r="Y73" s="380"/>
      <c r="Z73" s="380"/>
      <c r="AA73" s="380"/>
      <c r="AB73" s="380"/>
      <c r="AC73" s="381"/>
      <c r="AD73" s="379"/>
      <c r="AE73" s="380"/>
      <c r="AF73" s="380"/>
      <c r="AG73" s="380"/>
      <c r="AH73" s="380"/>
      <c r="AI73" s="380"/>
      <c r="AJ73" s="381"/>
      <c r="AK73" s="379"/>
      <c r="AL73" s="380"/>
      <c r="AM73" s="380"/>
      <c r="AN73" s="380"/>
      <c r="AO73" s="380"/>
      <c r="AP73" s="380"/>
      <c r="AQ73" s="381"/>
      <c r="AR73" s="379"/>
      <c r="AS73" s="380"/>
      <c r="AT73" s="380"/>
      <c r="AU73" s="380"/>
      <c r="AV73" s="380"/>
      <c r="AW73" s="380"/>
      <c r="AX73" s="381"/>
      <c r="AY73" s="379"/>
      <c r="AZ73" s="380"/>
      <c r="BA73" s="380"/>
      <c r="BB73" s="380"/>
      <c r="BC73" s="380"/>
      <c r="BD73" s="380"/>
      <c r="BE73" s="381"/>
      <c r="BF73" s="379"/>
      <c r="BG73" s="380"/>
      <c r="BH73" s="380"/>
      <c r="BI73" s="380"/>
      <c r="BJ73" s="380"/>
      <c r="BK73" s="380"/>
      <c r="BL73" s="381"/>
      <c r="BM73" s="379"/>
      <c r="BN73" s="380"/>
      <c r="BO73" s="380"/>
      <c r="BP73" s="380"/>
      <c r="BQ73" s="380"/>
      <c r="BR73" s="380"/>
      <c r="BS73" s="380"/>
      <c r="BT73" s="380"/>
      <c r="BU73" s="380"/>
      <c r="BV73" s="380"/>
      <c r="BW73" s="380"/>
      <c r="BX73" s="380"/>
      <c r="BY73" s="380"/>
      <c r="BZ73" s="380"/>
      <c r="CA73" s="380"/>
      <c r="CB73" s="380"/>
      <c r="CC73" s="380"/>
      <c r="CD73" s="380"/>
      <c r="CE73" s="380"/>
      <c r="CF73" s="380"/>
      <c r="CG73" s="380"/>
      <c r="CH73" s="380"/>
      <c r="CI73" s="380"/>
      <c r="CJ73" s="380"/>
      <c r="CK73" s="380"/>
      <c r="CL73" s="381"/>
      <c r="CM73" s="379"/>
      <c r="CN73" s="380"/>
      <c r="CO73" s="380"/>
      <c r="CP73" s="380"/>
      <c r="CQ73" s="380"/>
      <c r="CR73" s="380"/>
      <c r="CS73" s="380"/>
      <c r="CT73" s="380"/>
      <c r="CU73" s="380"/>
      <c r="CV73" s="380"/>
      <c r="CW73" s="380"/>
      <c r="CX73" s="380"/>
      <c r="CY73" s="380"/>
      <c r="CZ73" s="380"/>
      <c r="DA73" s="380"/>
      <c r="DB73" s="380"/>
      <c r="DC73" s="380"/>
      <c r="DD73" s="381"/>
      <c r="DE73" s="7"/>
    </row>
    <row r="74" spans="1:109" ht="15" customHeight="1">
      <c r="A74" s="6"/>
      <c r="B74" s="353"/>
      <c r="C74" s="354"/>
      <c r="D74" s="354"/>
      <c r="E74" s="354"/>
      <c r="F74" s="354"/>
      <c r="G74" s="354"/>
      <c r="H74" s="355"/>
      <c r="I74" s="353"/>
      <c r="J74" s="354"/>
      <c r="K74" s="354"/>
      <c r="L74" s="354"/>
      <c r="M74" s="354"/>
      <c r="N74" s="354"/>
      <c r="O74" s="355"/>
      <c r="P74" s="353"/>
      <c r="Q74" s="354"/>
      <c r="R74" s="354"/>
      <c r="S74" s="354"/>
      <c r="T74" s="354"/>
      <c r="U74" s="354"/>
      <c r="V74" s="355"/>
      <c r="W74" s="395"/>
      <c r="X74" s="396"/>
      <c r="Y74" s="396"/>
      <c r="Z74" s="396"/>
      <c r="AA74" s="396"/>
      <c r="AB74" s="396"/>
      <c r="AC74" s="397"/>
      <c r="AD74" s="395"/>
      <c r="AE74" s="396"/>
      <c r="AF74" s="396"/>
      <c r="AG74" s="396"/>
      <c r="AH74" s="396"/>
      <c r="AI74" s="396"/>
      <c r="AJ74" s="397"/>
      <c r="AK74" s="395"/>
      <c r="AL74" s="396"/>
      <c r="AM74" s="396"/>
      <c r="AN74" s="396"/>
      <c r="AO74" s="396"/>
      <c r="AP74" s="396"/>
      <c r="AQ74" s="397"/>
      <c r="AR74" s="395"/>
      <c r="AS74" s="396"/>
      <c r="AT74" s="396"/>
      <c r="AU74" s="396"/>
      <c r="AV74" s="396"/>
      <c r="AW74" s="396"/>
      <c r="AX74" s="397"/>
      <c r="AY74" s="395"/>
      <c r="AZ74" s="396"/>
      <c r="BA74" s="396"/>
      <c r="BB74" s="396"/>
      <c r="BC74" s="396"/>
      <c r="BD74" s="396"/>
      <c r="BE74" s="397"/>
      <c r="BF74" s="395"/>
      <c r="BG74" s="396"/>
      <c r="BH74" s="396"/>
      <c r="BI74" s="396"/>
      <c r="BJ74" s="396"/>
      <c r="BK74" s="396"/>
      <c r="BL74" s="397"/>
      <c r="BM74" s="353"/>
      <c r="BN74" s="354"/>
      <c r="BO74" s="354"/>
      <c r="BP74" s="354"/>
      <c r="BQ74" s="354"/>
      <c r="BR74" s="354"/>
      <c r="BS74" s="354"/>
      <c r="BT74" s="354"/>
      <c r="BU74" s="354"/>
      <c r="BV74" s="354"/>
      <c r="BW74" s="354"/>
      <c r="BX74" s="354"/>
      <c r="BY74" s="354"/>
      <c r="BZ74" s="354"/>
      <c r="CA74" s="354"/>
      <c r="CB74" s="354"/>
      <c r="CC74" s="354"/>
      <c r="CD74" s="354"/>
      <c r="CE74" s="354"/>
      <c r="CF74" s="354"/>
      <c r="CG74" s="354"/>
      <c r="CH74" s="354"/>
      <c r="CI74" s="354"/>
      <c r="CJ74" s="354"/>
      <c r="CK74" s="354"/>
      <c r="CL74" s="355"/>
      <c r="CM74" s="353"/>
      <c r="CN74" s="354"/>
      <c r="CO74" s="354"/>
      <c r="CP74" s="354"/>
      <c r="CQ74" s="354"/>
      <c r="CR74" s="354"/>
      <c r="CS74" s="354"/>
      <c r="CT74" s="354"/>
      <c r="CU74" s="354"/>
      <c r="CV74" s="354"/>
      <c r="CW74" s="354"/>
      <c r="CX74" s="354"/>
      <c r="CY74" s="354"/>
      <c r="CZ74" s="354"/>
      <c r="DA74" s="354"/>
      <c r="DB74" s="354"/>
      <c r="DC74" s="354"/>
      <c r="DD74" s="355"/>
      <c r="DE74" s="7"/>
    </row>
    <row r="75" spans="1:109" ht="15" customHeight="1">
      <c r="A75" s="6"/>
      <c r="B75" s="356"/>
      <c r="C75" s="357"/>
      <c r="D75" s="357"/>
      <c r="E75" s="357"/>
      <c r="F75" s="357"/>
      <c r="G75" s="357"/>
      <c r="H75" s="358"/>
      <c r="I75" s="356"/>
      <c r="J75" s="357"/>
      <c r="K75" s="357"/>
      <c r="L75" s="357"/>
      <c r="M75" s="357"/>
      <c r="N75" s="357"/>
      <c r="O75" s="358"/>
      <c r="P75" s="356"/>
      <c r="Q75" s="357"/>
      <c r="R75" s="357"/>
      <c r="S75" s="357"/>
      <c r="T75" s="357"/>
      <c r="U75" s="357"/>
      <c r="V75" s="358"/>
      <c r="W75" s="398"/>
      <c r="X75" s="399"/>
      <c r="Y75" s="399"/>
      <c r="Z75" s="399"/>
      <c r="AA75" s="399"/>
      <c r="AB75" s="399"/>
      <c r="AC75" s="400"/>
      <c r="AD75" s="398"/>
      <c r="AE75" s="399"/>
      <c r="AF75" s="399"/>
      <c r="AG75" s="399"/>
      <c r="AH75" s="399"/>
      <c r="AI75" s="399"/>
      <c r="AJ75" s="400"/>
      <c r="AK75" s="398"/>
      <c r="AL75" s="399"/>
      <c r="AM75" s="399"/>
      <c r="AN75" s="399"/>
      <c r="AO75" s="399"/>
      <c r="AP75" s="399"/>
      <c r="AQ75" s="400"/>
      <c r="AR75" s="398"/>
      <c r="AS75" s="399"/>
      <c r="AT75" s="399"/>
      <c r="AU75" s="399"/>
      <c r="AV75" s="399"/>
      <c r="AW75" s="399"/>
      <c r="AX75" s="400"/>
      <c r="AY75" s="398"/>
      <c r="AZ75" s="399"/>
      <c r="BA75" s="399"/>
      <c r="BB75" s="399"/>
      <c r="BC75" s="399"/>
      <c r="BD75" s="399"/>
      <c r="BE75" s="400"/>
      <c r="BF75" s="398"/>
      <c r="BG75" s="399"/>
      <c r="BH75" s="399"/>
      <c r="BI75" s="399"/>
      <c r="BJ75" s="399"/>
      <c r="BK75" s="399"/>
      <c r="BL75" s="400"/>
      <c r="BM75" s="356"/>
      <c r="BN75" s="357"/>
      <c r="BO75" s="357"/>
      <c r="BP75" s="357"/>
      <c r="BQ75" s="357"/>
      <c r="BR75" s="357"/>
      <c r="BS75" s="357"/>
      <c r="BT75" s="357"/>
      <c r="BU75" s="357"/>
      <c r="BV75" s="357"/>
      <c r="BW75" s="357"/>
      <c r="BX75" s="357"/>
      <c r="BY75" s="357"/>
      <c r="BZ75" s="357"/>
      <c r="CA75" s="357"/>
      <c r="CB75" s="357"/>
      <c r="CC75" s="357"/>
      <c r="CD75" s="357"/>
      <c r="CE75" s="357"/>
      <c r="CF75" s="357"/>
      <c r="CG75" s="357"/>
      <c r="CH75" s="357"/>
      <c r="CI75" s="357"/>
      <c r="CJ75" s="357"/>
      <c r="CK75" s="357"/>
      <c r="CL75" s="358"/>
      <c r="CM75" s="356"/>
      <c r="CN75" s="357"/>
      <c r="CO75" s="357"/>
      <c r="CP75" s="357"/>
      <c r="CQ75" s="357"/>
      <c r="CR75" s="357"/>
      <c r="CS75" s="357"/>
      <c r="CT75" s="357"/>
      <c r="CU75" s="357"/>
      <c r="CV75" s="357"/>
      <c r="CW75" s="357"/>
      <c r="CX75" s="357"/>
      <c r="CY75" s="357"/>
      <c r="CZ75" s="357"/>
      <c r="DA75" s="357"/>
      <c r="DB75" s="357"/>
      <c r="DC75" s="357"/>
      <c r="DD75" s="358"/>
      <c r="DE75" s="7"/>
    </row>
    <row r="76" spans="1:109" ht="15" customHeight="1">
      <c r="A76" s="3"/>
      <c r="B76" s="382"/>
      <c r="C76" s="383"/>
      <c r="D76" s="383"/>
      <c r="E76" s="383"/>
      <c r="F76" s="383"/>
      <c r="G76" s="383"/>
      <c r="H76" s="384"/>
      <c r="I76" s="382"/>
      <c r="J76" s="383"/>
      <c r="K76" s="383"/>
      <c r="L76" s="383"/>
      <c r="M76" s="383"/>
      <c r="N76" s="383"/>
      <c r="O76" s="384"/>
      <c r="P76" s="382"/>
      <c r="Q76" s="383"/>
      <c r="R76" s="383"/>
      <c r="S76" s="383"/>
      <c r="T76" s="383"/>
      <c r="U76" s="383"/>
      <c r="V76" s="384"/>
      <c r="W76" s="408"/>
      <c r="X76" s="409"/>
      <c r="Y76" s="409"/>
      <c r="Z76" s="409"/>
      <c r="AA76" s="409"/>
      <c r="AB76" s="409"/>
      <c r="AC76" s="410"/>
      <c r="AD76" s="408"/>
      <c r="AE76" s="409"/>
      <c r="AF76" s="409"/>
      <c r="AG76" s="409"/>
      <c r="AH76" s="409"/>
      <c r="AI76" s="409"/>
      <c r="AJ76" s="410"/>
      <c r="AK76" s="408"/>
      <c r="AL76" s="409"/>
      <c r="AM76" s="409"/>
      <c r="AN76" s="409"/>
      <c r="AO76" s="409"/>
      <c r="AP76" s="409"/>
      <c r="AQ76" s="410"/>
      <c r="AR76" s="408"/>
      <c r="AS76" s="409"/>
      <c r="AT76" s="409"/>
      <c r="AU76" s="409"/>
      <c r="AV76" s="409"/>
      <c r="AW76" s="409"/>
      <c r="AX76" s="410"/>
      <c r="AY76" s="408"/>
      <c r="AZ76" s="409"/>
      <c r="BA76" s="409"/>
      <c r="BB76" s="409"/>
      <c r="BC76" s="409"/>
      <c r="BD76" s="409"/>
      <c r="BE76" s="410"/>
      <c r="BF76" s="408"/>
      <c r="BG76" s="409"/>
      <c r="BH76" s="409"/>
      <c r="BI76" s="409"/>
      <c r="BJ76" s="409"/>
      <c r="BK76" s="409"/>
      <c r="BL76" s="410"/>
      <c r="BM76" s="382"/>
      <c r="BN76" s="383"/>
      <c r="BO76" s="383"/>
      <c r="BP76" s="383"/>
      <c r="BQ76" s="383"/>
      <c r="BR76" s="383"/>
      <c r="BS76" s="383"/>
      <c r="BT76" s="383"/>
      <c r="BU76" s="383"/>
      <c r="BV76" s="383"/>
      <c r="BW76" s="383"/>
      <c r="BX76" s="383"/>
      <c r="BY76" s="383"/>
      <c r="BZ76" s="383"/>
      <c r="CA76" s="383"/>
      <c r="CB76" s="383"/>
      <c r="CC76" s="383"/>
      <c r="CD76" s="383"/>
      <c r="CE76" s="383"/>
      <c r="CF76" s="383"/>
      <c r="CG76" s="383"/>
      <c r="CH76" s="383"/>
      <c r="CI76" s="383"/>
      <c r="CJ76" s="383"/>
      <c r="CK76" s="383"/>
      <c r="CL76" s="384"/>
      <c r="CM76" s="382"/>
      <c r="CN76" s="383"/>
      <c r="CO76" s="383"/>
      <c r="CP76" s="383"/>
      <c r="CQ76" s="383"/>
      <c r="CR76" s="383"/>
      <c r="CS76" s="383"/>
      <c r="CT76" s="383"/>
      <c r="CU76" s="383"/>
      <c r="CV76" s="383"/>
      <c r="CW76" s="383"/>
      <c r="CX76" s="383"/>
      <c r="CY76" s="383"/>
      <c r="CZ76" s="383"/>
      <c r="DA76" s="383"/>
      <c r="DB76" s="383"/>
      <c r="DC76" s="383"/>
      <c r="DD76" s="384"/>
      <c r="DE76" s="7"/>
    </row>
    <row r="77" spans="1:109" ht="15" customHeight="1">
      <c r="A77" s="6"/>
      <c r="B77" s="385"/>
      <c r="C77" s="386"/>
      <c r="D77" s="386"/>
      <c r="E77" s="386"/>
      <c r="F77" s="386"/>
      <c r="G77" s="386"/>
      <c r="H77" s="387"/>
      <c r="I77" s="385"/>
      <c r="J77" s="386"/>
      <c r="K77" s="386"/>
      <c r="L77" s="386"/>
      <c r="M77" s="386"/>
      <c r="N77" s="386"/>
      <c r="O77" s="387"/>
      <c r="P77" s="385"/>
      <c r="Q77" s="386"/>
      <c r="R77" s="386"/>
      <c r="S77" s="386"/>
      <c r="T77" s="386"/>
      <c r="U77" s="386"/>
      <c r="V77" s="387"/>
      <c r="W77" s="411"/>
      <c r="X77" s="412"/>
      <c r="Y77" s="412"/>
      <c r="Z77" s="412"/>
      <c r="AA77" s="412"/>
      <c r="AB77" s="412"/>
      <c r="AC77" s="413"/>
      <c r="AD77" s="411"/>
      <c r="AE77" s="412"/>
      <c r="AF77" s="412"/>
      <c r="AG77" s="412"/>
      <c r="AH77" s="412"/>
      <c r="AI77" s="412"/>
      <c r="AJ77" s="413"/>
      <c r="AK77" s="411"/>
      <c r="AL77" s="412"/>
      <c r="AM77" s="412"/>
      <c r="AN77" s="412"/>
      <c r="AO77" s="412"/>
      <c r="AP77" s="412"/>
      <c r="AQ77" s="413"/>
      <c r="AR77" s="411"/>
      <c r="AS77" s="412"/>
      <c r="AT77" s="412"/>
      <c r="AU77" s="412"/>
      <c r="AV77" s="412"/>
      <c r="AW77" s="412"/>
      <c r="AX77" s="413"/>
      <c r="AY77" s="411"/>
      <c r="AZ77" s="412"/>
      <c r="BA77" s="412"/>
      <c r="BB77" s="412"/>
      <c r="BC77" s="412"/>
      <c r="BD77" s="412"/>
      <c r="BE77" s="413"/>
      <c r="BF77" s="411"/>
      <c r="BG77" s="412"/>
      <c r="BH77" s="412"/>
      <c r="BI77" s="412"/>
      <c r="BJ77" s="412"/>
      <c r="BK77" s="412"/>
      <c r="BL77" s="413"/>
      <c r="BM77" s="385"/>
      <c r="BN77" s="386"/>
      <c r="BO77" s="386"/>
      <c r="BP77" s="386"/>
      <c r="BQ77" s="386"/>
      <c r="BR77" s="386"/>
      <c r="BS77" s="386"/>
      <c r="BT77" s="386"/>
      <c r="BU77" s="386"/>
      <c r="BV77" s="386"/>
      <c r="BW77" s="386"/>
      <c r="BX77" s="386"/>
      <c r="BY77" s="386"/>
      <c r="BZ77" s="386"/>
      <c r="CA77" s="386"/>
      <c r="CB77" s="386"/>
      <c r="CC77" s="386"/>
      <c r="CD77" s="386"/>
      <c r="CE77" s="386"/>
      <c r="CF77" s="386"/>
      <c r="CG77" s="386"/>
      <c r="CH77" s="386"/>
      <c r="CI77" s="386"/>
      <c r="CJ77" s="386"/>
      <c r="CK77" s="386"/>
      <c r="CL77" s="387"/>
      <c r="CM77" s="385"/>
      <c r="CN77" s="386"/>
      <c r="CO77" s="386"/>
      <c r="CP77" s="386"/>
      <c r="CQ77" s="386"/>
      <c r="CR77" s="386"/>
      <c r="CS77" s="386"/>
      <c r="CT77" s="386"/>
      <c r="CU77" s="386"/>
      <c r="CV77" s="386"/>
      <c r="CW77" s="386"/>
      <c r="CX77" s="386"/>
      <c r="CY77" s="386"/>
      <c r="CZ77" s="386"/>
      <c r="DA77" s="386"/>
      <c r="DB77" s="386"/>
      <c r="DC77" s="386"/>
      <c r="DD77" s="387"/>
      <c r="DE77" s="7"/>
    </row>
    <row r="78" spans="1:109" ht="15" customHeight="1">
      <c r="A78" s="8"/>
      <c r="B78" s="353"/>
      <c r="C78" s="354"/>
      <c r="D78" s="354"/>
      <c r="E78" s="354"/>
      <c r="F78" s="354"/>
      <c r="G78" s="354"/>
      <c r="H78" s="355"/>
      <c r="I78" s="352"/>
      <c r="J78" s="352"/>
      <c r="K78" s="352"/>
      <c r="L78" s="352"/>
      <c r="M78" s="352"/>
      <c r="N78" s="352"/>
      <c r="O78" s="352"/>
      <c r="P78" s="352"/>
      <c r="Q78" s="352"/>
      <c r="R78" s="352"/>
      <c r="S78" s="352"/>
      <c r="T78" s="352"/>
      <c r="U78" s="352"/>
      <c r="V78" s="352"/>
      <c r="W78" s="360"/>
      <c r="X78" s="360"/>
      <c r="Y78" s="360"/>
      <c r="Z78" s="360"/>
      <c r="AA78" s="360"/>
      <c r="AB78" s="360"/>
      <c r="AC78" s="360"/>
      <c r="AD78" s="360"/>
      <c r="AE78" s="360"/>
      <c r="AF78" s="360"/>
      <c r="AG78" s="360"/>
      <c r="AH78" s="360"/>
      <c r="AI78" s="360"/>
      <c r="AJ78" s="360"/>
      <c r="AK78" s="360"/>
      <c r="AL78" s="360"/>
      <c r="AM78" s="360"/>
      <c r="AN78" s="360"/>
      <c r="AO78" s="360"/>
      <c r="AP78" s="360"/>
      <c r="AQ78" s="360"/>
      <c r="AR78" s="360"/>
      <c r="AS78" s="360"/>
      <c r="AT78" s="360"/>
      <c r="AU78" s="360"/>
      <c r="AV78" s="360"/>
      <c r="AW78" s="360"/>
      <c r="AX78" s="360"/>
      <c r="AY78" s="360"/>
      <c r="AZ78" s="360"/>
      <c r="BA78" s="360"/>
      <c r="BB78" s="360"/>
      <c r="BC78" s="360"/>
      <c r="BD78" s="360"/>
      <c r="BE78" s="360"/>
      <c r="BF78" s="360"/>
      <c r="BG78" s="360"/>
      <c r="BH78" s="360"/>
      <c r="BI78" s="360"/>
      <c r="BJ78" s="360"/>
      <c r="BK78" s="360"/>
      <c r="BL78" s="360"/>
      <c r="BM78" s="352"/>
      <c r="BN78" s="352"/>
      <c r="BO78" s="352"/>
      <c r="BP78" s="352"/>
      <c r="BQ78" s="352"/>
      <c r="BR78" s="352"/>
      <c r="BS78" s="352"/>
      <c r="BT78" s="352"/>
      <c r="BU78" s="352"/>
      <c r="BV78" s="352"/>
      <c r="BW78" s="352"/>
      <c r="BX78" s="352"/>
      <c r="BY78" s="352"/>
      <c r="BZ78" s="352"/>
      <c r="CA78" s="352"/>
      <c r="CB78" s="352"/>
      <c r="CC78" s="352"/>
      <c r="CD78" s="352"/>
      <c r="CE78" s="352"/>
      <c r="CF78" s="352"/>
      <c r="CG78" s="352"/>
      <c r="CH78" s="352"/>
      <c r="CI78" s="352"/>
      <c r="CJ78" s="352"/>
      <c r="CK78" s="352"/>
      <c r="CL78" s="352"/>
      <c r="CM78" s="352"/>
      <c r="CN78" s="352"/>
      <c r="CO78" s="352"/>
      <c r="CP78" s="352"/>
      <c r="CQ78" s="352"/>
      <c r="CR78" s="352"/>
      <c r="CS78" s="352"/>
      <c r="CT78" s="352"/>
      <c r="CU78" s="352"/>
      <c r="CV78" s="352"/>
      <c r="CW78" s="352"/>
      <c r="CX78" s="352"/>
      <c r="CY78" s="352"/>
      <c r="CZ78" s="352"/>
      <c r="DA78" s="352"/>
      <c r="DB78" s="352"/>
      <c r="DC78" s="352"/>
      <c r="DD78" s="352"/>
      <c r="DE78" s="7"/>
    </row>
    <row r="79" spans="1:109" ht="15" customHeight="1">
      <c r="A79" s="8"/>
      <c r="B79" s="356"/>
      <c r="C79" s="357"/>
      <c r="D79" s="357"/>
      <c r="E79" s="357"/>
      <c r="F79" s="357"/>
      <c r="G79" s="357"/>
      <c r="H79" s="358"/>
      <c r="I79" s="352"/>
      <c r="J79" s="352"/>
      <c r="K79" s="352"/>
      <c r="L79" s="352"/>
      <c r="M79" s="352"/>
      <c r="N79" s="352"/>
      <c r="O79" s="352"/>
      <c r="P79" s="352"/>
      <c r="Q79" s="352"/>
      <c r="R79" s="352"/>
      <c r="S79" s="352"/>
      <c r="T79" s="352"/>
      <c r="U79" s="352"/>
      <c r="V79" s="352"/>
      <c r="W79" s="360"/>
      <c r="X79" s="360"/>
      <c r="Y79" s="360"/>
      <c r="Z79" s="360"/>
      <c r="AA79" s="360"/>
      <c r="AB79" s="360"/>
      <c r="AC79" s="360"/>
      <c r="AD79" s="360"/>
      <c r="AE79" s="360"/>
      <c r="AF79" s="360"/>
      <c r="AG79" s="360"/>
      <c r="AH79" s="360"/>
      <c r="AI79" s="360"/>
      <c r="AJ79" s="360"/>
      <c r="AK79" s="360"/>
      <c r="AL79" s="360"/>
      <c r="AM79" s="360"/>
      <c r="AN79" s="360"/>
      <c r="AO79" s="360"/>
      <c r="AP79" s="360"/>
      <c r="AQ79" s="360"/>
      <c r="AR79" s="360"/>
      <c r="AS79" s="360"/>
      <c r="AT79" s="360"/>
      <c r="AU79" s="360"/>
      <c r="AV79" s="360"/>
      <c r="AW79" s="360"/>
      <c r="AX79" s="360"/>
      <c r="AY79" s="360"/>
      <c r="AZ79" s="360"/>
      <c r="BA79" s="360"/>
      <c r="BB79" s="360"/>
      <c r="BC79" s="360"/>
      <c r="BD79" s="360"/>
      <c r="BE79" s="360"/>
      <c r="BF79" s="360"/>
      <c r="BG79" s="360"/>
      <c r="BH79" s="360"/>
      <c r="BI79" s="360"/>
      <c r="BJ79" s="360"/>
      <c r="BK79" s="360"/>
      <c r="BL79" s="360"/>
      <c r="BM79" s="352"/>
      <c r="BN79" s="352"/>
      <c r="BO79" s="352"/>
      <c r="BP79" s="352"/>
      <c r="BQ79" s="352"/>
      <c r="BR79" s="352"/>
      <c r="BS79" s="352"/>
      <c r="BT79" s="352"/>
      <c r="BU79" s="352"/>
      <c r="BV79" s="352"/>
      <c r="BW79" s="352"/>
      <c r="BX79" s="352"/>
      <c r="BY79" s="352"/>
      <c r="BZ79" s="352"/>
      <c r="CA79" s="352"/>
      <c r="CB79" s="352"/>
      <c r="CC79" s="352"/>
      <c r="CD79" s="352"/>
      <c r="CE79" s="352"/>
      <c r="CF79" s="352"/>
      <c r="CG79" s="352"/>
      <c r="CH79" s="352"/>
      <c r="CI79" s="352"/>
      <c r="CJ79" s="352"/>
      <c r="CK79" s="352"/>
      <c r="CL79" s="352"/>
      <c r="CM79" s="352"/>
      <c r="CN79" s="352"/>
      <c r="CO79" s="352"/>
      <c r="CP79" s="352"/>
      <c r="CQ79" s="352"/>
      <c r="CR79" s="352"/>
      <c r="CS79" s="352"/>
      <c r="CT79" s="352"/>
      <c r="CU79" s="352"/>
      <c r="CV79" s="352"/>
      <c r="CW79" s="352"/>
      <c r="CX79" s="352"/>
      <c r="CY79" s="352"/>
      <c r="CZ79" s="352"/>
      <c r="DA79" s="352"/>
      <c r="DB79" s="352"/>
      <c r="DC79" s="352"/>
      <c r="DD79" s="352"/>
      <c r="DE79" s="7"/>
    </row>
    <row r="80" spans="1:109" ht="15" customHeight="1">
      <c r="A80" s="3"/>
      <c r="B80" s="382"/>
      <c r="C80" s="383"/>
      <c r="D80" s="383"/>
      <c r="E80" s="383"/>
      <c r="F80" s="383"/>
      <c r="G80" s="383"/>
      <c r="H80" s="384"/>
      <c r="I80" s="351"/>
      <c r="J80" s="351"/>
      <c r="K80" s="351"/>
      <c r="L80" s="351"/>
      <c r="M80" s="351"/>
      <c r="N80" s="351"/>
      <c r="O80" s="351"/>
      <c r="P80" s="351"/>
      <c r="Q80" s="351"/>
      <c r="R80" s="351"/>
      <c r="S80" s="351"/>
      <c r="T80" s="351"/>
      <c r="U80" s="351"/>
      <c r="V80" s="351"/>
      <c r="W80" s="359"/>
      <c r="X80" s="359"/>
      <c r="Y80" s="359"/>
      <c r="Z80" s="359"/>
      <c r="AA80" s="359"/>
      <c r="AB80" s="359"/>
      <c r="AC80" s="359"/>
      <c r="AD80" s="359"/>
      <c r="AE80" s="359"/>
      <c r="AF80" s="359"/>
      <c r="AG80" s="359"/>
      <c r="AH80" s="359"/>
      <c r="AI80" s="359"/>
      <c r="AJ80" s="359"/>
      <c r="AK80" s="359"/>
      <c r="AL80" s="359"/>
      <c r="AM80" s="359"/>
      <c r="AN80" s="359"/>
      <c r="AO80" s="359"/>
      <c r="AP80" s="359"/>
      <c r="AQ80" s="359"/>
      <c r="AR80" s="359"/>
      <c r="AS80" s="359"/>
      <c r="AT80" s="359"/>
      <c r="AU80" s="359"/>
      <c r="AV80" s="359"/>
      <c r="AW80" s="359"/>
      <c r="AX80" s="359"/>
      <c r="AY80" s="359"/>
      <c r="AZ80" s="359"/>
      <c r="BA80" s="359"/>
      <c r="BB80" s="359"/>
      <c r="BC80" s="359"/>
      <c r="BD80" s="359"/>
      <c r="BE80" s="359"/>
      <c r="BF80" s="359"/>
      <c r="BG80" s="359"/>
      <c r="BH80" s="359"/>
      <c r="BI80" s="359"/>
      <c r="BJ80" s="359"/>
      <c r="BK80" s="359"/>
      <c r="BL80" s="359"/>
      <c r="BM80" s="351"/>
      <c r="BN80" s="351"/>
      <c r="BO80" s="351"/>
      <c r="BP80" s="351"/>
      <c r="BQ80" s="351"/>
      <c r="BR80" s="351"/>
      <c r="BS80" s="351"/>
      <c r="BT80" s="351"/>
      <c r="BU80" s="351"/>
      <c r="BV80" s="351"/>
      <c r="BW80" s="351"/>
      <c r="BX80" s="351"/>
      <c r="BY80" s="351"/>
      <c r="BZ80" s="351"/>
      <c r="CA80" s="351"/>
      <c r="CB80" s="351"/>
      <c r="CC80" s="351"/>
      <c r="CD80" s="351"/>
      <c r="CE80" s="351"/>
      <c r="CF80" s="351"/>
      <c r="CG80" s="351"/>
      <c r="CH80" s="351"/>
      <c r="CI80" s="351"/>
      <c r="CJ80" s="351"/>
      <c r="CK80" s="351"/>
      <c r="CL80" s="351"/>
      <c r="CM80" s="351"/>
      <c r="CN80" s="351"/>
      <c r="CO80" s="351"/>
      <c r="CP80" s="351"/>
      <c r="CQ80" s="351"/>
      <c r="CR80" s="351"/>
      <c r="CS80" s="351"/>
      <c r="CT80" s="351"/>
      <c r="CU80" s="351"/>
      <c r="CV80" s="351"/>
      <c r="CW80" s="351"/>
      <c r="CX80" s="351"/>
      <c r="CY80" s="351"/>
      <c r="CZ80" s="351"/>
      <c r="DA80" s="351"/>
      <c r="DB80" s="351"/>
      <c r="DC80" s="351"/>
      <c r="DD80" s="351"/>
      <c r="DE80" s="7"/>
    </row>
    <row r="81" spans="1:109" ht="15" customHeight="1">
      <c r="A81" s="3"/>
      <c r="B81" s="385"/>
      <c r="C81" s="386"/>
      <c r="D81" s="386"/>
      <c r="E81" s="386"/>
      <c r="F81" s="386"/>
      <c r="G81" s="386"/>
      <c r="H81" s="387"/>
      <c r="I81" s="351"/>
      <c r="J81" s="351"/>
      <c r="K81" s="351"/>
      <c r="L81" s="351"/>
      <c r="M81" s="351"/>
      <c r="N81" s="351"/>
      <c r="O81" s="351"/>
      <c r="P81" s="351"/>
      <c r="Q81" s="351"/>
      <c r="R81" s="351"/>
      <c r="S81" s="351"/>
      <c r="T81" s="351"/>
      <c r="U81" s="351"/>
      <c r="V81" s="351"/>
      <c r="W81" s="359"/>
      <c r="X81" s="359"/>
      <c r="Y81" s="359"/>
      <c r="Z81" s="359"/>
      <c r="AA81" s="359"/>
      <c r="AB81" s="359"/>
      <c r="AC81" s="359"/>
      <c r="AD81" s="359"/>
      <c r="AE81" s="359"/>
      <c r="AF81" s="359"/>
      <c r="AG81" s="359"/>
      <c r="AH81" s="359"/>
      <c r="AI81" s="359"/>
      <c r="AJ81" s="359"/>
      <c r="AK81" s="359"/>
      <c r="AL81" s="359"/>
      <c r="AM81" s="359"/>
      <c r="AN81" s="359"/>
      <c r="AO81" s="359"/>
      <c r="AP81" s="359"/>
      <c r="AQ81" s="359"/>
      <c r="AR81" s="359"/>
      <c r="AS81" s="359"/>
      <c r="AT81" s="359"/>
      <c r="AU81" s="359"/>
      <c r="AV81" s="359"/>
      <c r="AW81" s="359"/>
      <c r="AX81" s="359"/>
      <c r="AY81" s="359"/>
      <c r="AZ81" s="359"/>
      <c r="BA81" s="359"/>
      <c r="BB81" s="359"/>
      <c r="BC81" s="359"/>
      <c r="BD81" s="359"/>
      <c r="BE81" s="359"/>
      <c r="BF81" s="359"/>
      <c r="BG81" s="359"/>
      <c r="BH81" s="359"/>
      <c r="BI81" s="359"/>
      <c r="BJ81" s="359"/>
      <c r="BK81" s="359"/>
      <c r="BL81" s="359"/>
      <c r="BM81" s="351"/>
      <c r="BN81" s="351"/>
      <c r="BO81" s="351"/>
      <c r="BP81" s="351"/>
      <c r="BQ81" s="351"/>
      <c r="BR81" s="351"/>
      <c r="BS81" s="351"/>
      <c r="BT81" s="351"/>
      <c r="BU81" s="351"/>
      <c r="BV81" s="351"/>
      <c r="BW81" s="351"/>
      <c r="BX81" s="351"/>
      <c r="BY81" s="351"/>
      <c r="BZ81" s="351"/>
      <c r="CA81" s="351"/>
      <c r="CB81" s="351"/>
      <c r="CC81" s="351"/>
      <c r="CD81" s="351"/>
      <c r="CE81" s="351"/>
      <c r="CF81" s="351"/>
      <c r="CG81" s="351"/>
      <c r="CH81" s="351"/>
      <c r="CI81" s="351"/>
      <c r="CJ81" s="351"/>
      <c r="CK81" s="351"/>
      <c r="CL81" s="351"/>
      <c r="CM81" s="351"/>
      <c r="CN81" s="351"/>
      <c r="CO81" s="351"/>
      <c r="CP81" s="351"/>
      <c r="CQ81" s="351"/>
      <c r="CR81" s="351"/>
      <c r="CS81" s="351"/>
      <c r="CT81" s="351"/>
      <c r="CU81" s="351"/>
      <c r="CV81" s="351"/>
      <c r="CW81" s="351"/>
      <c r="CX81" s="351"/>
      <c r="CY81" s="351"/>
      <c r="CZ81" s="351"/>
      <c r="DA81" s="351"/>
      <c r="DB81" s="351"/>
      <c r="DC81" s="351"/>
      <c r="DD81" s="351"/>
      <c r="DE81" s="7"/>
    </row>
    <row r="82" spans="1:109" ht="15" customHeight="1">
      <c r="A82" s="3"/>
      <c r="B82" s="353"/>
      <c r="C82" s="354"/>
      <c r="D82" s="354"/>
      <c r="E82" s="354"/>
      <c r="F82" s="354"/>
      <c r="G82" s="354"/>
      <c r="H82" s="355"/>
      <c r="I82" s="352"/>
      <c r="J82" s="352"/>
      <c r="K82" s="352"/>
      <c r="L82" s="352"/>
      <c r="M82" s="352"/>
      <c r="N82" s="352"/>
      <c r="O82" s="352"/>
      <c r="P82" s="352"/>
      <c r="Q82" s="352"/>
      <c r="R82" s="352"/>
      <c r="S82" s="352"/>
      <c r="T82" s="352"/>
      <c r="U82" s="352"/>
      <c r="V82" s="352"/>
      <c r="W82" s="360"/>
      <c r="X82" s="360"/>
      <c r="Y82" s="360"/>
      <c r="Z82" s="360"/>
      <c r="AA82" s="360"/>
      <c r="AB82" s="360"/>
      <c r="AC82" s="360"/>
      <c r="AD82" s="360"/>
      <c r="AE82" s="360"/>
      <c r="AF82" s="360"/>
      <c r="AG82" s="360"/>
      <c r="AH82" s="360"/>
      <c r="AI82" s="360"/>
      <c r="AJ82" s="360"/>
      <c r="AK82" s="360"/>
      <c r="AL82" s="360"/>
      <c r="AM82" s="360"/>
      <c r="AN82" s="360"/>
      <c r="AO82" s="360"/>
      <c r="AP82" s="360"/>
      <c r="AQ82" s="360"/>
      <c r="AR82" s="360"/>
      <c r="AS82" s="360"/>
      <c r="AT82" s="360"/>
      <c r="AU82" s="360"/>
      <c r="AV82" s="360"/>
      <c r="AW82" s="360"/>
      <c r="AX82" s="360"/>
      <c r="AY82" s="360"/>
      <c r="AZ82" s="360"/>
      <c r="BA82" s="360"/>
      <c r="BB82" s="360"/>
      <c r="BC82" s="360"/>
      <c r="BD82" s="360"/>
      <c r="BE82" s="360"/>
      <c r="BF82" s="360"/>
      <c r="BG82" s="360"/>
      <c r="BH82" s="360"/>
      <c r="BI82" s="360"/>
      <c r="BJ82" s="360"/>
      <c r="BK82" s="360"/>
      <c r="BL82" s="360"/>
      <c r="BM82" s="416"/>
      <c r="BN82" s="352"/>
      <c r="BO82" s="352"/>
      <c r="BP82" s="352"/>
      <c r="BQ82" s="352"/>
      <c r="BR82" s="352"/>
      <c r="BS82" s="352"/>
      <c r="BT82" s="352"/>
      <c r="BU82" s="352"/>
      <c r="BV82" s="352"/>
      <c r="BW82" s="352"/>
      <c r="BX82" s="352"/>
      <c r="BY82" s="352"/>
      <c r="BZ82" s="352"/>
      <c r="CA82" s="352"/>
      <c r="CB82" s="352"/>
      <c r="CC82" s="352"/>
      <c r="CD82" s="352"/>
      <c r="CE82" s="352"/>
      <c r="CF82" s="352"/>
      <c r="CG82" s="352"/>
      <c r="CH82" s="352"/>
      <c r="CI82" s="352"/>
      <c r="CJ82" s="352"/>
      <c r="CK82" s="352"/>
      <c r="CL82" s="352"/>
      <c r="CM82" s="352"/>
      <c r="CN82" s="352"/>
      <c r="CO82" s="352"/>
      <c r="CP82" s="352"/>
      <c r="CQ82" s="352"/>
      <c r="CR82" s="352"/>
      <c r="CS82" s="352"/>
      <c r="CT82" s="352"/>
      <c r="CU82" s="352"/>
      <c r="CV82" s="352"/>
      <c r="CW82" s="352"/>
      <c r="CX82" s="352"/>
      <c r="CY82" s="352"/>
      <c r="CZ82" s="352"/>
      <c r="DA82" s="352"/>
      <c r="DB82" s="352"/>
      <c r="DC82" s="352"/>
      <c r="DD82" s="352"/>
      <c r="DE82" s="24"/>
    </row>
    <row r="83" spans="1:109" ht="15" customHeight="1">
      <c r="A83" s="3"/>
      <c r="B83" s="356"/>
      <c r="C83" s="357"/>
      <c r="D83" s="357"/>
      <c r="E83" s="357"/>
      <c r="F83" s="357"/>
      <c r="G83" s="357"/>
      <c r="H83" s="358"/>
      <c r="I83" s="352"/>
      <c r="J83" s="352"/>
      <c r="K83" s="352"/>
      <c r="L83" s="352"/>
      <c r="M83" s="352"/>
      <c r="N83" s="352"/>
      <c r="O83" s="352"/>
      <c r="P83" s="352"/>
      <c r="Q83" s="352"/>
      <c r="R83" s="352"/>
      <c r="S83" s="352"/>
      <c r="T83" s="352"/>
      <c r="U83" s="352"/>
      <c r="V83" s="352"/>
      <c r="W83" s="360"/>
      <c r="X83" s="360"/>
      <c r="Y83" s="360"/>
      <c r="Z83" s="360"/>
      <c r="AA83" s="360"/>
      <c r="AB83" s="360"/>
      <c r="AC83" s="360"/>
      <c r="AD83" s="360"/>
      <c r="AE83" s="360"/>
      <c r="AF83" s="360"/>
      <c r="AG83" s="360"/>
      <c r="AH83" s="360"/>
      <c r="AI83" s="360"/>
      <c r="AJ83" s="360"/>
      <c r="AK83" s="360"/>
      <c r="AL83" s="360"/>
      <c r="AM83" s="360"/>
      <c r="AN83" s="360"/>
      <c r="AO83" s="360"/>
      <c r="AP83" s="360"/>
      <c r="AQ83" s="360"/>
      <c r="AR83" s="360"/>
      <c r="AS83" s="360"/>
      <c r="AT83" s="360"/>
      <c r="AU83" s="360"/>
      <c r="AV83" s="360"/>
      <c r="AW83" s="360"/>
      <c r="AX83" s="360"/>
      <c r="AY83" s="360"/>
      <c r="AZ83" s="360"/>
      <c r="BA83" s="360"/>
      <c r="BB83" s="360"/>
      <c r="BC83" s="360"/>
      <c r="BD83" s="360"/>
      <c r="BE83" s="360"/>
      <c r="BF83" s="360"/>
      <c r="BG83" s="360"/>
      <c r="BH83" s="360"/>
      <c r="BI83" s="360"/>
      <c r="BJ83" s="360"/>
      <c r="BK83" s="360"/>
      <c r="BL83" s="360"/>
      <c r="BM83" s="352"/>
      <c r="BN83" s="352"/>
      <c r="BO83" s="352"/>
      <c r="BP83" s="352"/>
      <c r="BQ83" s="352"/>
      <c r="BR83" s="352"/>
      <c r="BS83" s="352"/>
      <c r="BT83" s="352"/>
      <c r="BU83" s="352"/>
      <c r="BV83" s="352"/>
      <c r="BW83" s="352"/>
      <c r="BX83" s="352"/>
      <c r="BY83" s="352"/>
      <c r="BZ83" s="352"/>
      <c r="CA83" s="352"/>
      <c r="CB83" s="352"/>
      <c r="CC83" s="352"/>
      <c r="CD83" s="352"/>
      <c r="CE83" s="352"/>
      <c r="CF83" s="352"/>
      <c r="CG83" s="352"/>
      <c r="CH83" s="352"/>
      <c r="CI83" s="352"/>
      <c r="CJ83" s="352"/>
      <c r="CK83" s="352"/>
      <c r="CL83" s="352"/>
      <c r="CM83" s="352"/>
      <c r="CN83" s="352"/>
      <c r="CO83" s="352"/>
      <c r="CP83" s="352"/>
      <c r="CQ83" s="352"/>
      <c r="CR83" s="352"/>
      <c r="CS83" s="352"/>
      <c r="CT83" s="352"/>
      <c r="CU83" s="352"/>
      <c r="CV83" s="352"/>
      <c r="CW83" s="352"/>
      <c r="CX83" s="352"/>
      <c r="CY83" s="352"/>
      <c r="CZ83" s="352"/>
      <c r="DA83" s="352"/>
      <c r="DB83" s="352"/>
      <c r="DC83" s="352"/>
      <c r="DD83" s="352"/>
      <c r="DE83" s="7"/>
    </row>
    <row r="84" spans="1:109" ht="15" customHeight="1">
      <c r="A84" s="8"/>
      <c r="B84" s="382"/>
      <c r="C84" s="383"/>
      <c r="D84" s="383"/>
      <c r="E84" s="383"/>
      <c r="F84" s="383"/>
      <c r="G84" s="383"/>
      <c r="H84" s="384"/>
      <c r="I84" s="351"/>
      <c r="J84" s="351"/>
      <c r="K84" s="351"/>
      <c r="L84" s="351"/>
      <c r="M84" s="351"/>
      <c r="N84" s="351"/>
      <c r="O84" s="351"/>
      <c r="P84" s="351"/>
      <c r="Q84" s="351"/>
      <c r="R84" s="351"/>
      <c r="S84" s="351"/>
      <c r="T84" s="351"/>
      <c r="U84" s="351"/>
      <c r="V84" s="351"/>
      <c r="W84" s="359"/>
      <c r="X84" s="359"/>
      <c r="Y84" s="359"/>
      <c r="Z84" s="359"/>
      <c r="AA84" s="359"/>
      <c r="AB84" s="359"/>
      <c r="AC84" s="359"/>
      <c r="AD84" s="359"/>
      <c r="AE84" s="359"/>
      <c r="AF84" s="359"/>
      <c r="AG84" s="359"/>
      <c r="AH84" s="359"/>
      <c r="AI84" s="359"/>
      <c r="AJ84" s="359"/>
      <c r="AK84" s="359"/>
      <c r="AL84" s="359"/>
      <c r="AM84" s="359"/>
      <c r="AN84" s="359"/>
      <c r="AO84" s="359"/>
      <c r="AP84" s="359"/>
      <c r="AQ84" s="359"/>
      <c r="AR84" s="359"/>
      <c r="AS84" s="359"/>
      <c r="AT84" s="359"/>
      <c r="AU84" s="359"/>
      <c r="AV84" s="359"/>
      <c r="AW84" s="359"/>
      <c r="AX84" s="359"/>
      <c r="AY84" s="359"/>
      <c r="AZ84" s="359"/>
      <c r="BA84" s="359"/>
      <c r="BB84" s="359"/>
      <c r="BC84" s="359"/>
      <c r="BD84" s="359"/>
      <c r="BE84" s="359"/>
      <c r="BF84" s="359"/>
      <c r="BG84" s="359"/>
      <c r="BH84" s="359"/>
      <c r="BI84" s="359"/>
      <c r="BJ84" s="359"/>
      <c r="BK84" s="359"/>
      <c r="BL84" s="359"/>
      <c r="BM84" s="351"/>
      <c r="BN84" s="351"/>
      <c r="BO84" s="351"/>
      <c r="BP84" s="351"/>
      <c r="BQ84" s="351"/>
      <c r="BR84" s="351"/>
      <c r="BS84" s="351"/>
      <c r="BT84" s="351"/>
      <c r="BU84" s="351"/>
      <c r="BV84" s="351"/>
      <c r="BW84" s="351"/>
      <c r="BX84" s="351"/>
      <c r="BY84" s="351"/>
      <c r="BZ84" s="351"/>
      <c r="CA84" s="351"/>
      <c r="CB84" s="351"/>
      <c r="CC84" s="351"/>
      <c r="CD84" s="351"/>
      <c r="CE84" s="351"/>
      <c r="CF84" s="351"/>
      <c r="CG84" s="351"/>
      <c r="CH84" s="351"/>
      <c r="CI84" s="351"/>
      <c r="CJ84" s="351"/>
      <c r="CK84" s="351"/>
      <c r="CL84" s="351"/>
      <c r="CM84" s="351"/>
      <c r="CN84" s="351"/>
      <c r="CO84" s="351"/>
      <c r="CP84" s="351"/>
      <c r="CQ84" s="351"/>
      <c r="CR84" s="351"/>
      <c r="CS84" s="351"/>
      <c r="CT84" s="351"/>
      <c r="CU84" s="351"/>
      <c r="CV84" s="351"/>
      <c r="CW84" s="351"/>
      <c r="CX84" s="351"/>
      <c r="CY84" s="351"/>
      <c r="CZ84" s="351"/>
      <c r="DA84" s="351"/>
      <c r="DB84" s="351"/>
      <c r="DC84" s="351"/>
      <c r="DD84" s="351"/>
      <c r="DE84" s="7"/>
    </row>
    <row r="85" spans="1:109" ht="15" customHeight="1">
      <c r="A85" s="6"/>
      <c r="B85" s="385"/>
      <c r="C85" s="386"/>
      <c r="D85" s="386"/>
      <c r="E85" s="386"/>
      <c r="F85" s="386"/>
      <c r="G85" s="386"/>
      <c r="H85" s="387"/>
      <c r="I85" s="351"/>
      <c r="J85" s="351"/>
      <c r="K85" s="351"/>
      <c r="L85" s="351"/>
      <c r="M85" s="351"/>
      <c r="N85" s="351"/>
      <c r="O85" s="351"/>
      <c r="P85" s="351"/>
      <c r="Q85" s="351"/>
      <c r="R85" s="351"/>
      <c r="S85" s="351"/>
      <c r="T85" s="351"/>
      <c r="U85" s="351"/>
      <c r="V85" s="351"/>
      <c r="W85" s="359"/>
      <c r="X85" s="359"/>
      <c r="Y85" s="359"/>
      <c r="Z85" s="359"/>
      <c r="AA85" s="359"/>
      <c r="AB85" s="359"/>
      <c r="AC85" s="359"/>
      <c r="AD85" s="359"/>
      <c r="AE85" s="359"/>
      <c r="AF85" s="359"/>
      <c r="AG85" s="359"/>
      <c r="AH85" s="359"/>
      <c r="AI85" s="359"/>
      <c r="AJ85" s="359"/>
      <c r="AK85" s="359"/>
      <c r="AL85" s="359"/>
      <c r="AM85" s="359"/>
      <c r="AN85" s="359"/>
      <c r="AO85" s="359"/>
      <c r="AP85" s="359"/>
      <c r="AQ85" s="359"/>
      <c r="AR85" s="359"/>
      <c r="AS85" s="359"/>
      <c r="AT85" s="359"/>
      <c r="AU85" s="359"/>
      <c r="AV85" s="359"/>
      <c r="AW85" s="359"/>
      <c r="AX85" s="359"/>
      <c r="AY85" s="359"/>
      <c r="AZ85" s="359"/>
      <c r="BA85" s="359"/>
      <c r="BB85" s="359"/>
      <c r="BC85" s="359"/>
      <c r="BD85" s="359"/>
      <c r="BE85" s="359"/>
      <c r="BF85" s="359"/>
      <c r="BG85" s="359"/>
      <c r="BH85" s="359"/>
      <c r="BI85" s="359"/>
      <c r="BJ85" s="359"/>
      <c r="BK85" s="359"/>
      <c r="BL85" s="359"/>
      <c r="BM85" s="351"/>
      <c r="BN85" s="351"/>
      <c r="BO85" s="351"/>
      <c r="BP85" s="351"/>
      <c r="BQ85" s="351"/>
      <c r="BR85" s="351"/>
      <c r="BS85" s="351"/>
      <c r="BT85" s="351"/>
      <c r="BU85" s="351"/>
      <c r="BV85" s="351"/>
      <c r="BW85" s="351"/>
      <c r="BX85" s="351"/>
      <c r="BY85" s="351"/>
      <c r="BZ85" s="351"/>
      <c r="CA85" s="351"/>
      <c r="CB85" s="351"/>
      <c r="CC85" s="351"/>
      <c r="CD85" s="351"/>
      <c r="CE85" s="351"/>
      <c r="CF85" s="351"/>
      <c r="CG85" s="351"/>
      <c r="CH85" s="351"/>
      <c r="CI85" s="351"/>
      <c r="CJ85" s="351"/>
      <c r="CK85" s="351"/>
      <c r="CL85" s="351"/>
      <c r="CM85" s="351"/>
      <c r="CN85" s="351"/>
      <c r="CO85" s="351"/>
      <c r="CP85" s="351"/>
      <c r="CQ85" s="351"/>
      <c r="CR85" s="351"/>
      <c r="CS85" s="351"/>
      <c r="CT85" s="351"/>
      <c r="CU85" s="351"/>
      <c r="CV85" s="351"/>
      <c r="CW85" s="351"/>
      <c r="CX85" s="351"/>
      <c r="CY85" s="351"/>
      <c r="CZ85" s="351"/>
      <c r="DA85" s="351"/>
      <c r="DB85" s="351"/>
      <c r="DC85" s="351"/>
      <c r="DD85" s="351"/>
      <c r="DE85" s="7"/>
    </row>
    <row r="86" spans="1:109" ht="15" customHeight="1">
      <c r="A86" s="3"/>
      <c r="B86" s="353"/>
      <c r="C86" s="354"/>
      <c r="D86" s="354"/>
      <c r="E86" s="354"/>
      <c r="F86" s="354"/>
      <c r="G86" s="354"/>
      <c r="H86" s="355"/>
      <c r="I86" s="352"/>
      <c r="J86" s="352"/>
      <c r="K86" s="352"/>
      <c r="L86" s="352"/>
      <c r="M86" s="352"/>
      <c r="N86" s="352"/>
      <c r="O86" s="352"/>
      <c r="P86" s="352"/>
      <c r="Q86" s="352"/>
      <c r="R86" s="352"/>
      <c r="S86" s="352"/>
      <c r="T86" s="352"/>
      <c r="U86" s="352"/>
      <c r="V86" s="352"/>
      <c r="W86" s="360"/>
      <c r="X86" s="360"/>
      <c r="Y86" s="360"/>
      <c r="Z86" s="360"/>
      <c r="AA86" s="360"/>
      <c r="AB86" s="360"/>
      <c r="AC86" s="360"/>
      <c r="AD86" s="360"/>
      <c r="AE86" s="360"/>
      <c r="AF86" s="360"/>
      <c r="AG86" s="360"/>
      <c r="AH86" s="360"/>
      <c r="AI86" s="360"/>
      <c r="AJ86" s="360"/>
      <c r="AK86" s="360"/>
      <c r="AL86" s="360"/>
      <c r="AM86" s="360"/>
      <c r="AN86" s="360"/>
      <c r="AO86" s="360"/>
      <c r="AP86" s="360"/>
      <c r="AQ86" s="360"/>
      <c r="AR86" s="360"/>
      <c r="AS86" s="360"/>
      <c r="AT86" s="360"/>
      <c r="AU86" s="360"/>
      <c r="AV86" s="360"/>
      <c r="AW86" s="360"/>
      <c r="AX86" s="360"/>
      <c r="AY86" s="360"/>
      <c r="AZ86" s="360"/>
      <c r="BA86" s="360"/>
      <c r="BB86" s="360"/>
      <c r="BC86" s="360"/>
      <c r="BD86" s="360"/>
      <c r="BE86" s="360"/>
      <c r="BF86" s="360"/>
      <c r="BG86" s="360"/>
      <c r="BH86" s="360"/>
      <c r="BI86" s="360"/>
      <c r="BJ86" s="360"/>
      <c r="BK86" s="360"/>
      <c r="BL86" s="360"/>
      <c r="BM86" s="352"/>
      <c r="BN86" s="352"/>
      <c r="BO86" s="352"/>
      <c r="BP86" s="352"/>
      <c r="BQ86" s="352"/>
      <c r="BR86" s="352"/>
      <c r="BS86" s="352"/>
      <c r="BT86" s="352"/>
      <c r="BU86" s="352"/>
      <c r="BV86" s="352"/>
      <c r="BW86" s="352"/>
      <c r="BX86" s="352"/>
      <c r="BY86" s="352"/>
      <c r="BZ86" s="352"/>
      <c r="CA86" s="352"/>
      <c r="CB86" s="352"/>
      <c r="CC86" s="352"/>
      <c r="CD86" s="352"/>
      <c r="CE86" s="352"/>
      <c r="CF86" s="352"/>
      <c r="CG86" s="352"/>
      <c r="CH86" s="352"/>
      <c r="CI86" s="352"/>
      <c r="CJ86" s="352"/>
      <c r="CK86" s="352"/>
      <c r="CL86" s="352"/>
      <c r="CM86" s="352"/>
      <c r="CN86" s="352"/>
      <c r="CO86" s="352"/>
      <c r="CP86" s="352"/>
      <c r="CQ86" s="352"/>
      <c r="CR86" s="352"/>
      <c r="CS86" s="352"/>
      <c r="CT86" s="352"/>
      <c r="CU86" s="352"/>
      <c r="CV86" s="352"/>
      <c r="CW86" s="352"/>
      <c r="CX86" s="352"/>
      <c r="CY86" s="352"/>
      <c r="CZ86" s="352"/>
      <c r="DA86" s="352"/>
      <c r="DB86" s="352"/>
      <c r="DC86" s="352"/>
      <c r="DD86" s="352"/>
      <c r="DE86" s="7"/>
    </row>
    <row r="87" spans="1:109" ht="15" customHeight="1">
      <c r="A87" s="6"/>
      <c r="B87" s="356"/>
      <c r="C87" s="357"/>
      <c r="D87" s="357"/>
      <c r="E87" s="357"/>
      <c r="F87" s="357"/>
      <c r="G87" s="357"/>
      <c r="H87" s="358"/>
      <c r="I87" s="352"/>
      <c r="J87" s="352"/>
      <c r="K87" s="352"/>
      <c r="L87" s="352"/>
      <c r="M87" s="352"/>
      <c r="N87" s="352"/>
      <c r="O87" s="352"/>
      <c r="P87" s="352"/>
      <c r="Q87" s="352"/>
      <c r="R87" s="352"/>
      <c r="S87" s="352"/>
      <c r="T87" s="352"/>
      <c r="U87" s="352"/>
      <c r="V87" s="352"/>
      <c r="W87" s="360"/>
      <c r="X87" s="360"/>
      <c r="Y87" s="360"/>
      <c r="Z87" s="360"/>
      <c r="AA87" s="360"/>
      <c r="AB87" s="360"/>
      <c r="AC87" s="360"/>
      <c r="AD87" s="360"/>
      <c r="AE87" s="360"/>
      <c r="AF87" s="360"/>
      <c r="AG87" s="360"/>
      <c r="AH87" s="360"/>
      <c r="AI87" s="360"/>
      <c r="AJ87" s="360"/>
      <c r="AK87" s="360"/>
      <c r="AL87" s="360"/>
      <c r="AM87" s="360"/>
      <c r="AN87" s="360"/>
      <c r="AO87" s="360"/>
      <c r="AP87" s="360"/>
      <c r="AQ87" s="360"/>
      <c r="AR87" s="360"/>
      <c r="AS87" s="360"/>
      <c r="AT87" s="360"/>
      <c r="AU87" s="360"/>
      <c r="AV87" s="360"/>
      <c r="AW87" s="360"/>
      <c r="AX87" s="360"/>
      <c r="AY87" s="360"/>
      <c r="AZ87" s="360"/>
      <c r="BA87" s="360"/>
      <c r="BB87" s="360"/>
      <c r="BC87" s="360"/>
      <c r="BD87" s="360"/>
      <c r="BE87" s="360"/>
      <c r="BF87" s="360"/>
      <c r="BG87" s="360"/>
      <c r="BH87" s="360"/>
      <c r="BI87" s="360"/>
      <c r="BJ87" s="360"/>
      <c r="BK87" s="360"/>
      <c r="BL87" s="360"/>
      <c r="BM87" s="352"/>
      <c r="BN87" s="352"/>
      <c r="BO87" s="352"/>
      <c r="BP87" s="352"/>
      <c r="BQ87" s="352"/>
      <c r="BR87" s="352"/>
      <c r="BS87" s="352"/>
      <c r="BT87" s="352"/>
      <c r="BU87" s="352"/>
      <c r="BV87" s="352"/>
      <c r="BW87" s="352"/>
      <c r="BX87" s="352"/>
      <c r="BY87" s="352"/>
      <c r="BZ87" s="352"/>
      <c r="CA87" s="352"/>
      <c r="CB87" s="352"/>
      <c r="CC87" s="352"/>
      <c r="CD87" s="352"/>
      <c r="CE87" s="352"/>
      <c r="CF87" s="352"/>
      <c r="CG87" s="352"/>
      <c r="CH87" s="352"/>
      <c r="CI87" s="352"/>
      <c r="CJ87" s="352"/>
      <c r="CK87" s="352"/>
      <c r="CL87" s="352"/>
      <c r="CM87" s="352"/>
      <c r="CN87" s="352"/>
      <c r="CO87" s="352"/>
      <c r="CP87" s="352"/>
      <c r="CQ87" s="352"/>
      <c r="CR87" s="352"/>
      <c r="CS87" s="352"/>
      <c r="CT87" s="352"/>
      <c r="CU87" s="352"/>
      <c r="CV87" s="352"/>
      <c r="CW87" s="352"/>
      <c r="CX87" s="352"/>
      <c r="CY87" s="352"/>
      <c r="CZ87" s="352"/>
      <c r="DA87" s="352"/>
      <c r="DB87" s="352"/>
      <c r="DC87" s="352"/>
      <c r="DD87" s="352"/>
      <c r="DE87" s="7"/>
    </row>
    <row r="88" spans="1:109" ht="15" customHeight="1">
      <c r="A88" s="6"/>
      <c r="B88" s="382"/>
      <c r="C88" s="383"/>
      <c r="D88" s="383"/>
      <c r="E88" s="383"/>
      <c r="F88" s="383"/>
      <c r="G88" s="383"/>
      <c r="H88" s="384"/>
      <c r="I88" s="351"/>
      <c r="J88" s="351"/>
      <c r="K88" s="351"/>
      <c r="L88" s="351"/>
      <c r="M88" s="351"/>
      <c r="N88" s="351"/>
      <c r="O88" s="351"/>
      <c r="P88" s="351"/>
      <c r="Q88" s="351"/>
      <c r="R88" s="351"/>
      <c r="S88" s="351"/>
      <c r="T88" s="351"/>
      <c r="U88" s="351"/>
      <c r="V88" s="351"/>
      <c r="W88" s="359"/>
      <c r="X88" s="359"/>
      <c r="Y88" s="359"/>
      <c r="Z88" s="359"/>
      <c r="AA88" s="359"/>
      <c r="AB88" s="359"/>
      <c r="AC88" s="359"/>
      <c r="AD88" s="359"/>
      <c r="AE88" s="359"/>
      <c r="AF88" s="359"/>
      <c r="AG88" s="359"/>
      <c r="AH88" s="359"/>
      <c r="AI88" s="359"/>
      <c r="AJ88" s="359"/>
      <c r="AK88" s="359"/>
      <c r="AL88" s="359"/>
      <c r="AM88" s="359"/>
      <c r="AN88" s="359"/>
      <c r="AO88" s="359"/>
      <c r="AP88" s="359"/>
      <c r="AQ88" s="359"/>
      <c r="AR88" s="359"/>
      <c r="AS88" s="359"/>
      <c r="AT88" s="359"/>
      <c r="AU88" s="359"/>
      <c r="AV88" s="359"/>
      <c r="AW88" s="359"/>
      <c r="AX88" s="359"/>
      <c r="AY88" s="359"/>
      <c r="AZ88" s="359"/>
      <c r="BA88" s="359"/>
      <c r="BB88" s="359"/>
      <c r="BC88" s="359"/>
      <c r="BD88" s="359"/>
      <c r="BE88" s="359"/>
      <c r="BF88" s="359"/>
      <c r="BG88" s="359"/>
      <c r="BH88" s="359"/>
      <c r="BI88" s="359"/>
      <c r="BJ88" s="359"/>
      <c r="BK88" s="359"/>
      <c r="BL88" s="359"/>
      <c r="BM88" s="351"/>
      <c r="BN88" s="351"/>
      <c r="BO88" s="351"/>
      <c r="BP88" s="351"/>
      <c r="BQ88" s="351"/>
      <c r="BR88" s="351"/>
      <c r="BS88" s="351"/>
      <c r="BT88" s="351"/>
      <c r="BU88" s="351"/>
      <c r="BV88" s="351"/>
      <c r="BW88" s="351"/>
      <c r="BX88" s="351"/>
      <c r="BY88" s="351"/>
      <c r="BZ88" s="351"/>
      <c r="CA88" s="351"/>
      <c r="CB88" s="351"/>
      <c r="CC88" s="351"/>
      <c r="CD88" s="351"/>
      <c r="CE88" s="351"/>
      <c r="CF88" s="351"/>
      <c r="CG88" s="351"/>
      <c r="CH88" s="351"/>
      <c r="CI88" s="351"/>
      <c r="CJ88" s="351"/>
      <c r="CK88" s="351"/>
      <c r="CL88" s="351"/>
      <c r="CM88" s="351"/>
      <c r="CN88" s="351"/>
      <c r="CO88" s="351"/>
      <c r="CP88" s="351"/>
      <c r="CQ88" s="351"/>
      <c r="CR88" s="351"/>
      <c r="CS88" s="351"/>
      <c r="CT88" s="351"/>
      <c r="CU88" s="351"/>
      <c r="CV88" s="351"/>
      <c r="CW88" s="351"/>
      <c r="CX88" s="351"/>
      <c r="CY88" s="351"/>
      <c r="CZ88" s="351"/>
      <c r="DA88" s="351"/>
      <c r="DB88" s="351"/>
      <c r="DC88" s="351"/>
      <c r="DD88" s="351"/>
      <c r="DE88" s="7"/>
    </row>
    <row r="89" spans="1:109" ht="15" customHeight="1">
      <c r="A89" s="3"/>
      <c r="B89" s="385"/>
      <c r="C89" s="386"/>
      <c r="D89" s="386"/>
      <c r="E89" s="386"/>
      <c r="F89" s="386"/>
      <c r="G89" s="386"/>
      <c r="H89" s="387"/>
      <c r="I89" s="351"/>
      <c r="J89" s="351"/>
      <c r="K89" s="351"/>
      <c r="L89" s="351"/>
      <c r="M89" s="351"/>
      <c r="N89" s="351"/>
      <c r="O89" s="351"/>
      <c r="P89" s="351"/>
      <c r="Q89" s="351"/>
      <c r="R89" s="351"/>
      <c r="S89" s="351"/>
      <c r="T89" s="351"/>
      <c r="U89" s="351"/>
      <c r="V89" s="351"/>
      <c r="W89" s="359"/>
      <c r="X89" s="359"/>
      <c r="Y89" s="359"/>
      <c r="Z89" s="359"/>
      <c r="AA89" s="359"/>
      <c r="AB89" s="359"/>
      <c r="AC89" s="359"/>
      <c r="AD89" s="359"/>
      <c r="AE89" s="359"/>
      <c r="AF89" s="359"/>
      <c r="AG89" s="359"/>
      <c r="AH89" s="359"/>
      <c r="AI89" s="359"/>
      <c r="AJ89" s="359"/>
      <c r="AK89" s="359"/>
      <c r="AL89" s="359"/>
      <c r="AM89" s="359"/>
      <c r="AN89" s="359"/>
      <c r="AO89" s="359"/>
      <c r="AP89" s="359"/>
      <c r="AQ89" s="359"/>
      <c r="AR89" s="359"/>
      <c r="AS89" s="359"/>
      <c r="AT89" s="359"/>
      <c r="AU89" s="359"/>
      <c r="AV89" s="359"/>
      <c r="AW89" s="359"/>
      <c r="AX89" s="359"/>
      <c r="AY89" s="359"/>
      <c r="AZ89" s="359"/>
      <c r="BA89" s="359"/>
      <c r="BB89" s="359"/>
      <c r="BC89" s="359"/>
      <c r="BD89" s="359"/>
      <c r="BE89" s="359"/>
      <c r="BF89" s="359"/>
      <c r="BG89" s="359"/>
      <c r="BH89" s="359"/>
      <c r="BI89" s="359"/>
      <c r="BJ89" s="359"/>
      <c r="BK89" s="359"/>
      <c r="BL89" s="359"/>
      <c r="BM89" s="351"/>
      <c r="BN89" s="351"/>
      <c r="BO89" s="351"/>
      <c r="BP89" s="351"/>
      <c r="BQ89" s="351"/>
      <c r="BR89" s="351"/>
      <c r="BS89" s="351"/>
      <c r="BT89" s="351"/>
      <c r="BU89" s="351"/>
      <c r="BV89" s="351"/>
      <c r="BW89" s="351"/>
      <c r="BX89" s="351"/>
      <c r="BY89" s="351"/>
      <c r="BZ89" s="351"/>
      <c r="CA89" s="351"/>
      <c r="CB89" s="351"/>
      <c r="CC89" s="351"/>
      <c r="CD89" s="351"/>
      <c r="CE89" s="351"/>
      <c r="CF89" s="351"/>
      <c r="CG89" s="351"/>
      <c r="CH89" s="351"/>
      <c r="CI89" s="351"/>
      <c r="CJ89" s="351"/>
      <c r="CK89" s="351"/>
      <c r="CL89" s="351"/>
      <c r="CM89" s="351"/>
      <c r="CN89" s="351"/>
      <c r="CO89" s="351"/>
      <c r="CP89" s="351"/>
      <c r="CQ89" s="351"/>
      <c r="CR89" s="351"/>
      <c r="CS89" s="351"/>
      <c r="CT89" s="351"/>
      <c r="CU89" s="351"/>
      <c r="CV89" s="351"/>
      <c r="CW89" s="351"/>
      <c r="CX89" s="351"/>
      <c r="CY89" s="351"/>
      <c r="CZ89" s="351"/>
      <c r="DA89" s="351"/>
      <c r="DB89" s="351"/>
      <c r="DC89" s="351"/>
      <c r="DD89" s="351"/>
      <c r="DE89" s="7"/>
    </row>
    <row r="90" spans="1:109" ht="15" customHeight="1">
      <c r="A90" s="6"/>
      <c r="B90" s="353"/>
      <c r="C90" s="354"/>
      <c r="D90" s="354"/>
      <c r="E90" s="354"/>
      <c r="F90" s="354"/>
      <c r="G90" s="354"/>
      <c r="H90" s="355"/>
      <c r="I90" s="352"/>
      <c r="J90" s="352"/>
      <c r="K90" s="352"/>
      <c r="L90" s="352"/>
      <c r="M90" s="352"/>
      <c r="N90" s="352"/>
      <c r="O90" s="352"/>
      <c r="P90" s="352"/>
      <c r="Q90" s="352"/>
      <c r="R90" s="352"/>
      <c r="S90" s="352"/>
      <c r="T90" s="352"/>
      <c r="U90" s="352"/>
      <c r="V90" s="352"/>
      <c r="W90" s="360"/>
      <c r="X90" s="360"/>
      <c r="Y90" s="360"/>
      <c r="Z90" s="360"/>
      <c r="AA90" s="360"/>
      <c r="AB90" s="360"/>
      <c r="AC90" s="360"/>
      <c r="AD90" s="360"/>
      <c r="AE90" s="360"/>
      <c r="AF90" s="360"/>
      <c r="AG90" s="360"/>
      <c r="AH90" s="360"/>
      <c r="AI90" s="360"/>
      <c r="AJ90" s="360"/>
      <c r="AK90" s="360"/>
      <c r="AL90" s="360"/>
      <c r="AM90" s="360"/>
      <c r="AN90" s="360"/>
      <c r="AO90" s="360"/>
      <c r="AP90" s="360"/>
      <c r="AQ90" s="360"/>
      <c r="AR90" s="360"/>
      <c r="AS90" s="360"/>
      <c r="AT90" s="360"/>
      <c r="AU90" s="360"/>
      <c r="AV90" s="360"/>
      <c r="AW90" s="360"/>
      <c r="AX90" s="360"/>
      <c r="AY90" s="360"/>
      <c r="AZ90" s="360"/>
      <c r="BA90" s="360"/>
      <c r="BB90" s="360"/>
      <c r="BC90" s="360"/>
      <c r="BD90" s="360"/>
      <c r="BE90" s="360"/>
      <c r="BF90" s="360"/>
      <c r="BG90" s="360"/>
      <c r="BH90" s="360"/>
      <c r="BI90" s="360"/>
      <c r="BJ90" s="360"/>
      <c r="BK90" s="360"/>
      <c r="BL90" s="360"/>
      <c r="BM90" s="352"/>
      <c r="BN90" s="352"/>
      <c r="BO90" s="352"/>
      <c r="BP90" s="352"/>
      <c r="BQ90" s="352"/>
      <c r="BR90" s="352"/>
      <c r="BS90" s="352"/>
      <c r="BT90" s="352"/>
      <c r="BU90" s="352"/>
      <c r="BV90" s="352"/>
      <c r="BW90" s="352"/>
      <c r="BX90" s="352"/>
      <c r="BY90" s="352"/>
      <c r="BZ90" s="352"/>
      <c r="CA90" s="352"/>
      <c r="CB90" s="352"/>
      <c r="CC90" s="352"/>
      <c r="CD90" s="352"/>
      <c r="CE90" s="352"/>
      <c r="CF90" s="352"/>
      <c r="CG90" s="352"/>
      <c r="CH90" s="352"/>
      <c r="CI90" s="352"/>
      <c r="CJ90" s="352"/>
      <c r="CK90" s="352"/>
      <c r="CL90" s="352"/>
      <c r="CM90" s="352"/>
      <c r="CN90" s="352"/>
      <c r="CO90" s="352"/>
      <c r="CP90" s="352"/>
      <c r="CQ90" s="352"/>
      <c r="CR90" s="352"/>
      <c r="CS90" s="352"/>
      <c r="CT90" s="352"/>
      <c r="CU90" s="352"/>
      <c r="CV90" s="352"/>
      <c r="CW90" s="352"/>
      <c r="CX90" s="352"/>
      <c r="CY90" s="352"/>
      <c r="CZ90" s="352"/>
      <c r="DA90" s="352"/>
      <c r="DB90" s="352"/>
      <c r="DC90" s="352"/>
      <c r="DD90" s="352"/>
      <c r="DE90" s="7"/>
    </row>
    <row r="91" spans="1:109" ht="15" customHeight="1">
      <c r="A91" s="8"/>
      <c r="B91" s="356"/>
      <c r="C91" s="357"/>
      <c r="D91" s="357"/>
      <c r="E91" s="357"/>
      <c r="F91" s="357"/>
      <c r="G91" s="357"/>
      <c r="H91" s="358"/>
      <c r="I91" s="352"/>
      <c r="J91" s="352"/>
      <c r="K91" s="352"/>
      <c r="L91" s="352"/>
      <c r="M91" s="352"/>
      <c r="N91" s="352"/>
      <c r="O91" s="352"/>
      <c r="P91" s="352"/>
      <c r="Q91" s="352"/>
      <c r="R91" s="352"/>
      <c r="S91" s="352"/>
      <c r="T91" s="352"/>
      <c r="U91" s="352"/>
      <c r="V91" s="352"/>
      <c r="W91" s="360"/>
      <c r="X91" s="360"/>
      <c r="Y91" s="360"/>
      <c r="Z91" s="360"/>
      <c r="AA91" s="360"/>
      <c r="AB91" s="360"/>
      <c r="AC91" s="360"/>
      <c r="AD91" s="360"/>
      <c r="AE91" s="360"/>
      <c r="AF91" s="360"/>
      <c r="AG91" s="360"/>
      <c r="AH91" s="360"/>
      <c r="AI91" s="360"/>
      <c r="AJ91" s="360"/>
      <c r="AK91" s="360"/>
      <c r="AL91" s="360"/>
      <c r="AM91" s="360"/>
      <c r="AN91" s="360"/>
      <c r="AO91" s="360"/>
      <c r="AP91" s="360"/>
      <c r="AQ91" s="360"/>
      <c r="AR91" s="360"/>
      <c r="AS91" s="360"/>
      <c r="AT91" s="360"/>
      <c r="AU91" s="360"/>
      <c r="AV91" s="360"/>
      <c r="AW91" s="360"/>
      <c r="AX91" s="360"/>
      <c r="AY91" s="360"/>
      <c r="AZ91" s="360"/>
      <c r="BA91" s="360"/>
      <c r="BB91" s="360"/>
      <c r="BC91" s="360"/>
      <c r="BD91" s="360"/>
      <c r="BE91" s="360"/>
      <c r="BF91" s="360"/>
      <c r="BG91" s="360"/>
      <c r="BH91" s="360"/>
      <c r="BI91" s="360"/>
      <c r="BJ91" s="360"/>
      <c r="BK91" s="360"/>
      <c r="BL91" s="360"/>
      <c r="BM91" s="352"/>
      <c r="BN91" s="352"/>
      <c r="BO91" s="352"/>
      <c r="BP91" s="352"/>
      <c r="BQ91" s="352"/>
      <c r="BR91" s="352"/>
      <c r="BS91" s="352"/>
      <c r="BT91" s="352"/>
      <c r="BU91" s="352"/>
      <c r="BV91" s="352"/>
      <c r="BW91" s="352"/>
      <c r="BX91" s="352"/>
      <c r="BY91" s="352"/>
      <c r="BZ91" s="352"/>
      <c r="CA91" s="352"/>
      <c r="CB91" s="352"/>
      <c r="CC91" s="352"/>
      <c r="CD91" s="352"/>
      <c r="CE91" s="352"/>
      <c r="CF91" s="352"/>
      <c r="CG91" s="352"/>
      <c r="CH91" s="352"/>
      <c r="CI91" s="352"/>
      <c r="CJ91" s="352"/>
      <c r="CK91" s="352"/>
      <c r="CL91" s="352"/>
      <c r="CM91" s="352"/>
      <c r="CN91" s="352"/>
      <c r="CO91" s="352"/>
      <c r="CP91" s="352"/>
      <c r="CQ91" s="352"/>
      <c r="CR91" s="352"/>
      <c r="CS91" s="352"/>
      <c r="CT91" s="352"/>
      <c r="CU91" s="352"/>
      <c r="CV91" s="352"/>
      <c r="CW91" s="352"/>
      <c r="CX91" s="352"/>
      <c r="CY91" s="352"/>
      <c r="CZ91" s="352"/>
      <c r="DA91" s="352"/>
      <c r="DB91" s="352"/>
      <c r="DC91" s="352"/>
      <c r="DD91" s="352"/>
      <c r="DE91" s="7"/>
    </row>
    <row r="92" spans="1:109" ht="15" customHeight="1">
      <c r="A92" s="8"/>
      <c r="B92" s="382"/>
      <c r="C92" s="383"/>
      <c r="D92" s="383"/>
      <c r="E92" s="383"/>
      <c r="F92" s="383"/>
      <c r="G92" s="383"/>
      <c r="H92" s="384"/>
      <c r="I92" s="351"/>
      <c r="J92" s="351"/>
      <c r="K92" s="351"/>
      <c r="L92" s="351"/>
      <c r="M92" s="351"/>
      <c r="N92" s="351"/>
      <c r="O92" s="351"/>
      <c r="P92" s="351"/>
      <c r="Q92" s="351"/>
      <c r="R92" s="351"/>
      <c r="S92" s="351"/>
      <c r="T92" s="351"/>
      <c r="U92" s="351"/>
      <c r="V92" s="351"/>
      <c r="W92" s="351"/>
      <c r="X92" s="351"/>
      <c r="Y92" s="351"/>
      <c r="Z92" s="351"/>
      <c r="AA92" s="351"/>
      <c r="AB92" s="351"/>
      <c r="AC92" s="351"/>
      <c r="AD92" s="417"/>
      <c r="AE92" s="351"/>
      <c r="AF92" s="351"/>
      <c r="AG92" s="351"/>
      <c r="AH92" s="351"/>
      <c r="AI92" s="351"/>
      <c r="AJ92" s="351"/>
      <c r="AK92" s="417"/>
      <c r="AL92" s="351"/>
      <c r="AM92" s="351"/>
      <c r="AN92" s="351"/>
      <c r="AO92" s="351"/>
      <c r="AP92" s="351"/>
      <c r="AQ92" s="351"/>
      <c r="AR92" s="351"/>
      <c r="AS92" s="351"/>
      <c r="AT92" s="351"/>
      <c r="AU92" s="351"/>
      <c r="AV92" s="351"/>
      <c r="AW92" s="351"/>
      <c r="AX92" s="351"/>
      <c r="AY92" s="351"/>
      <c r="AZ92" s="351"/>
      <c r="BA92" s="351"/>
      <c r="BB92" s="351"/>
      <c r="BC92" s="351"/>
      <c r="BD92" s="351"/>
      <c r="BE92" s="351"/>
      <c r="BF92" s="382"/>
      <c r="BG92" s="383"/>
      <c r="BH92" s="383"/>
      <c r="BI92" s="383"/>
      <c r="BJ92" s="383"/>
      <c r="BK92" s="383"/>
      <c r="BL92" s="384"/>
      <c r="BM92" s="382"/>
      <c r="BN92" s="383"/>
      <c r="BO92" s="383"/>
      <c r="BP92" s="383"/>
      <c r="BQ92" s="383"/>
      <c r="BR92" s="383"/>
      <c r="BS92" s="383"/>
      <c r="BT92" s="383"/>
      <c r="BU92" s="383"/>
      <c r="BV92" s="383"/>
      <c r="BW92" s="383"/>
      <c r="BX92" s="383"/>
      <c r="BY92" s="383"/>
      <c r="BZ92" s="383"/>
      <c r="CA92" s="383"/>
      <c r="CB92" s="383"/>
      <c r="CC92" s="383"/>
      <c r="CD92" s="383"/>
      <c r="CE92" s="383"/>
      <c r="CF92" s="383"/>
      <c r="CG92" s="383"/>
      <c r="CH92" s="383"/>
      <c r="CI92" s="383"/>
      <c r="CJ92" s="383"/>
      <c r="CK92" s="383"/>
      <c r="CL92" s="384"/>
      <c r="CM92" s="351"/>
      <c r="CN92" s="351"/>
      <c r="CO92" s="351"/>
      <c r="CP92" s="351"/>
      <c r="CQ92" s="351"/>
      <c r="CR92" s="351"/>
      <c r="CS92" s="351"/>
      <c r="CT92" s="351"/>
      <c r="CU92" s="351"/>
      <c r="CV92" s="351"/>
      <c r="CW92" s="351"/>
      <c r="CX92" s="351"/>
      <c r="CY92" s="351"/>
      <c r="CZ92" s="351"/>
      <c r="DA92" s="351"/>
      <c r="DB92" s="351"/>
      <c r="DC92" s="351"/>
      <c r="DD92" s="351"/>
      <c r="DE92" s="7"/>
    </row>
    <row r="93" spans="1:109" ht="15" customHeight="1">
      <c r="A93" s="3"/>
      <c r="B93" s="385"/>
      <c r="C93" s="386"/>
      <c r="D93" s="386"/>
      <c r="E93" s="386"/>
      <c r="F93" s="386"/>
      <c r="G93" s="386"/>
      <c r="H93" s="387"/>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85"/>
      <c r="BG93" s="386"/>
      <c r="BH93" s="386"/>
      <c r="BI93" s="386"/>
      <c r="BJ93" s="386"/>
      <c r="BK93" s="386"/>
      <c r="BL93" s="387"/>
      <c r="BM93" s="385"/>
      <c r="BN93" s="386"/>
      <c r="BO93" s="386"/>
      <c r="BP93" s="386"/>
      <c r="BQ93" s="386"/>
      <c r="BR93" s="386"/>
      <c r="BS93" s="386"/>
      <c r="BT93" s="386"/>
      <c r="BU93" s="386"/>
      <c r="BV93" s="386"/>
      <c r="BW93" s="386"/>
      <c r="BX93" s="386"/>
      <c r="BY93" s="386"/>
      <c r="BZ93" s="386"/>
      <c r="CA93" s="386"/>
      <c r="CB93" s="386"/>
      <c r="CC93" s="386"/>
      <c r="CD93" s="386"/>
      <c r="CE93" s="386"/>
      <c r="CF93" s="386"/>
      <c r="CG93" s="386"/>
      <c r="CH93" s="386"/>
      <c r="CI93" s="386"/>
      <c r="CJ93" s="386"/>
      <c r="CK93" s="386"/>
      <c r="CL93" s="387"/>
      <c r="CM93" s="351"/>
      <c r="CN93" s="351"/>
      <c r="CO93" s="351"/>
      <c r="CP93" s="351"/>
      <c r="CQ93" s="351"/>
      <c r="CR93" s="351"/>
      <c r="CS93" s="351"/>
      <c r="CT93" s="351"/>
      <c r="CU93" s="351"/>
      <c r="CV93" s="351"/>
      <c r="CW93" s="351"/>
      <c r="CX93" s="351"/>
      <c r="CY93" s="351"/>
      <c r="CZ93" s="351"/>
      <c r="DA93" s="351"/>
      <c r="DB93" s="351"/>
      <c r="DC93" s="351"/>
      <c r="DD93" s="351"/>
      <c r="DE93" s="7"/>
    </row>
    <row r="94" spans="1:109" ht="15" customHeight="1">
      <c r="A94" s="3"/>
      <c r="B94" s="352"/>
      <c r="C94" s="352"/>
      <c r="D94" s="352"/>
      <c r="E94" s="352"/>
      <c r="F94" s="352"/>
      <c r="G94" s="352"/>
      <c r="H94" s="352"/>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2"/>
      <c r="BL94" s="352"/>
      <c r="BM94" s="352"/>
      <c r="BN94" s="352"/>
      <c r="BO94" s="352"/>
      <c r="BP94" s="352"/>
      <c r="BQ94" s="352"/>
      <c r="BR94" s="352"/>
      <c r="BS94" s="352"/>
      <c r="BT94" s="352"/>
      <c r="BU94" s="352"/>
      <c r="BV94" s="352"/>
      <c r="BW94" s="352"/>
      <c r="BX94" s="352"/>
      <c r="BY94" s="352"/>
      <c r="BZ94" s="352"/>
      <c r="CA94" s="352"/>
      <c r="CB94" s="352"/>
      <c r="CC94" s="352"/>
      <c r="CD94" s="352"/>
      <c r="CE94" s="352"/>
      <c r="CF94" s="352"/>
      <c r="CG94" s="352"/>
      <c r="CH94" s="352"/>
      <c r="CI94" s="352"/>
      <c r="CJ94" s="352"/>
      <c r="CK94" s="352"/>
      <c r="CL94" s="352"/>
      <c r="CM94" s="352"/>
      <c r="CN94" s="352"/>
      <c r="CO94" s="352"/>
      <c r="CP94" s="352"/>
      <c r="CQ94" s="352"/>
      <c r="CR94" s="352"/>
      <c r="CS94" s="352"/>
      <c r="CT94" s="352"/>
      <c r="CU94" s="352"/>
      <c r="CV94" s="352"/>
      <c r="CW94" s="352"/>
      <c r="CX94" s="352"/>
      <c r="CY94" s="352"/>
      <c r="CZ94" s="352"/>
      <c r="DA94" s="352"/>
      <c r="DB94" s="352"/>
      <c r="DC94" s="352"/>
      <c r="DD94" s="352"/>
      <c r="DE94" s="7"/>
    </row>
    <row r="95" spans="1:109" ht="15" customHeight="1">
      <c r="A95" s="6"/>
      <c r="B95" s="352"/>
      <c r="C95" s="352"/>
      <c r="D95" s="352"/>
      <c r="E95" s="352"/>
      <c r="F95" s="352"/>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2"/>
      <c r="BL95" s="352"/>
      <c r="BM95" s="352"/>
      <c r="BN95" s="352"/>
      <c r="BO95" s="352"/>
      <c r="BP95" s="352"/>
      <c r="BQ95" s="352"/>
      <c r="BR95" s="352"/>
      <c r="BS95" s="352"/>
      <c r="BT95" s="352"/>
      <c r="BU95" s="352"/>
      <c r="BV95" s="352"/>
      <c r="BW95" s="352"/>
      <c r="BX95" s="352"/>
      <c r="BY95" s="352"/>
      <c r="BZ95" s="352"/>
      <c r="CA95" s="352"/>
      <c r="CB95" s="352"/>
      <c r="CC95" s="352"/>
      <c r="CD95" s="352"/>
      <c r="CE95" s="352"/>
      <c r="CF95" s="352"/>
      <c r="CG95" s="352"/>
      <c r="CH95" s="352"/>
      <c r="CI95" s="352"/>
      <c r="CJ95" s="352"/>
      <c r="CK95" s="352"/>
      <c r="CL95" s="352"/>
      <c r="CM95" s="352"/>
      <c r="CN95" s="352"/>
      <c r="CO95" s="352"/>
      <c r="CP95" s="352"/>
      <c r="CQ95" s="352"/>
      <c r="CR95" s="352"/>
      <c r="CS95" s="352"/>
      <c r="CT95" s="352"/>
      <c r="CU95" s="352"/>
      <c r="CV95" s="352"/>
      <c r="CW95" s="352"/>
      <c r="CX95" s="352"/>
      <c r="CY95" s="352"/>
      <c r="CZ95" s="352"/>
      <c r="DA95" s="352"/>
      <c r="DB95" s="352"/>
      <c r="DC95" s="352"/>
      <c r="DD95" s="352"/>
      <c r="DE95" s="7"/>
    </row>
    <row r="96" spans="1:109" ht="15" customHeight="1">
      <c r="A96" s="8"/>
      <c r="B96" s="382"/>
      <c r="C96" s="383"/>
      <c r="D96" s="383"/>
      <c r="E96" s="383"/>
      <c r="F96" s="383"/>
      <c r="G96" s="383"/>
      <c r="H96" s="384"/>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c r="BI96" s="351"/>
      <c r="BJ96" s="351"/>
      <c r="BK96" s="351"/>
      <c r="BL96" s="351"/>
      <c r="BM96" s="351"/>
      <c r="BN96" s="351"/>
      <c r="BO96" s="351"/>
      <c r="BP96" s="351"/>
      <c r="BQ96" s="351"/>
      <c r="BR96" s="351"/>
      <c r="BS96" s="351"/>
      <c r="BT96" s="351"/>
      <c r="BU96" s="351"/>
      <c r="BV96" s="351"/>
      <c r="BW96" s="351"/>
      <c r="BX96" s="351"/>
      <c r="BY96" s="351"/>
      <c r="BZ96" s="351"/>
      <c r="CA96" s="351"/>
      <c r="CB96" s="351"/>
      <c r="CC96" s="351"/>
      <c r="CD96" s="351"/>
      <c r="CE96" s="351"/>
      <c r="CF96" s="351"/>
      <c r="CG96" s="351"/>
      <c r="CH96" s="351"/>
      <c r="CI96" s="351"/>
      <c r="CJ96" s="351"/>
      <c r="CK96" s="351"/>
      <c r="CL96" s="351"/>
      <c r="CM96" s="351"/>
      <c r="CN96" s="351"/>
      <c r="CO96" s="351"/>
      <c r="CP96" s="351"/>
      <c r="CQ96" s="351"/>
      <c r="CR96" s="351"/>
      <c r="CS96" s="351"/>
      <c r="CT96" s="351"/>
      <c r="CU96" s="351"/>
      <c r="CV96" s="351"/>
      <c r="CW96" s="351"/>
      <c r="CX96" s="351"/>
      <c r="CY96" s="351"/>
      <c r="CZ96" s="351"/>
      <c r="DA96" s="351"/>
      <c r="DB96" s="351"/>
      <c r="DC96" s="351"/>
      <c r="DD96" s="351"/>
      <c r="DE96" s="7"/>
    </row>
    <row r="97" spans="1:109" ht="15" customHeight="1">
      <c r="A97" s="3"/>
      <c r="B97" s="385"/>
      <c r="C97" s="386"/>
      <c r="D97" s="386"/>
      <c r="E97" s="386"/>
      <c r="F97" s="386"/>
      <c r="G97" s="386"/>
      <c r="H97" s="387"/>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c r="BT97" s="351"/>
      <c r="BU97" s="351"/>
      <c r="BV97" s="351"/>
      <c r="BW97" s="351"/>
      <c r="BX97" s="351"/>
      <c r="BY97" s="351"/>
      <c r="BZ97" s="351"/>
      <c r="CA97" s="351"/>
      <c r="CB97" s="351"/>
      <c r="CC97" s="351"/>
      <c r="CD97" s="351"/>
      <c r="CE97" s="351"/>
      <c r="CF97" s="351"/>
      <c r="CG97" s="351"/>
      <c r="CH97" s="351"/>
      <c r="CI97" s="351"/>
      <c r="CJ97" s="351"/>
      <c r="CK97" s="351"/>
      <c r="CL97" s="351"/>
      <c r="CM97" s="351"/>
      <c r="CN97" s="351"/>
      <c r="CO97" s="351"/>
      <c r="CP97" s="351"/>
      <c r="CQ97" s="351"/>
      <c r="CR97" s="351"/>
      <c r="CS97" s="351"/>
      <c r="CT97" s="351"/>
      <c r="CU97" s="351"/>
      <c r="CV97" s="351"/>
      <c r="CW97" s="351"/>
      <c r="CX97" s="351"/>
      <c r="CY97" s="351"/>
      <c r="CZ97" s="351"/>
      <c r="DA97" s="351"/>
      <c r="DB97" s="351"/>
      <c r="DC97" s="351"/>
      <c r="DD97" s="351"/>
      <c r="DE97" s="7"/>
    </row>
    <row r="98" spans="1:109" ht="15" customHeight="1">
      <c r="A98" s="3"/>
      <c r="B98" s="353"/>
      <c r="C98" s="354"/>
      <c r="D98" s="354"/>
      <c r="E98" s="354"/>
      <c r="F98" s="354"/>
      <c r="G98" s="354"/>
      <c r="H98" s="355"/>
      <c r="I98" s="352"/>
      <c r="J98" s="352"/>
      <c r="K98" s="352"/>
      <c r="L98" s="352"/>
      <c r="M98" s="352"/>
      <c r="N98" s="352"/>
      <c r="O98" s="352"/>
      <c r="P98" s="352"/>
      <c r="Q98" s="352"/>
      <c r="R98" s="352"/>
      <c r="S98" s="352"/>
      <c r="T98" s="352"/>
      <c r="U98" s="352"/>
      <c r="V98" s="352"/>
      <c r="W98" s="352"/>
      <c r="X98" s="352"/>
      <c r="Y98" s="352"/>
      <c r="Z98" s="352"/>
      <c r="AA98" s="352"/>
      <c r="AB98" s="352"/>
      <c r="AC98" s="352"/>
      <c r="AD98" s="352"/>
      <c r="AE98" s="352"/>
      <c r="AF98" s="352"/>
      <c r="AG98" s="352"/>
      <c r="AH98" s="352"/>
      <c r="AI98" s="352"/>
      <c r="AJ98" s="352"/>
      <c r="AK98" s="352"/>
      <c r="AL98" s="352"/>
      <c r="AM98" s="352"/>
      <c r="AN98" s="352"/>
      <c r="AO98" s="352"/>
      <c r="AP98" s="352"/>
      <c r="AQ98" s="352"/>
      <c r="AR98" s="352"/>
      <c r="AS98" s="352"/>
      <c r="AT98" s="352"/>
      <c r="AU98" s="352"/>
      <c r="AV98" s="352"/>
      <c r="AW98" s="352"/>
      <c r="AX98" s="352"/>
      <c r="AY98" s="352"/>
      <c r="AZ98" s="352"/>
      <c r="BA98" s="352"/>
      <c r="BB98" s="352"/>
      <c r="BC98" s="352"/>
      <c r="BD98" s="352"/>
      <c r="BE98" s="352"/>
      <c r="BF98" s="352"/>
      <c r="BG98" s="352"/>
      <c r="BH98" s="352"/>
      <c r="BI98" s="352"/>
      <c r="BJ98" s="352"/>
      <c r="BK98" s="352"/>
      <c r="BL98" s="352"/>
      <c r="BM98" s="352"/>
      <c r="BN98" s="352"/>
      <c r="BO98" s="352"/>
      <c r="BP98" s="352"/>
      <c r="BQ98" s="352"/>
      <c r="BR98" s="352"/>
      <c r="BS98" s="352"/>
      <c r="BT98" s="352"/>
      <c r="BU98" s="352"/>
      <c r="BV98" s="352"/>
      <c r="BW98" s="352"/>
      <c r="BX98" s="352"/>
      <c r="BY98" s="352"/>
      <c r="BZ98" s="352"/>
      <c r="CA98" s="352"/>
      <c r="CB98" s="352"/>
      <c r="CC98" s="352"/>
      <c r="CD98" s="352"/>
      <c r="CE98" s="352"/>
      <c r="CF98" s="352"/>
      <c r="CG98" s="352"/>
      <c r="CH98" s="352"/>
      <c r="CI98" s="352"/>
      <c r="CJ98" s="352"/>
      <c r="CK98" s="352"/>
      <c r="CL98" s="352"/>
      <c r="CM98" s="352"/>
      <c r="CN98" s="352"/>
      <c r="CO98" s="352"/>
      <c r="CP98" s="352"/>
      <c r="CQ98" s="352"/>
      <c r="CR98" s="352"/>
      <c r="CS98" s="352"/>
      <c r="CT98" s="352"/>
      <c r="CU98" s="352"/>
      <c r="CV98" s="352"/>
      <c r="CW98" s="352"/>
      <c r="CX98" s="352"/>
      <c r="CY98" s="352"/>
      <c r="CZ98" s="352"/>
      <c r="DA98" s="352"/>
      <c r="DB98" s="352"/>
      <c r="DC98" s="352"/>
      <c r="DD98" s="352"/>
      <c r="DE98" s="7"/>
    </row>
    <row r="99" spans="1:109" ht="15" customHeight="1">
      <c r="A99" s="3"/>
      <c r="B99" s="356"/>
      <c r="C99" s="357"/>
      <c r="D99" s="357"/>
      <c r="E99" s="357"/>
      <c r="F99" s="357"/>
      <c r="G99" s="357"/>
      <c r="H99" s="358"/>
      <c r="I99" s="352"/>
      <c r="J99" s="352"/>
      <c r="K99" s="352"/>
      <c r="L99" s="352"/>
      <c r="M99" s="352"/>
      <c r="N99" s="352"/>
      <c r="O99" s="352"/>
      <c r="P99" s="352"/>
      <c r="Q99" s="352"/>
      <c r="R99" s="352"/>
      <c r="S99" s="352"/>
      <c r="T99" s="352"/>
      <c r="U99" s="352"/>
      <c r="V99" s="352"/>
      <c r="W99" s="352"/>
      <c r="X99" s="352"/>
      <c r="Y99" s="352"/>
      <c r="Z99" s="352"/>
      <c r="AA99" s="352"/>
      <c r="AB99" s="352"/>
      <c r="AC99" s="352"/>
      <c r="AD99" s="352"/>
      <c r="AE99" s="352"/>
      <c r="AF99" s="352"/>
      <c r="AG99" s="352"/>
      <c r="AH99" s="352"/>
      <c r="AI99" s="352"/>
      <c r="AJ99" s="352"/>
      <c r="AK99" s="352"/>
      <c r="AL99" s="352"/>
      <c r="AM99" s="352"/>
      <c r="AN99" s="352"/>
      <c r="AO99" s="352"/>
      <c r="AP99" s="352"/>
      <c r="AQ99" s="352"/>
      <c r="AR99" s="352"/>
      <c r="AS99" s="352"/>
      <c r="AT99" s="352"/>
      <c r="AU99" s="352"/>
      <c r="AV99" s="352"/>
      <c r="AW99" s="352"/>
      <c r="AX99" s="352"/>
      <c r="AY99" s="352"/>
      <c r="AZ99" s="352"/>
      <c r="BA99" s="352"/>
      <c r="BB99" s="352"/>
      <c r="BC99" s="352"/>
      <c r="BD99" s="352"/>
      <c r="BE99" s="352"/>
      <c r="BF99" s="352"/>
      <c r="BG99" s="352"/>
      <c r="BH99" s="352"/>
      <c r="BI99" s="352"/>
      <c r="BJ99" s="352"/>
      <c r="BK99" s="352"/>
      <c r="BL99" s="352"/>
      <c r="BM99" s="352"/>
      <c r="BN99" s="352"/>
      <c r="BO99" s="352"/>
      <c r="BP99" s="352"/>
      <c r="BQ99" s="352"/>
      <c r="BR99" s="352"/>
      <c r="BS99" s="352"/>
      <c r="BT99" s="352"/>
      <c r="BU99" s="352"/>
      <c r="BV99" s="352"/>
      <c r="BW99" s="352"/>
      <c r="BX99" s="352"/>
      <c r="BY99" s="352"/>
      <c r="BZ99" s="352"/>
      <c r="CA99" s="352"/>
      <c r="CB99" s="352"/>
      <c r="CC99" s="352"/>
      <c r="CD99" s="352"/>
      <c r="CE99" s="352"/>
      <c r="CF99" s="352"/>
      <c r="CG99" s="352"/>
      <c r="CH99" s="352"/>
      <c r="CI99" s="352"/>
      <c r="CJ99" s="352"/>
      <c r="CK99" s="352"/>
      <c r="CL99" s="352"/>
      <c r="CM99" s="352"/>
      <c r="CN99" s="352"/>
      <c r="CO99" s="352"/>
      <c r="CP99" s="352"/>
      <c r="CQ99" s="352"/>
      <c r="CR99" s="352"/>
      <c r="CS99" s="352"/>
      <c r="CT99" s="352"/>
      <c r="CU99" s="352"/>
      <c r="CV99" s="352"/>
      <c r="CW99" s="352"/>
      <c r="CX99" s="352"/>
      <c r="CY99" s="352"/>
      <c r="CZ99" s="352"/>
      <c r="DA99" s="352"/>
      <c r="DB99" s="352"/>
      <c r="DC99" s="352"/>
      <c r="DD99" s="352"/>
      <c r="DE99" s="7"/>
    </row>
    <row r="100" spans="1:109" ht="15" customHeight="1">
      <c r="A100" s="6"/>
      <c r="B100" s="382"/>
      <c r="C100" s="383"/>
      <c r="D100" s="383"/>
      <c r="E100" s="383"/>
      <c r="F100" s="383"/>
      <c r="G100" s="383"/>
      <c r="H100" s="384"/>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c r="BI100" s="351"/>
      <c r="BJ100" s="351"/>
      <c r="BK100" s="351"/>
      <c r="BL100" s="351"/>
      <c r="BM100" s="351"/>
      <c r="BN100" s="351"/>
      <c r="BO100" s="351"/>
      <c r="BP100" s="351"/>
      <c r="BQ100" s="351"/>
      <c r="BR100" s="351"/>
      <c r="BS100" s="351"/>
      <c r="BT100" s="351"/>
      <c r="BU100" s="351"/>
      <c r="BV100" s="351"/>
      <c r="BW100" s="351"/>
      <c r="BX100" s="351"/>
      <c r="BY100" s="351"/>
      <c r="BZ100" s="351"/>
      <c r="CA100" s="351"/>
      <c r="CB100" s="351"/>
      <c r="CC100" s="351"/>
      <c r="CD100" s="351"/>
      <c r="CE100" s="351"/>
      <c r="CF100" s="351"/>
      <c r="CG100" s="351"/>
      <c r="CH100" s="351"/>
      <c r="CI100" s="351"/>
      <c r="CJ100" s="351"/>
      <c r="CK100" s="351"/>
      <c r="CL100" s="351"/>
      <c r="CM100" s="351"/>
      <c r="CN100" s="351"/>
      <c r="CO100" s="351"/>
      <c r="CP100" s="351"/>
      <c r="CQ100" s="351"/>
      <c r="CR100" s="351"/>
      <c r="CS100" s="351"/>
      <c r="CT100" s="351"/>
      <c r="CU100" s="351"/>
      <c r="CV100" s="351"/>
      <c r="CW100" s="351"/>
      <c r="CX100" s="351"/>
      <c r="CY100" s="351"/>
      <c r="CZ100" s="351"/>
      <c r="DA100" s="351"/>
      <c r="DB100" s="351"/>
      <c r="DC100" s="351"/>
      <c r="DD100" s="351"/>
      <c r="DE100" s="7"/>
    </row>
    <row r="101" spans="1:109" ht="15" customHeight="1">
      <c r="A101" s="8"/>
      <c r="B101" s="385"/>
      <c r="C101" s="386"/>
      <c r="D101" s="386"/>
      <c r="E101" s="386"/>
      <c r="F101" s="386"/>
      <c r="G101" s="386"/>
      <c r="H101" s="387"/>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1"/>
      <c r="BO101" s="351"/>
      <c r="BP101" s="351"/>
      <c r="BQ101" s="351"/>
      <c r="BR101" s="351"/>
      <c r="BS101" s="351"/>
      <c r="BT101" s="351"/>
      <c r="BU101" s="351"/>
      <c r="BV101" s="351"/>
      <c r="BW101" s="351"/>
      <c r="BX101" s="351"/>
      <c r="BY101" s="351"/>
      <c r="BZ101" s="351"/>
      <c r="CA101" s="351"/>
      <c r="CB101" s="351"/>
      <c r="CC101" s="351"/>
      <c r="CD101" s="351"/>
      <c r="CE101" s="351"/>
      <c r="CF101" s="351"/>
      <c r="CG101" s="351"/>
      <c r="CH101" s="351"/>
      <c r="CI101" s="351"/>
      <c r="CJ101" s="351"/>
      <c r="CK101" s="351"/>
      <c r="CL101" s="351"/>
      <c r="CM101" s="351"/>
      <c r="CN101" s="351"/>
      <c r="CO101" s="351"/>
      <c r="CP101" s="351"/>
      <c r="CQ101" s="351"/>
      <c r="CR101" s="351"/>
      <c r="CS101" s="351"/>
      <c r="CT101" s="351"/>
      <c r="CU101" s="351"/>
      <c r="CV101" s="351"/>
      <c r="CW101" s="351"/>
      <c r="CX101" s="351"/>
      <c r="CY101" s="351"/>
      <c r="CZ101" s="351"/>
      <c r="DA101" s="351"/>
      <c r="DB101" s="351"/>
      <c r="DC101" s="351"/>
      <c r="DD101" s="351"/>
      <c r="DE101" s="7"/>
    </row>
    <row r="102" spans="1:109" ht="15" customHeight="1">
      <c r="A102" s="8"/>
      <c r="B102" s="353"/>
      <c r="C102" s="354"/>
      <c r="D102" s="354"/>
      <c r="E102" s="354"/>
      <c r="F102" s="354"/>
      <c r="G102" s="354"/>
      <c r="H102" s="355"/>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c r="AX102" s="352"/>
      <c r="AY102" s="352"/>
      <c r="AZ102" s="352"/>
      <c r="BA102" s="352"/>
      <c r="BB102" s="352"/>
      <c r="BC102" s="352"/>
      <c r="BD102" s="352"/>
      <c r="BE102" s="352"/>
      <c r="BF102" s="352"/>
      <c r="BG102" s="352"/>
      <c r="BH102" s="352"/>
      <c r="BI102" s="352"/>
      <c r="BJ102" s="352"/>
      <c r="BK102" s="352"/>
      <c r="BL102" s="352"/>
      <c r="BM102" s="352"/>
      <c r="BN102" s="352"/>
      <c r="BO102" s="352"/>
      <c r="BP102" s="352"/>
      <c r="BQ102" s="352"/>
      <c r="BR102" s="352"/>
      <c r="BS102" s="352"/>
      <c r="BT102" s="352"/>
      <c r="BU102" s="352"/>
      <c r="BV102" s="352"/>
      <c r="BW102" s="352"/>
      <c r="BX102" s="352"/>
      <c r="BY102" s="352"/>
      <c r="BZ102" s="352"/>
      <c r="CA102" s="352"/>
      <c r="CB102" s="352"/>
      <c r="CC102" s="352"/>
      <c r="CD102" s="352"/>
      <c r="CE102" s="352"/>
      <c r="CF102" s="352"/>
      <c r="CG102" s="352"/>
      <c r="CH102" s="352"/>
      <c r="CI102" s="352"/>
      <c r="CJ102" s="352"/>
      <c r="CK102" s="352"/>
      <c r="CL102" s="352"/>
      <c r="CM102" s="352"/>
      <c r="CN102" s="352"/>
      <c r="CO102" s="352"/>
      <c r="CP102" s="352"/>
      <c r="CQ102" s="352"/>
      <c r="CR102" s="352"/>
      <c r="CS102" s="352"/>
      <c r="CT102" s="352"/>
      <c r="CU102" s="352"/>
      <c r="CV102" s="352"/>
      <c r="CW102" s="352"/>
      <c r="CX102" s="352"/>
      <c r="CY102" s="352"/>
      <c r="CZ102" s="352"/>
      <c r="DA102" s="352"/>
      <c r="DB102" s="352"/>
      <c r="DC102" s="352"/>
      <c r="DD102" s="352"/>
      <c r="DE102" s="7"/>
    </row>
    <row r="103" spans="1:109" ht="15" customHeight="1">
      <c r="A103" s="8"/>
      <c r="B103" s="356"/>
      <c r="C103" s="357"/>
      <c r="D103" s="357"/>
      <c r="E103" s="357"/>
      <c r="F103" s="357"/>
      <c r="G103" s="357"/>
      <c r="H103" s="358"/>
      <c r="I103" s="352"/>
      <c r="J103" s="352"/>
      <c r="K103" s="352"/>
      <c r="L103" s="352"/>
      <c r="M103" s="352"/>
      <c r="N103" s="352"/>
      <c r="O103" s="352"/>
      <c r="P103" s="352"/>
      <c r="Q103" s="352"/>
      <c r="R103" s="352"/>
      <c r="S103" s="352"/>
      <c r="T103" s="352"/>
      <c r="U103" s="352"/>
      <c r="V103" s="352"/>
      <c r="W103" s="352"/>
      <c r="X103" s="352"/>
      <c r="Y103" s="352"/>
      <c r="Z103" s="352"/>
      <c r="AA103" s="352"/>
      <c r="AB103" s="352"/>
      <c r="AC103" s="352"/>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c r="AX103" s="352"/>
      <c r="AY103" s="352"/>
      <c r="AZ103" s="352"/>
      <c r="BA103" s="352"/>
      <c r="BB103" s="352"/>
      <c r="BC103" s="352"/>
      <c r="BD103" s="352"/>
      <c r="BE103" s="352"/>
      <c r="BF103" s="352"/>
      <c r="BG103" s="352"/>
      <c r="BH103" s="352"/>
      <c r="BI103" s="352"/>
      <c r="BJ103" s="352"/>
      <c r="BK103" s="352"/>
      <c r="BL103" s="352"/>
      <c r="BM103" s="352"/>
      <c r="BN103" s="352"/>
      <c r="BO103" s="352"/>
      <c r="BP103" s="352"/>
      <c r="BQ103" s="352"/>
      <c r="BR103" s="352"/>
      <c r="BS103" s="352"/>
      <c r="BT103" s="352"/>
      <c r="BU103" s="352"/>
      <c r="BV103" s="352"/>
      <c r="BW103" s="352"/>
      <c r="BX103" s="352"/>
      <c r="BY103" s="352"/>
      <c r="BZ103" s="352"/>
      <c r="CA103" s="352"/>
      <c r="CB103" s="352"/>
      <c r="CC103" s="352"/>
      <c r="CD103" s="352"/>
      <c r="CE103" s="352"/>
      <c r="CF103" s="352"/>
      <c r="CG103" s="352"/>
      <c r="CH103" s="352"/>
      <c r="CI103" s="352"/>
      <c r="CJ103" s="352"/>
      <c r="CK103" s="352"/>
      <c r="CL103" s="352"/>
      <c r="CM103" s="352"/>
      <c r="CN103" s="352"/>
      <c r="CO103" s="352"/>
      <c r="CP103" s="352"/>
      <c r="CQ103" s="352"/>
      <c r="CR103" s="352"/>
      <c r="CS103" s="352"/>
      <c r="CT103" s="352"/>
      <c r="CU103" s="352"/>
      <c r="CV103" s="352"/>
      <c r="CW103" s="352"/>
      <c r="CX103" s="352"/>
      <c r="CY103" s="352"/>
      <c r="CZ103" s="352"/>
      <c r="DA103" s="352"/>
      <c r="DB103" s="352"/>
      <c r="DC103" s="352"/>
      <c r="DD103" s="352"/>
      <c r="DE103" s="7"/>
    </row>
    <row r="104" spans="1:109" ht="15" customHeight="1">
      <c r="A104" s="3"/>
      <c r="B104" s="382"/>
      <c r="C104" s="383"/>
      <c r="D104" s="383"/>
      <c r="E104" s="383"/>
      <c r="F104" s="383"/>
      <c r="G104" s="383"/>
      <c r="H104" s="384"/>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c r="BI104" s="351"/>
      <c r="BJ104" s="351"/>
      <c r="BK104" s="351"/>
      <c r="BL104" s="351"/>
      <c r="BM104" s="351"/>
      <c r="BN104" s="351"/>
      <c r="BO104" s="351"/>
      <c r="BP104" s="351"/>
      <c r="BQ104" s="351"/>
      <c r="BR104" s="351"/>
      <c r="BS104" s="351"/>
      <c r="BT104" s="351"/>
      <c r="BU104" s="351"/>
      <c r="BV104" s="351"/>
      <c r="BW104" s="351"/>
      <c r="BX104" s="351"/>
      <c r="BY104" s="351"/>
      <c r="BZ104" s="351"/>
      <c r="CA104" s="351"/>
      <c r="CB104" s="351"/>
      <c r="CC104" s="351"/>
      <c r="CD104" s="351"/>
      <c r="CE104" s="351"/>
      <c r="CF104" s="351"/>
      <c r="CG104" s="351"/>
      <c r="CH104" s="351"/>
      <c r="CI104" s="351"/>
      <c r="CJ104" s="351"/>
      <c r="CK104" s="351"/>
      <c r="CL104" s="351"/>
      <c r="CM104" s="351"/>
      <c r="CN104" s="351"/>
      <c r="CO104" s="351"/>
      <c r="CP104" s="351"/>
      <c r="CQ104" s="351"/>
      <c r="CR104" s="351"/>
      <c r="CS104" s="351"/>
      <c r="CT104" s="351"/>
      <c r="CU104" s="351"/>
      <c r="CV104" s="351"/>
      <c r="CW104" s="351"/>
      <c r="CX104" s="351"/>
      <c r="CY104" s="351"/>
      <c r="CZ104" s="351"/>
      <c r="DA104" s="351"/>
      <c r="DB104" s="351"/>
      <c r="DC104" s="351"/>
      <c r="DD104" s="351"/>
      <c r="DE104" s="7"/>
    </row>
    <row r="105" spans="1:109" ht="15" customHeight="1">
      <c r="A105" s="3"/>
      <c r="B105" s="385"/>
      <c r="C105" s="386"/>
      <c r="D105" s="386"/>
      <c r="E105" s="386"/>
      <c r="F105" s="386"/>
      <c r="G105" s="386"/>
      <c r="H105" s="387"/>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c r="BI105" s="351"/>
      <c r="BJ105" s="351"/>
      <c r="BK105" s="351"/>
      <c r="BL105" s="351"/>
      <c r="BM105" s="351"/>
      <c r="BN105" s="351"/>
      <c r="BO105" s="351"/>
      <c r="BP105" s="351"/>
      <c r="BQ105" s="351"/>
      <c r="BR105" s="351"/>
      <c r="BS105" s="351"/>
      <c r="BT105" s="351"/>
      <c r="BU105" s="351"/>
      <c r="BV105" s="351"/>
      <c r="BW105" s="351"/>
      <c r="BX105" s="351"/>
      <c r="BY105" s="351"/>
      <c r="BZ105" s="351"/>
      <c r="CA105" s="351"/>
      <c r="CB105" s="351"/>
      <c r="CC105" s="351"/>
      <c r="CD105" s="351"/>
      <c r="CE105" s="351"/>
      <c r="CF105" s="351"/>
      <c r="CG105" s="351"/>
      <c r="CH105" s="351"/>
      <c r="CI105" s="351"/>
      <c r="CJ105" s="351"/>
      <c r="CK105" s="351"/>
      <c r="CL105" s="351"/>
      <c r="CM105" s="351"/>
      <c r="CN105" s="351"/>
      <c r="CO105" s="351"/>
      <c r="CP105" s="351"/>
      <c r="CQ105" s="351"/>
      <c r="CR105" s="351"/>
      <c r="CS105" s="351"/>
      <c r="CT105" s="351"/>
      <c r="CU105" s="351"/>
      <c r="CV105" s="351"/>
      <c r="CW105" s="351"/>
      <c r="CX105" s="351"/>
      <c r="CY105" s="351"/>
      <c r="CZ105" s="351"/>
      <c r="DA105" s="351"/>
      <c r="DB105" s="351"/>
      <c r="DC105" s="351"/>
      <c r="DD105" s="351"/>
      <c r="DE105" s="7"/>
    </row>
    <row r="106" spans="1:109" ht="15" customHeight="1">
      <c r="A106" s="3"/>
      <c r="B106" s="353"/>
      <c r="C106" s="354"/>
      <c r="D106" s="354"/>
      <c r="E106" s="354"/>
      <c r="F106" s="354"/>
      <c r="G106" s="354"/>
      <c r="H106" s="355"/>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c r="AX106" s="352"/>
      <c r="AY106" s="352"/>
      <c r="AZ106" s="352"/>
      <c r="BA106" s="352"/>
      <c r="BB106" s="352"/>
      <c r="BC106" s="352"/>
      <c r="BD106" s="352"/>
      <c r="BE106" s="352"/>
      <c r="BF106" s="352"/>
      <c r="BG106" s="352"/>
      <c r="BH106" s="352"/>
      <c r="BI106" s="352"/>
      <c r="BJ106" s="352"/>
      <c r="BK106" s="352"/>
      <c r="BL106" s="352"/>
      <c r="BM106" s="352"/>
      <c r="BN106" s="352"/>
      <c r="BO106" s="352"/>
      <c r="BP106" s="352"/>
      <c r="BQ106" s="352"/>
      <c r="BR106" s="352"/>
      <c r="BS106" s="352"/>
      <c r="BT106" s="352"/>
      <c r="BU106" s="352"/>
      <c r="BV106" s="352"/>
      <c r="BW106" s="352"/>
      <c r="BX106" s="352"/>
      <c r="BY106" s="352"/>
      <c r="BZ106" s="352"/>
      <c r="CA106" s="352"/>
      <c r="CB106" s="352"/>
      <c r="CC106" s="352"/>
      <c r="CD106" s="352"/>
      <c r="CE106" s="352"/>
      <c r="CF106" s="352"/>
      <c r="CG106" s="352"/>
      <c r="CH106" s="352"/>
      <c r="CI106" s="352"/>
      <c r="CJ106" s="352"/>
      <c r="CK106" s="352"/>
      <c r="CL106" s="352"/>
      <c r="CM106" s="352"/>
      <c r="CN106" s="352"/>
      <c r="CO106" s="352"/>
      <c r="CP106" s="352"/>
      <c r="CQ106" s="352"/>
      <c r="CR106" s="352"/>
      <c r="CS106" s="352"/>
      <c r="CT106" s="352"/>
      <c r="CU106" s="352"/>
      <c r="CV106" s="352"/>
      <c r="CW106" s="352"/>
      <c r="CX106" s="352"/>
      <c r="CY106" s="352"/>
      <c r="CZ106" s="352"/>
      <c r="DA106" s="352"/>
      <c r="DB106" s="352"/>
      <c r="DC106" s="352"/>
      <c r="DD106" s="352"/>
      <c r="DE106" s="24"/>
    </row>
    <row r="107" spans="1:109" ht="15" customHeight="1">
      <c r="A107" s="3"/>
      <c r="B107" s="356"/>
      <c r="C107" s="357"/>
      <c r="D107" s="357"/>
      <c r="E107" s="357"/>
      <c r="F107" s="357"/>
      <c r="G107" s="357"/>
      <c r="H107" s="358"/>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c r="AX107" s="352"/>
      <c r="AY107" s="352"/>
      <c r="AZ107" s="352"/>
      <c r="BA107" s="352"/>
      <c r="BB107" s="352"/>
      <c r="BC107" s="352"/>
      <c r="BD107" s="352"/>
      <c r="BE107" s="352"/>
      <c r="BF107" s="352"/>
      <c r="BG107" s="352"/>
      <c r="BH107" s="352"/>
      <c r="BI107" s="352"/>
      <c r="BJ107" s="352"/>
      <c r="BK107" s="352"/>
      <c r="BL107" s="352"/>
      <c r="BM107" s="352"/>
      <c r="BN107" s="352"/>
      <c r="BO107" s="352"/>
      <c r="BP107" s="352"/>
      <c r="BQ107" s="352"/>
      <c r="BR107" s="352"/>
      <c r="BS107" s="352"/>
      <c r="BT107" s="352"/>
      <c r="BU107" s="352"/>
      <c r="BV107" s="352"/>
      <c r="BW107" s="352"/>
      <c r="BX107" s="352"/>
      <c r="BY107" s="352"/>
      <c r="BZ107" s="352"/>
      <c r="CA107" s="352"/>
      <c r="CB107" s="352"/>
      <c r="CC107" s="352"/>
      <c r="CD107" s="352"/>
      <c r="CE107" s="352"/>
      <c r="CF107" s="352"/>
      <c r="CG107" s="352"/>
      <c r="CH107" s="352"/>
      <c r="CI107" s="352"/>
      <c r="CJ107" s="352"/>
      <c r="CK107" s="352"/>
      <c r="CL107" s="352"/>
      <c r="CM107" s="352"/>
      <c r="CN107" s="352"/>
      <c r="CO107" s="352"/>
      <c r="CP107" s="352"/>
      <c r="CQ107" s="352"/>
      <c r="CR107" s="352"/>
      <c r="CS107" s="352"/>
      <c r="CT107" s="352"/>
      <c r="CU107" s="352"/>
      <c r="CV107" s="352"/>
      <c r="CW107" s="352"/>
      <c r="CX107" s="352"/>
      <c r="CY107" s="352"/>
      <c r="CZ107" s="352"/>
      <c r="DA107" s="352"/>
      <c r="DB107" s="352"/>
      <c r="DC107" s="352"/>
      <c r="DD107" s="352"/>
      <c r="DE107" s="7"/>
    </row>
    <row r="108" spans="1:109" ht="15" customHeight="1">
      <c r="A108" s="3"/>
      <c r="B108" s="382"/>
      <c r="C108" s="383"/>
      <c r="D108" s="383"/>
      <c r="E108" s="383"/>
      <c r="F108" s="383"/>
      <c r="G108" s="383"/>
      <c r="H108" s="384"/>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c r="BI108" s="351"/>
      <c r="BJ108" s="351"/>
      <c r="BK108" s="351"/>
      <c r="BL108" s="351"/>
      <c r="BM108" s="351"/>
      <c r="BN108" s="351"/>
      <c r="BO108" s="351"/>
      <c r="BP108" s="351"/>
      <c r="BQ108" s="351"/>
      <c r="BR108" s="351"/>
      <c r="BS108" s="351"/>
      <c r="BT108" s="351"/>
      <c r="BU108" s="351"/>
      <c r="BV108" s="351"/>
      <c r="BW108" s="351"/>
      <c r="BX108" s="351"/>
      <c r="BY108" s="351"/>
      <c r="BZ108" s="351"/>
      <c r="CA108" s="351"/>
      <c r="CB108" s="351"/>
      <c r="CC108" s="351"/>
      <c r="CD108" s="351"/>
      <c r="CE108" s="351"/>
      <c r="CF108" s="351"/>
      <c r="CG108" s="351"/>
      <c r="CH108" s="351"/>
      <c r="CI108" s="351"/>
      <c r="CJ108" s="351"/>
      <c r="CK108" s="351"/>
      <c r="CL108" s="351"/>
      <c r="CM108" s="351"/>
      <c r="CN108" s="351"/>
      <c r="CO108" s="351"/>
      <c r="CP108" s="351"/>
      <c r="CQ108" s="351"/>
      <c r="CR108" s="351"/>
      <c r="CS108" s="351"/>
      <c r="CT108" s="351"/>
      <c r="CU108" s="351"/>
      <c r="CV108" s="351"/>
      <c r="CW108" s="351"/>
      <c r="CX108" s="351"/>
      <c r="CY108" s="351"/>
      <c r="CZ108" s="351"/>
      <c r="DA108" s="351"/>
      <c r="DB108" s="351"/>
      <c r="DC108" s="351"/>
      <c r="DD108" s="351"/>
      <c r="DE108" s="7"/>
    </row>
    <row r="109" spans="1:109" ht="15" customHeight="1">
      <c r="A109" s="6"/>
      <c r="B109" s="385"/>
      <c r="C109" s="386"/>
      <c r="D109" s="386"/>
      <c r="E109" s="386"/>
      <c r="F109" s="386"/>
      <c r="G109" s="386"/>
      <c r="H109" s="387"/>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c r="BI109" s="351"/>
      <c r="BJ109" s="351"/>
      <c r="BK109" s="351"/>
      <c r="BL109" s="351"/>
      <c r="BM109" s="351"/>
      <c r="BN109" s="351"/>
      <c r="BO109" s="351"/>
      <c r="BP109" s="351"/>
      <c r="BQ109" s="351"/>
      <c r="BR109" s="351"/>
      <c r="BS109" s="351"/>
      <c r="BT109" s="351"/>
      <c r="BU109" s="351"/>
      <c r="BV109" s="351"/>
      <c r="BW109" s="351"/>
      <c r="BX109" s="351"/>
      <c r="BY109" s="351"/>
      <c r="BZ109" s="351"/>
      <c r="CA109" s="351"/>
      <c r="CB109" s="351"/>
      <c r="CC109" s="351"/>
      <c r="CD109" s="351"/>
      <c r="CE109" s="351"/>
      <c r="CF109" s="351"/>
      <c r="CG109" s="351"/>
      <c r="CH109" s="351"/>
      <c r="CI109" s="351"/>
      <c r="CJ109" s="351"/>
      <c r="CK109" s="351"/>
      <c r="CL109" s="351"/>
      <c r="CM109" s="351"/>
      <c r="CN109" s="351"/>
      <c r="CO109" s="351"/>
      <c r="CP109" s="351"/>
      <c r="CQ109" s="351"/>
      <c r="CR109" s="351"/>
      <c r="CS109" s="351"/>
      <c r="CT109" s="351"/>
      <c r="CU109" s="351"/>
      <c r="CV109" s="351"/>
      <c r="CW109" s="351"/>
      <c r="CX109" s="351"/>
      <c r="CY109" s="351"/>
      <c r="CZ109" s="351"/>
      <c r="DA109" s="351"/>
      <c r="DB109" s="351"/>
      <c r="DC109" s="351"/>
      <c r="DD109" s="351"/>
      <c r="DE109" s="7"/>
    </row>
    <row r="110" spans="1:109" ht="15" customHeight="1" thickBot="1">
      <c r="A110" s="2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4"/>
    </row>
    <row r="111" spans="1:109" ht="15" customHeight="1">
      <c r="A111" s="3"/>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109" ht="15" customHeight="1">
      <c r="A112" s="8" t="s">
        <v>41</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109" ht="15" customHeight="1">
      <c r="A113" s="17" t="s">
        <v>42</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CJ113" s="9"/>
      <c r="CK113" s="9"/>
      <c r="CL113" s="9"/>
      <c r="CM113" s="9"/>
      <c r="CN113" s="10"/>
      <c r="CO113" s="10"/>
      <c r="CP113" s="10"/>
      <c r="CQ113" s="10"/>
      <c r="CR113" s="10"/>
      <c r="CS113" s="10"/>
      <c r="CT113" s="10"/>
      <c r="CU113" s="10"/>
      <c r="CV113" s="10"/>
      <c r="CW113" s="10"/>
      <c r="CX113" s="10"/>
      <c r="CY113" s="10"/>
      <c r="CZ113" s="10"/>
      <c r="DA113" s="10"/>
      <c r="DB113" s="10"/>
      <c r="DC113" s="10"/>
      <c r="DD113" s="10"/>
      <c r="DE113" s="10"/>
    </row>
    <row r="114" spans="1:109" ht="15" customHeight="1">
      <c r="A114" s="15" t="s">
        <v>43</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15"/>
      <c r="AV114" s="15"/>
    </row>
    <row r="115" spans="1:109" ht="15" customHeight="1">
      <c r="A115" s="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W115" s="16"/>
      <c r="AX115" s="16"/>
      <c r="AY115" s="16"/>
      <c r="AZ115" s="16"/>
      <c r="BA115" s="16"/>
      <c r="BB115" s="16"/>
      <c r="BC115" s="16"/>
      <c r="BD115" s="16"/>
      <c r="BE115" s="16"/>
      <c r="BF115" s="16"/>
      <c r="BG115" s="16"/>
      <c r="BH115" s="16"/>
      <c r="BI115" s="16"/>
      <c r="BJ115" s="16"/>
      <c r="BK115" s="16"/>
      <c r="BL115" s="16"/>
      <c r="BM115" s="16"/>
    </row>
    <row r="116" spans="1:109" ht="15" customHeight="1">
      <c r="A116" s="1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15"/>
      <c r="AV116" s="17"/>
    </row>
    <row r="117" spans="1:109" ht="1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5"/>
      <c r="AV117" s="5"/>
      <c r="AW117" s="5"/>
      <c r="AX117" s="5"/>
      <c r="AY117" s="5"/>
      <c r="AZ117" s="5"/>
      <c r="BA117" s="5"/>
      <c r="BB117" s="5"/>
      <c r="BC117" s="5"/>
      <c r="BD117" s="5"/>
      <c r="BE117" s="5"/>
      <c r="BF117" s="5"/>
      <c r="BG117" s="5"/>
      <c r="BH117" s="5"/>
      <c r="BI117" s="5"/>
      <c r="BJ117" s="5"/>
      <c r="BK117" s="5"/>
      <c r="BL117" s="5"/>
      <c r="BM117" s="5"/>
    </row>
    <row r="118" spans="1:109" ht="15" customHeight="1">
      <c r="A118" s="17"/>
      <c r="B118" s="16"/>
      <c r="C118" s="16"/>
      <c r="D118" s="16"/>
      <c r="E118" s="5"/>
      <c r="F118" s="5"/>
      <c r="G118" s="5"/>
      <c r="H118" s="5"/>
      <c r="I118" s="5"/>
      <c r="J118" s="5"/>
      <c r="K118" s="5"/>
      <c r="L118" s="5"/>
      <c r="M118" s="5"/>
      <c r="N118" s="5"/>
      <c r="O118" s="5"/>
      <c r="P118" s="5"/>
      <c r="Q118" s="16"/>
      <c r="R118" s="16"/>
      <c r="S118" s="16"/>
      <c r="T118" s="16"/>
      <c r="U118" s="16"/>
      <c r="V118" s="16"/>
      <c r="W118" s="16"/>
      <c r="X118" s="21"/>
      <c r="Y118" s="21"/>
      <c r="Z118" s="21"/>
      <c r="AA118" s="21"/>
      <c r="AE118" s="16"/>
      <c r="AF118" s="16"/>
      <c r="AG118" s="16"/>
      <c r="AH118" s="16"/>
      <c r="AI118" s="16"/>
      <c r="AJ118" s="16"/>
      <c r="AK118" s="16"/>
      <c r="AL118" s="16"/>
      <c r="AM118" s="16"/>
      <c r="AN118" s="16"/>
      <c r="AO118" s="16"/>
      <c r="AP118" s="16"/>
      <c r="AQ118" s="16"/>
      <c r="AR118" s="16"/>
      <c r="AS118" s="16"/>
      <c r="AU118" s="16"/>
      <c r="AV118" s="16"/>
      <c r="AW118" s="16"/>
      <c r="AX118" s="16"/>
      <c r="AY118" s="16"/>
      <c r="AZ118" s="16"/>
      <c r="BA118" s="16"/>
      <c r="BB118" s="16"/>
      <c r="BC118" s="16"/>
      <c r="BD118" s="16"/>
      <c r="BE118" s="16"/>
      <c r="BF118" s="16"/>
      <c r="BG118" s="16"/>
      <c r="BH118" s="16"/>
      <c r="BI118" s="16"/>
      <c r="BJ118" s="16"/>
      <c r="BK118" s="16"/>
      <c r="BL118" s="16"/>
      <c r="BM118" s="16"/>
      <c r="BN118" s="16"/>
      <c r="BO118" s="11"/>
      <c r="BP118" s="11"/>
      <c r="BQ118" s="11"/>
      <c r="BR118" s="11"/>
      <c r="BS118" s="11"/>
      <c r="BT118" s="11"/>
      <c r="BU118" s="11"/>
      <c r="BV118" s="11"/>
      <c r="BW118" s="11"/>
      <c r="BX118" s="11"/>
      <c r="BY118" s="11"/>
      <c r="BZ118" s="11"/>
      <c r="CA118" s="11"/>
      <c r="CB118" s="11"/>
      <c r="CC118" s="11"/>
      <c r="CD118" s="11"/>
      <c r="CE118" s="11"/>
      <c r="CF118" s="11"/>
      <c r="CG118" s="11"/>
      <c r="CH118" s="11"/>
      <c r="CI118" s="11"/>
    </row>
    <row r="119" spans="1:109" ht="15" customHeight="1">
      <c r="A119" s="17"/>
      <c r="AU119" s="22"/>
      <c r="AV119" s="22"/>
      <c r="AW119" s="19"/>
      <c r="AX119" s="19"/>
      <c r="AY119" s="22"/>
      <c r="AZ119" s="22"/>
      <c r="BA119" s="19"/>
      <c r="BB119" s="19"/>
      <c r="BC119" s="5"/>
      <c r="BD119" s="5"/>
      <c r="BE119" s="5"/>
      <c r="BF119" s="5"/>
      <c r="BG119" s="5"/>
      <c r="BH119" s="5"/>
      <c r="BI119" s="5"/>
      <c r="BJ119" s="5"/>
      <c r="BK119" s="5"/>
      <c r="BL119" s="5"/>
      <c r="BM119" s="5"/>
      <c r="BN119" s="5"/>
      <c r="BO119" s="11"/>
      <c r="BP119" s="11"/>
      <c r="BQ119" s="11"/>
      <c r="BR119" s="11"/>
      <c r="BS119" s="11"/>
      <c r="BT119" s="11"/>
      <c r="BU119" s="11"/>
      <c r="BV119" s="11"/>
      <c r="BW119" s="11"/>
      <c r="BX119" s="11"/>
      <c r="BY119" s="11"/>
      <c r="BZ119" s="11"/>
      <c r="CA119" s="11"/>
      <c r="CB119" s="11"/>
      <c r="CC119" s="11"/>
      <c r="CD119" s="11"/>
      <c r="CE119" s="11"/>
      <c r="CF119" s="11"/>
      <c r="CG119" s="11"/>
      <c r="CH119" s="11"/>
      <c r="CI119" s="11"/>
    </row>
    <row r="120" spans="1:109" ht="15" customHeight="1">
      <c r="A120" s="15"/>
      <c r="B120" s="16"/>
      <c r="C120" s="16"/>
      <c r="D120" s="16"/>
      <c r="E120" s="16"/>
      <c r="F120" s="16"/>
      <c r="G120" s="16"/>
      <c r="H120" s="16"/>
      <c r="I120" s="16"/>
      <c r="J120" s="16"/>
      <c r="K120" s="16"/>
      <c r="L120" s="16"/>
      <c r="M120" s="16"/>
      <c r="N120" s="16"/>
      <c r="O120" s="16"/>
      <c r="P120" s="16"/>
      <c r="Q120" s="16"/>
      <c r="R120" s="16"/>
      <c r="S120" s="16"/>
      <c r="T120" s="5"/>
      <c r="U120" s="5"/>
      <c r="V120" s="5"/>
      <c r="W120" s="5"/>
      <c r="X120" s="5"/>
      <c r="Y120" s="5"/>
      <c r="Z120" s="5"/>
      <c r="AA120" s="5"/>
      <c r="AB120" s="5"/>
      <c r="AC120" s="5"/>
      <c r="AD120" s="5"/>
      <c r="AE120" s="5"/>
      <c r="AF120" s="5"/>
      <c r="AG120" s="5"/>
      <c r="AH120" s="5"/>
      <c r="AI120" s="16"/>
      <c r="AJ120" s="16"/>
      <c r="AK120" s="16"/>
      <c r="AL120" s="16"/>
      <c r="AM120" s="16"/>
      <c r="AN120" s="16"/>
      <c r="AO120" s="5"/>
      <c r="AP120" s="5"/>
      <c r="AQ120" s="5"/>
      <c r="AR120" s="5"/>
      <c r="AS120" s="5"/>
      <c r="AT120" s="5"/>
      <c r="AU120" s="18"/>
      <c r="AV120" s="18"/>
      <c r="AW120" s="18"/>
      <c r="AX120" s="18"/>
      <c r="AY120" s="18"/>
      <c r="AZ120" s="5"/>
      <c r="BA120" s="5"/>
      <c r="BB120" s="5"/>
      <c r="BC120" s="5"/>
      <c r="BD120" s="5"/>
      <c r="BE120" s="5"/>
      <c r="BF120" s="5"/>
      <c r="BG120" s="5"/>
      <c r="BH120" s="5"/>
      <c r="BI120" s="5"/>
      <c r="BJ120" s="5"/>
      <c r="BK120" s="5"/>
      <c r="BL120" s="5"/>
      <c r="BM120" s="5"/>
      <c r="BN120" s="5"/>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109" ht="1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9"/>
      <c r="AV121" s="19"/>
      <c r="AW121" s="19"/>
      <c r="AX121" s="19"/>
      <c r="AY121" s="19"/>
      <c r="AZ121" s="19"/>
      <c r="BA121" s="19"/>
      <c r="BB121" s="19"/>
      <c r="BC121" s="19"/>
      <c r="BD121" s="19"/>
      <c r="BE121" s="19"/>
      <c r="BF121" s="19"/>
      <c r="BG121" s="19"/>
      <c r="BH121" s="19"/>
      <c r="BI121" s="19"/>
      <c r="BJ121" s="19"/>
      <c r="BK121" s="19"/>
      <c r="BL121" s="19"/>
      <c r="BM121" s="19"/>
      <c r="BN121" s="19"/>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109" ht="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18"/>
      <c r="AN122" s="18"/>
      <c r="AO122" s="18"/>
      <c r="AP122" s="19"/>
      <c r="AQ122" s="19"/>
      <c r="AR122" s="19"/>
      <c r="AS122" s="19"/>
      <c r="AT122" s="19"/>
      <c r="AU122" s="20"/>
      <c r="AV122" s="20"/>
      <c r="AW122" s="20"/>
      <c r="AX122" s="20"/>
      <c r="AY122" s="20"/>
      <c r="AZ122" s="20"/>
      <c r="BA122" s="20"/>
      <c r="BB122" s="20"/>
      <c r="BC122" s="20"/>
      <c r="BD122" s="20"/>
      <c r="BE122" s="20"/>
      <c r="BF122" s="20"/>
      <c r="BG122" s="20"/>
      <c r="BH122" s="20"/>
      <c r="BI122" s="20"/>
      <c r="BJ122" s="20"/>
      <c r="BK122" s="20"/>
      <c r="BL122" s="20"/>
      <c r="BM122" s="20"/>
      <c r="BN122" s="20"/>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109" ht="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18"/>
      <c r="AN123" s="18"/>
      <c r="AO123" s="18"/>
      <c r="AP123" s="18"/>
      <c r="AQ123" s="18"/>
      <c r="AR123" s="18"/>
      <c r="AS123" s="18"/>
      <c r="AT123" s="18"/>
      <c r="AU123" s="20"/>
      <c r="AV123" s="20"/>
      <c r="AW123" s="20"/>
      <c r="AX123" s="20"/>
      <c r="AY123" s="20"/>
      <c r="AZ123" s="20"/>
      <c r="BA123" s="20"/>
      <c r="BB123" s="20"/>
      <c r="BC123" s="20"/>
      <c r="BD123" s="20"/>
      <c r="BE123" s="20"/>
      <c r="BF123" s="20"/>
      <c r="BG123" s="20"/>
      <c r="BH123" s="20"/>
      <c r="BI123" s="20"/>
      <c r="BJ123" s="20"/>
      <c r="BK123" s="20"/>
      <c r="BL123" s="20"/>
      <c r="BM123" s="20"/>
      <c r="BN123" s="20"/>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109" ht="1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20"/>
      <c r="AV124" s="20"/>
      <c r="AW124" s="20"/>
      <c r="AX124" s="20"/>
      <c r="AY124" s="20"/>
      <c r="AZ124" s="20"/>
      <c r="BA124" s="20"/>
      <c r="BB124" s="20"/>
      <c r="BC124" s="20"/>
      <c r="BD124" s="20"/>
      <c r="BE124" s="20"/>
      <c r="BF124" s="20"/>
      <c r="BG124" s="20"/>
      <c r="BH124" s="20"/>
      <c r="BI124" s="20"/>
      <c r="BJ124" s="20"/>
      <c r="BK124" s="20"/>
      <c r="BL124" s="20"/>
      <c r="BM124" s="20"/>
      <c r="BN124" s="20"/>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109" ht="1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109" ht="1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109" ht="1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109" ht="1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66" ht="1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BM129" s="12"/>
      <c r="BN129" s="12"/>
    </row>
    <row r="130" spans="1:66" ht="1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row>
    <row r="131" spans="1:66" ht="1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row>
  </sheetData>
  <sheetProtection formatCells="0"/>
  <mergeCells count="508">
    <mergeCell ref="A1:CU6"/>
    <mergeCell ref="CV1:DE6"/>
    <mergeCell ref="A7:CO8"/>
    <mergeCell ref="CP7:DE8"/>
    <mergeCell ref="A9:R9"/>
    <mergeCell ref="S9:AD9"/>
    <mergeCell ref="AE9:AR9"/>
    <mergeCell ref="AS9:BF9"/>
    <mergeCell ref="BG9:CM11"/>
    <mergeCell ref="CN9:CP9"/>
    <mergeCell ref="A11:R11"/>
    <mergeCell ref="S11:AD11"/>
    <mergeCell ref="AE11:AR11"/>
    <mergeCell ref="AS11:BF11"/>
    <mergeCell ref="CN11:CP11"/>
    <mergeCell ref="CQ11:DE11"/>
    <mergeCell ref="CQ9:DE9"/>
    <mergeCell ref="A10:R10"/>
    <mergeCell ref="S10:AD10"/>
    <mergeCell ref="AE10:AR10"/>
    <mergeCell ref="AS10:BF10"/>
    <mergeCell ref="CN10:CP10"/>
    <mergeCell ref="CQ10:DE10"/>
    <mergeCell ref="B19:H20"/>
    <mergeCell ref="I19:O20"/>
    <mergeCell ref="P19:V20"/>
    <mergeCell ref="W19:AC20"/>
    <mergeCell ref="AD19:AJ20"/>
    <mergeCell ref="B17:H18"/>
    <mergeCell ref="I17:O18"/>
    <mergeCell ref="P17:V18"/>
    <mergeCell ref="W17:AC18"/>
    <mergeCell ref="AD17:AJ18"/>
    <mergeCell ref="AK19:AQ20"/>
    <mergeCell ref="AR19:AX20"/>
    <mergeCell ref="AY19:BE20"/>
    <mergeCell ref="BF19:BL20"/>
    <mergeCell ref="BM19:CL20"/>
    <mergeCell ref="CM19:DD20"/>
    <mergeCell ref="AR17:AX18"/>
    <mergeCell ref="AY17:BE18"/>
    <mergeCell ref="BF17:BL18"/>
    <mergeCell ref="BM17:CL18"/>
    <mergeCell ref="CM17:DD18"/>
    <mergeCell ref="AK17:AQ18"/>
    <mergeCell ref="B23:H24"/>
    <mergeCell ref="I23:O24"/>
    <mergeCell ref="P23:V24"/>
    <mergeCell ref="W23:AC24"/>
    <mergeCell ref="AD23:AJ24"/>
    <mergeCell ref="B21:H22"/>
    <mergeCell ref="I21:O22"/>
    <mergeCell ref="P21:V22"/>
    <mergeCell ref="W21:AC22"/>
    <mergeCell ref="AD21:AJ22"/>
    <mergeCell ref="AK23:AQ24"/>
    <mergeCell ref="AR23:AX24"/>
    <mergeCell ref="AY23:BE24"/>
    <mergeCell ref="BF23:BL24"/>
    <mergeCell ref="BM23:CL24"/>
    <mergeCell ref="CM23:DD24"/>
    <mergeCell ref="AR21:AX22"/>
    <mergeCell ref="AY21:BE22"/>
    <mergeCell ref="BF21:BL22"/>
    <mergeCell ref="BM21:CL22"/>
    <mergeCell ref="CM21:DD22"/>
    <mergeCell ref="AK21:AQ22"/>
    <mergeCell ref="B27:H28"/>
    <mergeCell ref="I27:O28"/>
    <mergeCell ref="P27:V28"/>
    <mergeCell ref="W27:AC28"/>
    <mergeCell ref="AD27:AJ28"/>
    <mergeCell ref="B25:H26"/>
    <mergeCell ref="I25:O26"/>
    <mergeCell ref="P25:V26"/>
    <mergeCell ref="W25:AC26"/>
    <mergeCell ref="AD25:AJ26"/>
    <mergeCell ref="AK27:AQ28"/>
    <mergeCell ref="AR27:AX28"/>
    <mergeCell ref="AY27:BE28"/>
    <mergeCell ref="BF27:BL28"/>
    <mergeCell ref="BM27:CL28"/>
    <mergeCell ref="CM27:DD28"/>
    <mergeCell ref="AR25:AX26"/>
    <mergeCell ref="AY25:BE26"/>
    <mergeCell ref="BF25:BL26"/>
    <mergeCell ref="BM25:CL26"/>
    <mergeCell ref="CM25:DD26"/>
    <mergeCell ref="AK25:AQ26"/>
    <mergeCell ref="B31:H32"/>
    <mergeCell ref="I31:O32"/>
    <mergeCell ref="P31:V32"/>
    <mergeCell ref="W31:AC32"/>
    <mergeCell ref="AD31:AJ32"/>
    <mergeCell ref="B29:H30"/>
    <mergeCell ref="I29:O30"/>
    <mergeCell ref="P29:V30"/>
    <mergeCell ref="W29:AC30"/>
    <mergeCell ref="AD29:AJ30"/>
    <mergeCell ref="AK31:AQ32"/>
    <mergeCell ref="AR31:AX32"/>
    <mergeCell ref="AY31:BE32"/>
    <mergeCell ref="BF31:BL32"/>
    <mergeCell ref="BM31:CL32"/>
    <mergeCell ref="CM31:DD32"/>
    <mergeCell ref="AR29:AX30"/>
    <mergeCell ref="AY29:BE30"/>
    <mergeCell ref="BF29:BL30"/>
    <mergeCell ref="BM29:CL30"/>
    <mergeCell ref="CM29:DD30"/>
    <mergeCell ref="AK29:AQ30"/>
    <mergeCell ref="B35:H36"/>
    <mergeCell ref="I35:O36"/>
    <mergeCell ref="P35:V36"/>
    <mergeCell ref="W35:AC36"/>
    <mergeCell ref="AD35:AJ36"/>
    <mergeCell ref="B33:H34"/>
    <mergeCell ref="I33:O34"/>
    <mergeCell ref="P33:V34"/>
    <mergeCell ref="W33:AC34"/>
    <mergeCell ref="AD33:AJ34"/>
    <mergeCell ref="AK35:AQ36"/>
    <mergeCell ref="AR35:AX36"/>
    <mergeCell ref="AY35:BE36"/>
    <mergeCell ref="BF35:BL36"/>
    <mergeCell ref="BM35:CL36"/>
    <mergeCell ref="CM35:DD36"/>
    <mergeCell ref="AR33:AX34"/>
    <mergeCell ref="AY33:BE34"/>
    <mergeCell ref="BF33:BL34"/>
    <mergeCell ref="BM33:CL34"/>
    <mergeCell ref="CM33:DD34"/>
    <mergeCell ref="AK33:AQ34"/>
    <mergeCell ref="B39:H40"/>
    <mergeCell ref="I39:O40"/>
    <mergeCell ref="P39:V40"/>
    <mergeCell ref="W39:AC40"/>
    <mergeCell ref="AD39:AJ40"/>
    <mergeCell ref="B37:H38"/>
    <mergeCell ref="I37:O38"/>
    <mergeCell ref="P37:V38"/>
    <mergeCell ref="W37:AC38"/>
    <mergeCell ref="AD37:AJ38"/>
    <mergeCell ref="AK39:AQ40"/>
    <mergeCell ref="AR39:AX40"/>
    <mergeCell ref="AY39:BE40"/>
    <mergeCell ref="BF39:BL40"/>
    <mergeCell ref="BM39:CL40"/>
    <mergeCell ref="CM39:DD40"/>
    <mergeCell ref="AR37:AX38"/>
    <mergeCell ref="AY37:BE38"/>
    <mergeCell ref="BF37:BL38"/>
    <mergeCell ref="BM37:CL38"/>
    <mergeCell ref="CM37:DD38"/>
    <mergeCell ref="AK37:AQ38"/>
    <mergeCell ref="B43:H44"/>
    <mergeCell ref="I43:O44"/>
    <mergeCell ref="P43:V44"/>
    <mergeCell ref="W43:AC44"/>
    <mergeCell ref="AD43:AJ44"/>
    <mergeCell ref="B41:H42"/>
    <mergeCell ref="I41:O42"/>
    <mergeCell ref="P41:V42"/>
    <mergeCell ref="W41:AC42"/>
    <mergeCell ref="AD41:AJ42"/>
    <mergeCell ref="AK43:AQ44"/>
    <mergeCell ref="AR43:AX44"/>
    <mergeCell ref="AY43:BE44"/>
    <mergeCell ref="BF43:BL44"/>
    <mergeCell ref="BM43:CL44"/>
    <mergeCell ref="CM43:DD44"/>
    <mergeCell ref="AR41:AX42"/>
    <mergeCell ref="AY41:BE42"/>
    <mergeCell ref="BF41:BL42"/>
    <mergeCell ref="BM41:CL42"/>
    <mergeCell ref="CM41:DD42"/>
    <mergeCell ref="AK41:AQ42"/>
    <mergeCell ref="B47:H48"/>
    <mergeCell ref="I47:O48"/>
    <mergeCell ref="P47:V48"/>
    <mergeCell ref="W47:AC48"/>
    <mergeCell ref="AD47:AJ48"/>
    <mergeCell ref="B45:H46"/>
    <mergeCell ref="I45:O46"/>
    <mergeCell ref="P45:V46"/>
    <mergeCell ref="W45:AC46"/>
    <mergeCell ref="AD45:AJ46"/>
    <mergeCell ref="AK47:AQ48"/>
    <mergeCell ref="AR47:AX48"/>
    <mergeCell ref="AY47:BE48"/>
    <mergeCell ref="BF47:BL48"/>
    <mergeCell ref="BM47:CL48"/>
    <mergeCell ref="CM47:DD48"/>
    <mergeCell ref="AR45:AX46"/>
    <mergeCell ref="AY45:BE46"/>
    <mergeCell ref="BF45:BL46"/>
    <mergeCell ref="BM45:CL46"/>
    <mergeCell ref="CM45:DD46"/>
    <mergeCell ref="AK45:AQ46"/>
    <mergeCell ref="B51:H52"/>
    <mergeCell ref="I51:O52"/>
    <mergeCell ref="P51:V52"/>
    <mergeCell ref="W51:AC52"/>
    <mergeCell ref="AD51:AJ52"/>
    <mergeCell ref="B49:H50"/>
    <mergeCell ref="I49:O50"/>
    <mergeCell ref="P49:V50"/>
    <mergeCell ref="W49:AC50"/>
    <mergeCell ref="AD49:AJ50"/>
    <mergeCell ref="AK51:AQ52"/>
    <mergeCell ref="AR51:AX52"/>
    <mergeCell ref="AY51:BE52"/>
    <mergeCell ref="BF51:BL52"/>
    <mergeCell ref="BM51:CL52"/>
    <mergeCell ref="CM51:DD52"/>
    <mergeCell ref="AR49:AX50"/>
    <mergeCell ref="AY49:BE50"/>
    <mergeCell ref="BF49:BL50"/>
    <mergeCell ref="BM49:CL50"/>
    <mergeCell ref="CM49:DD50"/>
    <mergeCell ref="AK49:AQ50"/>
    <mergeCell ref="CQ64:DE64"/>
    <mergeCell ref="A64:R64"/>
    <mergeCell ref="S64:AD64"/>
    <mergeCell ref="AE64:AR64"/>
    <mergeCell ref="AS64:BF64"/>
    <mergeCell ref="CN64:CP64"/>
    <mergeCell ref="AR53:AX54"/>
    <mergeCell ref="AY53:BE54"/>
    <mergeCell ref="BF53:BL54"/>
    <mergeCell ref="BM53:CL54"/>
    <mergeCell ref="CM53:DD54"/>
    <mergeCell ref="B53:H54"/>
    <mergeCell ref="I53:O54"/>
    <mergeCell ref="P53:V54"/>
    <mergeCell ref="W53:AC54"/>
    <mergeCell ref="AD53:AJ54"/>
    <mergeCell ref="AK53:AQ54"/>
    <mergeCell ref="B74:H75"/>
    <mergeCell ref="I74:O75"/>
    <mergeCell ref="P74:V75"/>
    <mergeCell ref="W74:AC75"/>
    <mergeCell ref="AD74:AJ75"/>
    <mergeCell ref="B72:H73"/>
    <mergeCell ref="I72:O73"/>
    <mergeCell ref="P72:V73"/>
    <mergeCell ref="W72:AC73"/>
    <mergeCell ref="AD72:AJ73"/>
    <mergeCell ref="AK74:AQ75"/>
    <mergeCell ref="AR74:AX75"/>
    <mergeCell ref="AY74:BE75"/>
    <mergeCell ref="BF74:BL75"/>
    <mergeCell ref="BM74:CL75"/>
    <mergeCell ref="CM74:DD75"/>
    <mergeCell ref="AR72:AX73"/>
    <mergeCell ref="AY72:BE73"/>
    <mergeCell ref="BF72:BL73"/>
    <mergeCell ref="BM72:CL73"/>
    <mergeCell ref="CM72:DD73"/>
    <mergeCell ref="AK72:AQ73"/>
    <mergeCell ref="B78:H79"/>
    <mergeCell ref="I78:O79"/>
    <mergeCell ref="P78:V79"/>
    <mergeCell ref="W78:AC79"/>
    <mergeCell ref="AD78:AJ79"/>
    <mergeCell ref="B76:H77"/>
    <mergeCell ref="I76:O77"/>
    <mergeCell ref="P76:V77"/>
    <mergeCell ref="W76:AC77"/>
    <mergeCell ref="AD76:AJ77"/>
    <mergeCell ref="AK78:AQ79"/>
    <mergeCell ref="AR78:AX79"/>
    <mergeCell ref="AY78:BE79"/>
    <mergeCell ref="BF78:BL79"/>
    <mergeCell ref="BM78:CL79"/>
    <mergeCell ref="CM78:DD79"/>
    <mergeCell ref="AR76:AX77"/>
    <mergeCell ref="AY76:BE77"/>
    <mergeCell ref="BF76:BL77"/>
    <mergeCell ref="BM76:CL77"/>
    <mergeCell ref="CM76:DD77"/>
    <mergeCell ref="AK76:AQ77"/>
    <mergeCell ref="B82:H83"/>
    <mergeCell ref="I82:O83"/>
    <mergeCell ref="P82:V83"/>
    <mergeCell ref="W82:AC83"/>
    <mergeCell ref="AD82:AJ83"/>
    <mergeCell ref="B80:H81"/>
    <mergeCell ref="I80:O81"/>
    <mergeCell ref="P80:V81"/>
    <mergeCell ref="W80:AC81"/>
    <mergeCell ref="AD80:AJ81"/>
    <mergeCell ref="AK82:AQ83"/>
    <mergeCell ref="AR82:AX83"/>
    <mergeCell ref="AY82:BE83"/>
    <mergeCell ref="BF82:BL83"/>
    <mergeCell ref="BM82:CL83"/>
    <mergeCell ref="CM82:DD83"/>
    <mergeCell ref="AR80:AX81"/>
    <mergeCell ref="AY80:BE81"/>
    <mergeCell ref="BF80:BL81"/>
    <mergeCell ref="BM80:CL81"/>
    <mergeCell ref="CM80:DD81"/>
    <mergeCell ref="AK80:AQ81"/>
    <mergeCell ref="B86:H87"/>
    <mergeCell ref="I86:O87"/>
    <mergeCell ref="P86:V87"/>
    <mergeCell ref="W86:AC87"/>
    <mergeCell ref="AD86:AJ87"/>
    <mergeCell ref="B84:H85"/>
    <mergeCell ref="I84:O85"/>
    <mergeCell ref="P84:V85"/>
    <mergeCell ref="W84:AC85"/>
    <mergeCell ref="AD84:AJ85"/>
    <mergeCell ref="AK86:AQ87"/>
    <mergeCell ref="AR86:AX87"/>
    <mergeCell ref="AY86:BE87"/>
    <mergeCell ref="BF86:BL87"/>
    <mergeCell ref="BM86:CL87"/>
    <mergeCell ref="CM86:DD87"/>
    <mergeCell ref="AR84:AX85"/>
    <mergeCell ref="AY84:BE85"/>
    <mergeCell ref="BF84:BL85"/>
    <mergeCell ref="BM84:CL85"/>
    <mergeCell ref="CM84:DD85"/>
    <mergeCell ref="AK84:AQ85"/>
    <mergeCell ref="B90:H91"/>
    <mergeCell ref="I90:O91"/>
    <mergeCell ref="P90:V91"/>
    <mergeCell ref="W90:AC91"/>
    <mergeCell ref="AD90:AJ91"/>
    <mergeCell ref="B88:H89"/>
    <mergeCell ref="I88:O89"/>
    <mergeCell ref="P88:V89"/>
    <mergeCell ref="W88:AC89"/>
    <mergeCell ref="AD88:AJ89"/>
    <mergeCell ref="AK90:AQ91"/>
    <mergeCell ref="AR90:AX91"/>
    <mergeCell ref="AY90:BE91"/>
    <mergeCell ref="BF90:BL91"/>
    <mergeCell ref="BM90:CL91"/>
    <mergeCell ref="CM90:DD91"/>
    <mergeCell ref="AR88:AX89"/>
    <mergeCell ref="AY88:BE89"/>
    <mergeCell ref="BF88:BL89"/>
    <mergeCell ref="BM88:CL89"/>
    <mergeCell ref="CM88:DD89"/>
    <mergeCell ref="AK88:AQ89"/>
    <mergeCell ref="B94:H95"/>
    <mergeCell ref="I94:O95"/>
    <mergeCell ref="P94:V95"/>
    <mergeCell ref="W94:AC95"/>
    <mergeCell ref="AD94:AJ95"/>
    <mergeCell ref="B92:H93"/>
    <mergeCell ref="I92:O93"/>
    <mergeCell ref="P92:V93"/>
    <mergeCell ref="W92:AC93"/>
    <mergeCell ref="AD92:AJ93"/>
    <mergeCell ref="AK94:AQ95"/>
    <mergeCell ref="AR94:AX95"/>
    <mergeCell ref="AY94:BE95"/>
    <mergeCell ref="BF94:BL95"/>
    <mergeCell ref="BM94:CL95"/>
    <mergeCell ref="CM94:DD95"/>
    <mergeCell ref="AR92:AX93"/>
    <mergeCell ref="AY92:BE93"/>
    <mergeCell ref="BF92:BL93"/>
    <mergeCell ref="BM92:CL93"/>
    <mergeCell ref="CM92:DD93"/>
    <mergeCell ref="AK92:AQ93"/>
    <mergeCell ref="AK96:AQ97"/>
    <mergeCell ref="B98:H99"/>
    <mergeCell ref="I98:O99"/>
    <mergeCell ref="P98:V99"/>
    <mergeCell ref="W98:AC99"/>
    <mergeCell ref="AD98:AJ99"/>
    <mergeCell ref="B96:H97"/>
    <mergeCell ref="I96:O97"/>
    <mergeCell ref="P96:V97"/>
    <mergeCell ref="W96:AC97"/>
    <mergeCell ref="AD96:AJ97"/>
    <mergeCell ref="B102:H103"/>
    <mergeCell ref="I102:O103"/>
    <mergeCell ref="P102:V103"/>
    <mergeCell ref="W102:AC103"/>
    <mergeCell ref="AD102:AJ103"/>
    <mergeCell ref="B100:H101"/>
    <mergeCell ref="I100:O101"/>
    <mergeCell ref="P100:V101"/>
    <mergeCell ref="W100:AC101"/>
    <mergeCell ref="AD100:AJ101"/>
    <mergeCell ref="AU13:BC13"/>
    <mergeCell ref="BD13:BL13"/>
    <mergeCell ref="A15:DE15"/>
    <mergeCell ref="AU14:BC14"/>
    <mergeCell ref="A12:DE12"/>
    <mergeCell ref="A13:J13"/>
    <mergeCell ref="AK106:AQ107"/>
    <mergeCell ref="AR106:AX107"/>
    <mergeCell ref="AY106:BE107"/>
    <mergeCell ref="BF106:BL107"/>
    <mergeCell ref="BM106:CL107"/>
    <mergeCell ref="CM106:DD107"/>
    <mergeCell ref="AR104:AX105"/>
    <mergeCell ref="AY104:BE105"/>
    <mergeCell ref="BF104:BL105"/>
    <mergeCell ref="BM104:CL105"/>
    <mergeCell ref="CM104:DD105"/>
    <mergeCell ref="B106:H107"/>
    <mergeCell ref="I106:O107"/>
    <mergeCell ref="P106:V107"/>
    <mergeCell ref="W106:AC107"/>
    <mergeCell ref="AD106:AJ107"/>
    <mergeCell ref="B104:H105"/>
    <mergeCell ref="I104:O105"/>
    <mergeCell ref="A14:J14"/>
    <mergeCell ref="K14:S14"/>
    <mergeCell ref="T14:AB14"/>
    <mergeCell ref="AC14:AK14"/>
    <mergeCell ref="AL14:AT14"/>
    <mergeCell ref="K13:S13"/>
    <mergeCell ref="T13:AB13"/>
    <mergeCell ref="AC13:AK13"/>
    <mergeCell ref="AL13:AT13"/>
    <mergeCell ref="CN65:CP65"/>
    <mergeCell ref="CQ65:DE65"/>
    <mergeCell ref="A66:R66"/>
    <mergeCell ref="S66:AD66"/>
    <mergeCell ref="AE66:AR66"/>
    <mergeCell ref="AS66:BF66"/>
    <mergeCell ref="CN66:CP66"/>
    <mergeCell ref="CQ66:DE66"/>
    <mergeCell ref="BM13:CM13"/>
    <mergeCell ref="A56:CU61"/>
    <mergeCell ref="CV56:DE61"/>
    <mergeCell ref="A62:CO63"/>
    <mergeCell ref="CP62:DE63"/>
    <mergeCell ref="BG64:CM66"/>
    <mergeCell ref="A65:R65"/>
    <mergeCell ref="S65:AD65"/>
    <mergeCell ref="AE65:AR65"/>
    <mergeCell ref="AS65:BF65"/>
    <mergeCell ref="BD14:BL14"/>
    <mergeCell ref="CN14:CV14"/>
    <mergeCell ref="CW14:DE14"/>
    <mergeCell ref="BM14:CM14"/>
    <mergeCell ref="CN13:CV13"/>
    <mergeCell ref="CW13:DE13"/>
    <mergeCell ref="CN69:CV69"/>
    <mergeCell ref="A67:DE67"/>
    <mergeCell ref="A68:J68"/>
    <mergeCell ref="K68:S68"/>
    <mergeCell ref="T68:AB68"/>
    <mergeCell ref="AC68:AK68"/>
    <mergeCell ref="AL68:AT68"/>
    <mergeCell ref="AU68:BC68"/>
    <mergeCell ref="BD68:BL68"/>
    <mergeCell ref="BM68:CM68"/>
    <mergeCell ref="CN68:CV68"/>
    <mergeCell ref="CW68:DE68"/>
    <mergeCell ref="AY100:BE101"/>
    <mergeCell ref="BF100:BL101"/>
    <mergeCell ref="BM100:CL101"/>
    <mergeCell ref="A69:J69"/>
    <mergeCell ref="K69:S69"/>
    <mergeCell ref="T69:AB69"/>
    <mergeCell ref="AC69:AK69"/>
    <mergeCell ref="AL69:AT69"/>
    <mergeCell ref="AU69:BC69"/>
    <mergeCell ref="BD69:BL69"/>
    <mergeCell ref="BM69:CM69"/>
    <mergeCell ref="CM100:DD101"/>
    <mergeCell ref="AK100:AQ101"/>
    <mergeCell ref="AK98:AQ99"/>
    <mergeCell ref="AR98:AX99"/>
    <mergeCell ref="AY98:BE99"/>
    <mergeCell ref="BF98:BL99"/>
    <mergeCell ref="BM98:CL99"/>
    <mergeCell ref="CM98:DD99"/>
    <mergeCell ref="AR96:AX97"/>
    <mergeCell ref="AY96:BE97"/>
    <mergeCell ref="BF96:BL97"/>
    <mergeCell ref="BM96:CL97"/>
    <mergeCell ref="CM96:DD97"/>
    <mergeCell ref="BF108:BL109"/>
    <mergeCell ref="BM108:CL109"/>
    <mergeCell ref="CM108:DD109"/>
    <mergeCell ref="CW69:DE69"/>
    <mergeCell ref="A70:DE70"/>
    <mergeCell ref="B108:H109"/>
    <mergeCell ref="I108:O109"/>
    <mergeCell ref="P108:V109"/>
    <mergeCell ref="W108:AC109"/>
    <mergeCell ref="AD108:AJ109"/>
    <mergeCell ref="AK108:AQ109"/>
    <mergeCell ref="AR108:AX109"/>
    <mergeCell ref="AY108:BE109"/>
    <mergeCell ref="P104:V105"/>
    <mergeCell ref="W104:AC105"/>
    <mergeCell ref="AD104:AJ105"/>
    <mergeCell ref="AK104:AQ105"/>
    <mergeCell ref="AK102:AQ103"/>
    <mergeCell ref="AR102:AX103"/>
    <mergeCell ref="AY102:BE103"/>
    <mergeCell ref="BF102:BL103"/>
    <mergeCell ref="BM102:CL103"/>
    <mergeCell ref="CM102:DD103"/>
    <mergeCell ref="AR100:AX101"/>
  </mergeCells>
  <phoneticPr fontId="29" type="noConversion"/>
  <hyperlinks>
    <hyperlink ref="CV1" r:id="rId1" display="www.aes-ab.com" xr:uid="{2B289245-4CBD-493D-9467-47CFF39D9207}"/>
    <hyperlink ref="CV1:DE6" r:id="rId2" display="http://www.resapower.com/" xr:uid="{7492D7C8-7C28-4278-8CF4-38985B60CC94}"/>
    <hyperlink ref="CV56" r:id="rId3" display="www.aes-ab.com" xr:uid="{4F75AD78-49B5-4616-991F-5B5990CBF990}"/>
    <hyperlink ref="CV56:DE61" r:id="rId4" display="http://www.resapower.com/" xr:uid="{FFF6915C-6533-437A-AA18-3D1E99BE51FC}"/>
  </hyperlinks>
  <printOptions horizontalCentered="1" verticalCentered="1"/>
  <pageMargins left="0.19685039370078741" right="0.19685039370078741" top="0.59055118110236227" bottom="0.59055118110236227" header="0.59055118110236227" footer="0.19685039370078741"/>
  <pageSetup scale="63" fitToHeight="0" orientation="landscape" r:id="rId5"/>
  <headerFooter alignWithMargins="0">
    <oddHeader xml:space="preserve">&amp;R
</oddHeader>
    <oddFooter>&amp;L&amp;F&amp;RPage &amp;P</oddFooter>
  </headerFooter>
  <rowBreaks count="1" manualBreakCount="1">
    <brk id="55" max="108" man="1"/>
  </rowBreaks>
  <drawing r:id="rId6"/>
  <legacyDrawing r:id="rId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CBCA-E9D7-4CEC-9125-4F2784CDBFAE}">
  <sheetPr codeName="Sheet8">
    <pageSetUpPr fitToPage="1"/>
  </sheetPr>
  <dimension ref="A1:EI135"/>
  <sheetViews>
    <sheetView view="pageBreakPreview" topLeftCell="A61" zoomScale="97" zoomScaleNormal="54" zoomScaleSheetLayoutView="55" workbookViewId="0">
      <selection activeCell="BF102" sqref="BF102:BL103"/>
    </sheetView>
  </sheetViews>
  <sheetFormatPr defaultColWidth="2.42578125" defaultRowHeight="15" customHeight="1"/>
  <cols>
    <col min="1" max="18" width="2.42578125" style="1"/>
    <col min="19" max="19" width="2.42578125" style="1" customWidth="1"/>
    <col min="20" max="66" width="2.42578125" style="1"/>
    <col min="67" max="86" width="0" style="1" hidden="1" customWidth="1"/>
    <col min="87" max="16384" width="2.42578125" style="1"/>
  </cols>
  <sheetData>
    <row r="1" spans="1:139" ht="15" customHeight="1">
      <c r="A1" s="388"/>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389"/>
      <c r="CO1" s="389"/>
      <c r="CP1" s="389"/>
      <c r="CQ1" s="389"/>
      <c r="CR1" s="389"/>
      <c r="CS1" s="389"/>
      <c r="CT1" s="389"/>
      <c r="CU1" s="389"/>
      <c r="CV1" s="361" t="s">
        <v>1</v>
      </c>
      <c r="CW1" s="361"/>
      <c r="CX1" s="361"/>
      <c r="CY1" s="361"/>
      <c r="CZ1" s="361"/>
      <c r="DA1" s="361"/>
      <c r="DB1" s="361"/>
      <c r="DC1" s="361"/>
      <c r="DD1" s="361"/>
      <c r="DE1" s="362"/>
    </row>
    <row r="2" spans="1:139" ht="15" customHeight="1">
      <c r="A2" s="390"/>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c r="BN2" s="391"/>
      <c r="BO2" s="391"/>
      <c r="BP2" s="391"/>
      <c r="BQ2" s="391"/>
      <c r="BR2" s="391"/>
      <c r="BS2" s="391"/>
      <c r="BT2" s="391"/>
      <c r="BU2" s="391"/>
      <c r="BV2" s="391"/>
      <c r="BW2" s="391"/>
      <c r="BX2" s="391"/>
      <c r="BY2" s="391"/>
      <c r="BZ2" s="391"/>
      <c r="CA2" s="391"/>
      <c r="CB2" s="391"/>
      <c r="CC2" s="391"/>
      <c r="CD2" s="391"/>
      <c r="CE2" s="391"/>
      <c r="CF2" s="391"/>
      <c r="CG2" s="391"/>
      <c r="CH2" s="391"/>
      <c r="CI2" s="391"/>
      <c r="CJ2" s="391"/>
      <c r="CK2" s="391"/>
      <c r="CL2" s="391"/>
      <c r="CM2" s="391"/>
      <c r="CN2" s="391"/>
      <c r="CO2" s="391"/>
      <c r="CP2" s="391"/>
      <c r="CQ2" s="391"/>
      <c r="CR2" s="391"/>
      <c r="CS2" s="391"/>
      <c r="CT2" s="391"/>
      <c r="CU2" s="391"/>
      <c r="CV2" s="363"/>
      <c r="CW2" s="363"/>
      <c r="CX2" s="363"/>
      <c r="CY2" s="363"/>
      <c r="CZ2" s="363"/>
      <c r="DA2" s="363"/>
      <c r="DB2" s="363"/>
      <c r="DC2" s="363"/>
      <c r="DD2" s="363"/>
      <c r="DE2" s="364"/>
    </row>
    <row r="3" spans="1:139" ht="15" customHeight="1">
      <c r="A3" s="390"/>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1"/>
      <c r="BP3" s="391"/>
      <c r="BQ3" s="391"/>
      <c r="BR3" s="391"/>
      <c r="BS3" s="391"/>
      <c r="BT3" s="391"/>
      <c r="BU3" s="391"/>
      <c r="BV3" s="391"/>
      <c r="BW3" s="391"/>
      <c r="BX3" s="391"/>
      <c r="BY3" s="391"/>
      <c r="BZ3" s="391"/>
      <c r="CA3" s="391"/>
      <c r="CB3" s="391"/>
      <c r="CC3" s="391"/>
      <c r="CD3" s="391"/>
      <c r="CE3" s="391"/>
      <c r="CF3" s="391"/>
      <c r="CG3" s="391"/>
      <c r="CH3" s="391"/>
      <c r="CI3" s="391"/>
      <c r="CJ3" s="391"/>
      <c r="CK3" s="391"/>
      <c r="CL3" s="391"/>
      <c r="CM3" s="391"/>
      <c r="CN3" s="391"/>
      <c r="CO3" s="391"/>
      <c r="CP3" s="391"/>
      <c r="CQ3" s="391"/>
      <c r="CR3" s="391"/>
      <c r="CS3" s="391"/>
      <c r="CT3" s="391"/>
      <c r="CU3" s="391"/>
      <c r="CV3" s="363"/>
      <c r="CW3" s="363"/>
      <c r="CX3" s="363"/>
      <c r="CY3" s="363"/>
      <c r="CZ3" s="363"/>
      <c r="DA3" s="363"/>
      <c r="DB3" s="363"/>
      <c r="DC3" s="363"/>
      <c r="DD3" s="363"/>
      <c r="DE3" s="364"/>
    </row>
    <row r="4" spans="1:139" ht="15" customHeight="1">
      <c r="A4" s="390"/>
      <c r="B4" s="391"/>
      <c r="C4" s="391"/>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63"/>
      <c r="CW4" s="363"/>
      <c r="CX4" s="363"/>
      <c r="CY4" s="363"/>
      <c r="CZ4" s="363"/>
      <c r="DA4" s="363"/>
      <c r="DB4" s="363"/>
      <c r="DC4" s="363"/>
      <c r="DD4" s="363"/>
      <c r="DE4" s="364"/>
    </row>
    <row r="5" spans="1:139" ht="15" customHeight="1">
      <c r="A5" s="390"/>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c r="BY5" s="391"/>
      <c r="BZ5" s="391"/>
      <c r="CA5" s="391"/>
      <c r="CB5" s="391"/>
      <c r="CC5" s="391"/>
      <c r="CD5" s="391"/>
      <c r="CE5" s="391"/>
      <c r="CF5" s="391"/>
      <c r="CG5" s="391"/>
      <c r="CH5" s="391"/>
      <c r="CI5" s="391"/>
      <c r="CJ5" s="391"/>
      <c r="CK5" s="391"/>
      <c r="CL5" s="391"/>
      <c r="CM5" s="391"/>
      <c r="CN5" s="391"/>
      <c r="CO5" s="391"/>
      <c r="CP5" s="391"/>
      <c r="CQ5" s="391"/>
      <c r="CR5" s="391"/>
      <c r="CS5" s="391"/>
      <c r="CT5" s="391"/>
      <c r="CU5" s="391"/>
      <c r="CV5" s="363"/>
      <c r="CW5" s="363"/>
      <c r="CX5" s="363"/>
      <c r="CY5" s="363"/>
      <c r="CZ5" s="363"/>
      <c r="DA5" s="363"/>
      <c r="DB5" s="363"/>
      <c r="DC5" s="363"/>
      <c r="DD5" s="363"/>
      <c r="DE5" s="364"/>
    </row>
    <row r="6" spans="1:139" ht="15" customHeight="1" thickBot="1">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65"/>
      <c r="CW6" s="365"/>
      <c r="CX6" s="365"/>
      <c r="CY6" s="365"/>
      <c r="CZ6" s="365"/>
      <c r="DA6" s="365"/>
      <c r="DB6" s="365"/>
      <c r="DC6" s="365"/>
      <c r="DD6" s="365"/>
      <c r="DE6" s="366"/>
    </row>
    <row r="7" spans="1:139" ht="15" customHeight="1">
      <c r="A7" s="392" t="s">
        <v>83</v>
      </c>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c r="BL7" s="393"/>
      <c r="BM7" s="393"/>
      <c r="BN7" s="393"/>
      <c r="BO7" s="393"/>
      <c r="BP7" s="393"/>
      <c r="BQ7" s="393"/>
      <c r="BR7" s="393"/>
      <c r="BS7" s="393"/>
      <c r="BT7" s="393"/>
      <c r="BU7" s="393"/>
      <c r="BV7" s="393"/>
      <c r="BW7" s="393"/>
      <c r="BX7" s="393"/>
      <c r="BY7" s="393"/>
      <c r="BZ7" s="393"/>
      <c r="CA7" s="393"/>
      <c r="CB7" s="393"/>
      <c r="CC7" s="393"/>
      <c r="CD7" s="393"/>
      <c r="CE7" s="393"/>
      <c r="CF7" s="393"/>
      <c r="CG7" s="393"/>
      <c r="CH7" s="393"/>
      <c r="CI7" s="393"/>
      <c r="CJ7" s="393"/>
      <c r="CK7" s="393"/>
      <c r="CL7" s="393"/>
      <c r="CM7" s="393"/>
      <c r="CN7" s="393"/>
      <c r="CO7" s="393"/>
      <c r="CP7" s="367" t="s">
        <v>3</v>
      </c>
      <c r="CQ7" s="367"/>
      <c r="CR7" s="367"/>
      <c r="CS7" s="367"/>
      <c r="CT7" s="367"/>
      <c r="CU7" s="367"/>
      <c r="CV7" s="367"/>
      <c r="CW7" s="367"/>
      <c r="CX7" s="367"/>
      <c r="CY7" s="367"/>
      <c r="CZ7" s="367"/>
      <c r="DA7" s="367"/>
      <c r="DB7" s="367"/>
      <c r="DC7" s="367"/>
      <c r="DD7" s="367"/>
      <c r="DE7" s="368"/>
    </row>
    <row r="8" spans="1:139" ht="15" customHeight="1">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c r="BL8" s="393"/>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67"/>
      <c r="CQ8" s="367"/>
      <c r="CR8" s="367"/>
      <c r="CS8" s="367"/>
      <c r="CT8" s="367"/>
      <c r="CU8" s="367"/>
      <c r="CV8" s="367"/>
      <c r="CW8" s="367"/>
      <c r="CX8" s="367"/>
      <c r="CY8" s="367"/>
      <c r="CZ8" s="367"/>
      <c r="DA8" s="367"/>
      <c r="DB8" s="367"/>
      <c r="DC8" s="367"/>
      <c r="DD8" s="367"/>
      <c r="DE8" s="368"/>
    </row>
    <row r="9" spans="1:139" ht="15" customHeight="1">
      <c r="A9" s="375" t="s">
        <v>4</v>
      </c>
      <c r="B9" s="369"/>
      <c r="C9" s="369"/>
      <c r="D9" s="369"/>
      <c r="E9" s="369"/>
      <c r="F9" s="369"/>
      <c r="G9" s="369"/>
      <c r="H9" s="369"/>
      <c r="I9" s="369"/>
      <c r="J9" s="369"/>
      <c r="K9" s="369"/>
      <c r="L9" s="369"/>
      <c r="M9" s="369"/>
      <c r="N9" s="369"/>
      <c r="O9" s="369"/>
      <c r="P9" s="369"/>
      <c r="Q9" s="369"/>
      <c r="R9" s="369"/>
      <c r="S9" s="370">
        <v>559082</v>
      </c>
      <c r="T9" s="370"/>
      <c r="U9" s="370"/>
      <c r="V9" s="370"/>
      <c r="W9" s="370"/>
      <c r="X9" s="370"/>
      <c r="Y9" s="370"/>
      <c r="Z9" s="370"/>
      <c r="AA9" s="370"/>
      <c r="AB9" s="370"/>
      <c r="AC9" s="370"/>
      <c r="AD9" s="370"/>
      <c r="AE9" s="369" t="s">
        <v>5</v>
      </c>
      <c r="AF9" s="369"/>
      <c r="AG9" s="369"/>
      <c r="AH9" s="369"/>
      <c r="AI9" s="369"/>
      <c r="AJ9" s="369"/>
      <c r="AK9" s="369"/>
      <c r="AL9" s="369"/>
      <c r="AM9" s="369"/>
      <c r="AN9" s="369"/>
      <c r="AO9" s="369"/>
      <c r="AP9" s="369"/>
      <c r="AQ9" s="369"/>
      <c r="AR9" s="369"/>
      <c r="AS9" s="394">
        <v>45678</v>
      </c>
      <c r="AT9" s="394"/>
      <c r="AU9" s="394"/>
      <c r="AV9" s="394"/>
      <c r="AW9" s="394"/>
      <c r="AX9" s="394"/>
      <c r="AY9" s="394"/>
      <c r="AZ9" s="394"/>
      <c r="BA9" s="394"/>
      <c r="BB9" s="394"/>
      <c r="BC9" s="394"/>
      <c r="BD9" s="394"/>
      <c r="BE9" s="394"/>
      <c r="BF9" s="394"/>
      <c r="BG9" s="369" t="s">
        <v>6</v>
      </c>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71" t="s">
        <v>7</v>
      </c>
      <c r="CO9" s="371"/>
      <c r="CP9" s="371"/>
      <c r="CQ9" s="372" t="s">
        <v>8</v>
      </c>
      <c r="CR9" s="372"/>
      <c r="CS9" s="372"/>
      <c r="CT9" s="372"/>
      <c r="CU9" s="372"/>
      <c r="CV9" s="372"/>
      <c r="CW9" s="372"/>
      <c r="CX9" s="372"/>
      <c r="CY9" s="372"/>
      <c r="CZ9" s="372"/>
      <c r="DA9" s="372"/>
      <c r="DB9" s="372"/>
      <c r="DC9" s="372"/>
      <c r="DD9" s="372"/>
      <c r="DE9" s="373"/>
    </row>
    <row r="10" spans="1:139" ht="15" customHeight="1">
      <c r="A10" s="375" t="s">
        <v>9</v>
      </c>
      <c r="B10" s="369"/>
      <c r="C10" s="369"/>
      <c r="D10" s="369"/>
      <c r="E10" s="369"/>
      <c r="F10" s="369"/>
      <c r="G10" s="369"/>
      <c r="H10" s="369"/>
      <c r="I10" s="369"/>
      <c r="J10" s="369"/>
      <c r="K10" s="369"/>
      <c r="L10" s="369"/>
      <c r="M10" s="369"/>
      <c r="N10" s="369"/>
      <c r="O10" s="369"/>
      <c r="P10" s="369"/>
      <c r="Q10" s="369"/>
      <c r="R10" s="369"/>
      <c r="S10" s="370" t="s">
        <v>10</v>
      </c>
      <c r="T10" s="370"/>
      <c r="U10" s="370"/>
      <c r="V10" s="370"/>
      <c r="W10" s="370"/>
      <c r="X10" s="370"/>
      <c r="Y10" s="370"/>
      <c r="Z10" s="370"/>
      <c r="AA10" s="370"/>
      <c r="AB10" s="370"/>
      <c r="AC10" s="370"/>
      <c r="AD10" s="370"/>
      <c r="AE10" s="369" t="s">
        <v>11</v>
      </c>
      <c r="AF10" s="369"/>
      <c r="AG10" s="369"/>
      <c r="AH10" s="369"/>
      <c r="AI10" s="369"/>
      <c r="AJ10" s="369"/>
      <c r="AK10" s="369"/>
      <c r="AL10" s="369"/>
      <c r="AM10" s="369"/>
      <c r="AN10" s="369"/>
      <c r="AO10" s="369"/>
      <c r="AP10" s="369"/>
      <c r="AQ10" s="369"/>
      <c r="AR10" s="369"/>
      <c r="AS10" s="370" t="s">
        <v>12</v>
      </c>
      <c r="AT10" s="370"/>
      <c r="AU10" s="370"/>
      <c r="AV10" s="370"/>
      <c r="AW10" s="370"/>
      <c r="AX10" s="370"/>
      <c r="AY10" s="370"/>
      <c r="AZ10" s="370"/>
      <c r="BA10" s="370"/>
      <c r="BB10" s="370"/>
      <c r="BC10" s="370"/>
      <c r="BD10" s="370"/>
      <c r="BE10" s="370"/>
      <c r="BF10" s="370"/>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71"/>
      <c r="CO10" s="371"/>
      <c r="CP10" s="371"/>
      <c r="CQ10" s="372" t="s">
        <v>13</v>
      </c>
      <c r="CR10" s="372"/>
      <c r="CS10" s="372"/>
      <c r="CT10" s="372"/>
      <c r="CU10" s="372"/>
      <c r="CV10" s="372"/>
      <c r="CW10" s="372"/>
      <c r="CX10" s="372"/>
      <c r="CY10" s="372"/>
      <c r="CZ10" s="372"/>
      <c r="DA10" s="372"/>
      <c r="DB10" s="372"/>
      <c r="DC10" s="372"/>
      <c r="DD10" s="372"/>
      <c r="DE10" s="373"/>
    </row>
    <row r="11" spans="1:139" ht="15" customHeight="1">
      <c r="A11" s="375" t="s">
        <v>14</v>
      </c>
      <c r="B11" s="369"/>
      <c r="C11" s="369"/>
      <c r="D11" s="369"/>
      <c r="E11" s="369"/>
      <c r="F11" s="369"/>
      <c r="G11" s="369"/>
      <c r="H11" s="369"/>
      <c r="I11" s="369"/>
      <c r="J11" s="369"/>
      <c r="K11" s="369"/>
      <c r="L11" s="369"/>
      <c r="M11" s="369"/>
      <c r="N11" s="369"/>
      <c r="O11" s="369"/>
      <c r="P11" s="369"/>
      <c r="Q11" s="369"/>
      <c r="R11" s="369"/>
      <c r="S11" s="370" t="s">
        <v>15</v>
      </c>
      <c r="T11" s="370"/>
      <c r="U11" s="370"/>
      <c r="V11" s="370"/>
      <c r="W11" s="370"/>
      <c r="X11" s="370"/>
      <c r="Y11" s="370"/>
      <c r="Z11" s="370"/>
      <c r="AA11" s="370"/>
      <c r="AB11" s="370"/>
      <c r="AC11" s="370"/>
      <c r="AD11" s="370"/>
      <c r="AE11" s="369" t="s">
        <v>16</v>
      </c>
      <c r="AF11" s="369"/>
      <c r="AG11" s="369"/>
      <c r="AH11" s="369"/>
      <c r="AI11" s="369"/>
      <c r="AJ11" s="369"/>
      <c r="AK11" s="369"/>
      <c r="AL11" s="369"/>
      <c r="AM11" s="369"/>
      <c r="AN11" s="369"/>
      <c r="AO11" s="369"/>
      <c r="AP11" s="369"/>
      <c r="AQ11" s="369"/>
      <c r="AR11" s="369"/>
      <c r="AS11" s="370" t="s">
        <v>17</v>
      </c>
      <c r="AT11" s="370"/>
      <c r="AU11" s="370"/>
      <c r="AV11" s="370"/>
      <c r="AW11" s="370"/>
      <c r="AX11" s="370"/>
      <c r="AY11" s="370"/>
      <c r="AZ11" s="370"/>
      <c r="BA11" s="370"/>
      <c r="BB11" s="370"/>
      <c r="BC11" s="370"/>
      <c r="BD11" s="370"/>
      <c r="BE11" s="370"/>
      <c r="BF11" s="370"/>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71"/>
      <c r="CO11" s="371"/>
      <c r="CP11" s="371"/>
      <c r="CQ11" s="372" t="s">
        <v>18</v>
      </c>
      <c r="CR11" s="372"/>
      <c r="CS11" s="372"/>
      <c r="CT11" s="372"/>
      <c r="CU11" s="372"/>
      <c r="CV11" s="372"/>
      <c r="CW11" s="372"/>
      <c r="CX11" s="372"/>
      <c r="CY11" s="372"/>
      <c r="CZ11" s="372"/>
      <c r="DA11" s="372"/>
      <c r="DB11" s="372"/>
      <c r="DC11" s="372"/>
      <c r="DD11" s="372"/>
      <c r="DE11" s="373"/>
    </row>
    <row r="12" spans="1:139" ht="15" customHeight="1">
      <c r="A12" s="446" t="s">
        <v>84</v>
      </c>
      <c r="B12" s="447"/>
      <c r="C12" s="447"/>
      <c r="D12" s="447"/>
      <c r="E12" s="447"/>
      <c r="F12" s="447"/>
      <c r="G12" s="447"/>
      <c r="H12" s="447"/>
      <c r="I12" s="447"/>
      <c r="J12" s="447"/>
      <c r="K12" s="447"/>
      <c r="L12" s="447"/>
      <c r="M12" s="447"/>
      <c r="N12" s="447"/>
      <c r="O12" s="447"/>
      <c r="P12" s="447"/>
      <c r="Q12" s="447"/>
      <c r="R12" s="447"/>
      <c r="S12" s="447"/>
      <c r="T12" s="447"/>
      <c r="U12" s="447"/>
      <c r="V12" s="447"/>
      <c r="W12" s="447"/>
      <c r="X12" s="447"/>
      <c r="Y12" s="447"/>
      <c r="Z12" s="447"/>
      <c r="AA12" s="447"/>
      <c r="AB12" s="447"/>
      <c r="AC12" s="447"/>
      <c r="AD12" s="447"/>
      <c r="AE12" s="447"/>
      <c r="AF12" s="447"/>
      <c r="AG12" s="447"/>
      <c r="AH12" s="447"/>
      <c r="AI12" s="447"/>
      <c r="AJ12" s="447"/>
      <c r="AK12" s="447"/>
      <c r="AL12" s="447"/>
      <c r="AM12" s="447"/>
      <c r="AN12" s="447"/>
      <c r="AO12" s="447"/>
      <c r="AP12" s="447"/>
      <c r="AQ12" s="447"/>
      <c r="AR12" s="447"/>
      <c r="AS12" s="447"/>
      <c r="AT12" s="447"/>
      <c r="AU12" s="447"/>
      <c r="AV12" s="447"/>
      <c r="AW12" s="447"/>
      <c r="AX12" s="447"/>
      <c r="AY12" s="447"/>
      <c r="AZ12" s="447"/>
      <c r="BA12" s="447"/>
      <c r="BB12" s="447"/>
      <c r="BC12" s="447"/>
      <c r="BD12" s="447"/>
      <c r="BE12" s="447"/>
      <c r="BF12" s="447"/>
      <c r="BG12" s="447"/>
      <c r="BH12" s="447"/>
      <c r="BI12" s="447"/>
      <c r="BJ12" s="447"/>
      <c r="BK12" s="447"/>
      <c r="BL12" s="447"/>
      <c r="BM12" s="447"/>
      <c r="BN12" s="447"/>
      <c r="BO12" s="447"/>
      <c r="BP12" s="447"/>
      <c r="BQ12" s="447"/>
      <c r="BR12" s="447"/>
      <c r="BS12" s="447"/>
      <c r="BT12" s="447"/>
      <c r="BU12" s="447"/>
      <c r="BV12" s="447"/>
      <c r="BW12" s="447"/>
      <c r="BX12" s="447"/>
      <c r="BY12" s="447"/>
      <c r="BZ12" s="447"/>
      <c r="CA12" s="447"/>
      <c r="CB12" s="447"/>
      <c r="CC12" s="447"/>
      <c r="CD12" s="447"/>
      <c r="CE12" s="447"/>
      <c r="CF12" s="447"/>
      <c r="CG12" s="447"/>
      <c r="CH12" s="447"/>
      <c r="CI12" s="447"/>
      <c r="CJ12" s="447"/>
      <c r="CK12" s="447"/>
      <c r="CL12" s="447"/>
      <c r="CM12" s="447"/>
      <c r="CN12" s="447"/>
      <c r="CO12" s="447"/>
      <c r="CP12" s="447"/>
      <c r="CQ12" s="447"/>
      <c r="CR12" s="447"/>
      <c r="CS12" s="447"/>
      <c r="CT12" s="447"/>
      <c r="CU12" s="447"/>
      <c r="CV12" s="447"/>
      <c r="CW12" s="447"/>
      <c r="CX12" s="447"/>
      <c r="CY12" s="447"/>
      <c r="CZ12" s="447"/>
      <c r="DA12" s="447"/>
      <c r="DB12" s="447"/>
      <c r="DC12" s="447"/>
      <c r="DD12" s="447"/>
      <c r="DE12" s="448"/>
    </row>
    <row r="13" spans="1:139" ht="15" customHeight="1">
      <c r="A13" s="449" t="s">
        <v>85</v>
      </c>
      <c r="B13" s="450"/>
      <c r="C13" s="450"/>
      <c r="D13" s="450"/>
      <c r="E13" s="450"/>
      <c r="F13" s="450"/>
      <c r="G13" s="450"/>
      <c r="H13" s="450"/>
      <c r="I13" s="450"/>
      <c r="J13" s="450"/>
      <c r="K13" s="455" t="s">
        <v>86</v>
      </c>
      <c r="L13" s="455"/>
      <c r="M13" s="455"/>
      <c r="N13" s="455"/>
      <c r="O13" s="455"/>
      <c r="P13" s="455"/>
      <c r="Q13" s="455"/>
      <c r="R13" s="455"/>
      <c r="S13" s="455"/>
      <c r="T13" s="450" t="s">
        <v>87</v>
      </c>
      <c r="U13" s="450"/>
      <c r="V13" s="450"/>
      <c r="W13" s="450"/>
      <c r="X13" s="450"/>
      <c r="Y13" s="450"/>
      <c r="Z13" s="450"/>
      <c r="AA13" s="450"/>
      <c r="AB13" s="450"/>
      <c r="AC13" s="455">
        <v>1200</v>
      </c>
      <c r="AD13" s="455"/>
      <c r="AE13" s="455"/>
      <c r="AF13" s="455"/>
      <c r="AG13" s="455"/>
      <c r="AH13" s="455"/>
      <c r="AI13" s="455"/>
      <c r="AJ13" s="455"/>
      <c r="AK13" s="455"/>
      <c r="AL13" s="450" t="s">
        <v>88</v>
      </c>
      <c r="AM13" s="450"/>
      <c r="AN13" s="450"/>
      <c r="AO13" s="450"/>
      <c r="AP13" s="450"/>
      <c r="AQ13" s="450"/>
      <c r="AR13" s="450"/>
      <c r="AS13" s="450"/>
      <c r="AT13" s="450"/>
      <c r="AU13" s="455">
        <v>10</v>
      </c>
      <c r="AV13" s="455"/>
      <c r="AW13" s="455"/>
      <c r="AX13" s="455"/>
      <c r="AY13" s="455"/>
      <c r="AZ13" s="455"/>
      <c r="BA13" s="455"/>
      <c r="BB13" s="455"/>
      <c r="BC13" s="455"/>
      <c r="BD13" s="450" t="s">
        <v>89</v>
      </c>
      <c r="BE13" s="450"/>
      <c r="BF13" s="450"/>
      <c r="BG13" s="450"/>
      <c r="BH13" s="450"/>
      <c r="BI13" s="450"/>
      <c r="BJ13" s="450"/>
      <c r="BK13" s="450"/>
      <c r="BL13" s="450"/>
      <c r="BM13" s="452" t="s">
        <v>90</v>
      </c>
      <c r="BN13" s="453"/>
      <c r="BO13" s="453"/>
      <c r="BP13" s="453"/>
      <c r="BQ13" s="453"/>
      <c r="BR13" s="453"/>
      <c r="BS13" s="453"/>
      <c r="BT13" s="453"/>
      <c r="BU13" s="453"/>
      <c r="BV13" s="453"/>
      <c r="BW13" s="453"/>
      <c r="BX13" s="453"/>
      <c r="BY13" s="453"/>
      <c r="BZ13" s="453"/>
      <c r="CA13" s="453"/>
      <c r="CB13" s="453"/>
      <c r="CC13" s="453"/>
      <c r="CD13" s="453"/>
      <c r="CE13" s="453"/>
      <c r="CF13" s="453"/>
      <c r="CG13" s="453"/>
      <c r="CH13" s="453"/>
      <c r="CI13" s="453"/>
      <c r="CJ13" s="453"/>
      <c r="CK13" s="453"/>
      <c r="CL13" s="453"/>
      <c r="CM13" s="454"/>
      <c r="CN13" s="450" t="s">
        <v>91</v>
      </c>
      <c r="CO13" s="450"/>
      <c r="CP13" s="450"/>
      <c r="CQ13" s="450"/>
      <c r="CR13" s="450"/>
      <c r="CS13" s="450"/>
      <c r="CT13" s="450"/>
      <c r="CU13" s="450"/>
      <c r="CV13" s="450"/>
      <c r="CW13" s="455" t="s">
        <v>92</v>
      </c>
      <c r="CX13" s="455"/>
      <c r="CY13" s="455"/>
      <c r="CZ13" s="455"/>
      <c r="DA13" s="455"/>
      <c r="DB13" s="455"/>
      <c r="DC13" s="455"/>
      <c r="DD13" s="455"/>
      <c r="DE13" s="456"/>
    </row>
    <row r="14" spans="1:139" ht="15" customHeight="1">
      <c r="A14" s="449" t="s">
        <v>93</v>
      </c>
      <c r="B14" s="450"/>
      <c r="C14" s="450"/>
      <c r="D14" s="450"/>
      <c r="E14" s="450"/>
      <c r="F14" s="450"/>
      <c r="G14" s="450"/>
      <c r="H14" s="450"/>
      <c r="I14" s="450"/>
      <c r="J14" s="450"/>
      <c r="K14" s="444" t="s">
        <v>94</v>
      </c>
      <c r="L14" s="444"/>
      <c r="M14" s="444"/>
      <c r="N14" s="444"/>
      <c r="O14" s="444"/>
      <c r="P14" s="444"/>
      <c r="Q14" s="444"/>
      <c r="R14" s="444"/>
      <c r="S14" s="444"/>
      <c r="T14" s="451" t="s">
        <v>95</v>
      </c>
      <c r="U14" s="451"/>
      <c r="V14" s="451"/>
      <c r="W14" s="451"/>
      <c r="X14" s="451"/>
      <c r="Y14" s="451"/>
      <c r="Z14" s="451"/>
      <c r="AA14" s="451"/>
      <c r="AB14" s="451"/>
      <c r="AC14" s="444" t="s">
        <v>96</v>
      </c>
      <c r="AD14" s="444"/>
      <c r="AE14" s="444"/>
      <c r="AF14" s="444"/>
      <c r="AG14" s="444"/>
      <c r="AH14" s="444"/>
      <c r="AI14" s="444"/>
      <c r="AJ14" s="444"/>
      <c r="AK14" s="444"/>
      <c r="AL14" s="451" t="s">
        <v>97</v>
      </c>
      <c r="AM14" s="451"/>
      <c r="AN14" s="451"/>
      <c r="AO14" s="451"/>
      <c r="AP14" s="451"/>
      <c r="AQ14" s="451"/>
      <c r="AR14" s="451"/>
      <c r="AS14" s="451"/>
      <c r="AT14" s="451"/>
      <c r="AU14" s="444" t="s">
        <v>98</v>
      </c>
      <c r="AV14" s="444"/>
      <c r="AW14" s="444"/>
      <c r="AX14" s="444"/>
      <c r="AY14" s="444"/>
      <c r="AZ14" s="444"/>
      <c r="BA14" s="444"/>
      <c r="BB14" s="444"/>
      <c r="BC14" s="444"/>
      <c r="BD14" s="451" t="s">
        <v>99</v>
      </c>
      <c r="BE14" s="451"/>
      <c r="BF14" s="451"/>
      <c r="BG14" s="451"/>
      <c r="BH14" s="451"/>
      <c r="BI14" s="451"/>
      <c r="BJ14" s="451"/>
      <c r="BK14" s="451"/>
      <c r="BL14" s="451"/>
      <c r="BM14" s="452" t="s">
        <v>100</v>
      </c>
      <c r="BN14" s="453"/>
      <c r="BO14" s="453"/>
      <c r="BP14" s="453"/>
      <c r="BQ14" s="453"/>
      <c r="BR14" s="453"/>
      <c r="BS14" s="453"/>
      <c r="BT14" s="453"/>
      <c r="BU14" s="453"/>
      <c r="BV14" s="453"/>
      <c r="BW14" s="453"/>
      <c r="BX14" s="453"/>
      <c r="BY14" s="453"/>
      <c r="BZ14" s="453"/>
      <c r="CA14" s="453"/>
      <c r="CB14" s="453"/>
      <c r="CC14" s="453"/>
      <c r="CD14" s="453"/>
      <c r="CE14" s="453"/>
      <c r="CF14" s="453"/>
      <c r="CG14" s="453"/>
      <c r="CH14" s="453"/>
      <c r="CI14" s="453"/>
      <c r="CJ14" s="453"/>
      <c r="CK14" s="453"/>
      <c r="CL14" s="453"/>
      <c r="CM14" s="454"/>
      <c r="CN14" s="451" t="s">
        <v>101</v>
      </c>
      <c r="CO14" s="451"/>
      <c r="CP14" s="451"/>
      <c r="CQ14" s="451"/>
      <c r="CR14" s="451"/>
      <c r="CS14" s="451"/>
      <c r="CT14" s="451"/>
      <c r="CU14" s="451"/>
      <c r="CV14" s="451"/>
      <c r="CW14" s="444" t="s">
        <v>102</v>
      </c>
      <c r="CX14" s="444"/>
      <c r="CY14" s="444"/>
      <c r="CZ14" s="444"/>
      <c r="DA14" s="444"/>
      <c r="DB14" s="444"/>
      <c r="DC14" s="444"/>
      <c r="DD14" s="444"/>
      <c r="DE14" s="445"/>
    </row>
    <row r="15" spans="1:139" ht="15" customHeight="1">
      <c r="A15" s="446" t="s">
        <v>103</v>
      </c>
      <c r="B15" s="447"/>
      <c r="C15" s="447"/>
      <c r="D15" s="447"/>
      <c r="E15" s="447"/>
      <c r="F15" s="447"/>
      <c r="G15" s="447"/>
      <c r="H15" s="447"/>
      <c r="I15" s="447"/>
      <c r="J15" s="447"/>
      <c r="K15" s="447"/>
      <c r="L15" s="447"/>
      <c r="M15" s="447"/>
      <c r="N15" s="447"/>
      <c r="O15" s="447"/>
      <c r="P15" s="447"/>
      <c r="Q15" s="447"/>
      <c r="R15" s="447"/>
      <c r="S15" s="447"/>
      <c r="T15" s="447"/>
      <c r="U15" s="447"/>
      <c r="V15" s="447"/>
      <c r="W15" s="447"/>
      <c r="X15" s="447"/>
      <c r="Y15" s="447"/>
      <c r="Z15" s="447"/>
      <c r="AA15" s="447"/>
      <c r="AB15" s="447"/>
      <c r="AC15" s="447"/>
      <c r="AD15" s="447"/>
      <c r="AE15" s="447"/>
      <c r="AF15" s="447"/>
      <c r="AG15" s="447"/>
      <c r="AH15" s="447"/>
      <c r="AI15" s="447"/>
      <c r="AJ15" s="447"/>
      <c r="AK15" s="447"/>
      <c r="AL15" s="447"/>
      <c r="AM15" s="447"/>
      <c r="AN15" s="447"/>
      <c r="AO15" s="447"/>
      <c r="AP15" s="447"/>
      <c r="AQ15" s="447"/>
      <c r="AR15" s="447"/>
      <c r="AS15" s="447"/>
      <c r="AT15" s="447"/>
      <c r="AU15" s="447"/>
      <c r="AV15" s="447"/>
      <c r="AW15" s="447"/>
      <c r="AX15" s="447"/>
      <c r="AY15" s="447"/>
      <c r="AZ15" s="447"/>
      <c r="BA15" s="447"/>
      <c r="BB15" s="447"/>
      <c r="BC15" s="447"/>
      <c r="BD15" s="447"/>
      <c r="BE15" s="447"/>
      <c r="BF15" s="447"/>
      <c r="BG15" s="447"/>
      <c r="BH15" s="447"/>
      <c r="BI15" s="447"/>
      <c r="BJ15" s="447"/>
      <c r="BK15" s="447"/>
      <c r="BL15" s="447"/>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447"/>
      <c r="CJ15" s="447"/>
      <c r="CK15" s="447"/>
      <c r="CL15" s="447"/>
      <c r="CM15" s="447"/>
      <c r="CN15" s="447"/>
      <c r="CO15" s="447"/>
      <c r="CP15" s="447"/>
      <c r="CQ15" s="447"/>
      <c r="CR15" s="447"/>
      <c r="CS15" s="447"/>
      <c r="CT15" s="447"/>
      <c r="CU15" s="447"/>
      <c r="CV15" s="447"/>
      <c r="CW15" s="447"/>
      <c r="CX15" s="447"/>
      <c r="CY15" s="447"/>
      <c r="CZ15" s="447"/>
      <c r="DA15" s="447"/>
      <c r="DB15" s="447"/>
      <c r="DC15" s="447"/>
      <c r="DD15" s="447"/>
      <c r="DE15" s="448"/>
      <c r="DF15" s="2"/>
      <c r="DG15" s="2"/>
      <c r="DH15" s="2"/>
      <c r="DI15" s="2"/>
      <c r="DJ15" s="27"/>
      <c r="DK15" s="27"/>
      <c r="DL15" s="27"/>
      <c r="DM15" s="27"/>
      <c r="DN15" s="27"/>
      <c r="DO15" s="27"/>
      <c r="DP15" s="2"/>
      <c r="DQ15" s="2"/>
      <c r="DR15" s="2"/>
      <c r="DS15" s="2"/>
      <c r="DT15" s="2"/>
      <c r="DU15" s="2"/>
      <c r="DV15" s="2"/>
      <c r="DW15" s="2"/>
      <c r="DX15" s="2"/>
      <c r="DY15" s="2"/>
      <c r="DZ15" s="2"/>
      <c r="EA15" s="2"/>
      <c r="EB15" s="2"/>
      <c r="EC15" s="2"/>
      <c r="ED15" s="2"/>
      <c r="EE15" s="2"/>
      <c r="EF15" s="2"/>
      <c r="EG15" s="2"/>
      <c r="EH15" s="2"/>
      <c r="EI15" s="2"/>
    </row>
    <row r="16" spans="1:139" ht="15" customHeight="1">
      <c r="A16" s="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CN16" s="4"/>
      <c r="CO16" s="4"/>
      <c r="CP16" s="4"/>
      <c r="CQ16" s="4"/>
      <c r="CR16" s="4"/>
      <c r="CS16" s="4"/>
      <c r="CT16" s="4"/>
      <c r="CU16" s="4"/>
      <c r="CV16" s="4"/>
      <c r="CW16" s="4"/>
      <c r="CX16" s="4"/>
      <c r="CY16" s="4"/>
      <c r="CZ16" s="4"/>
      <c r="DA16" s="4"/>
      <c r="DB16" s="4"/>
      <c r="DC16" s="4"/>
      <c r="DD16" s="4"/>
      <c r="DE16" s="23"/>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2"/>
      <c r="EI16" s="2"/>
    </row>
    <row r="17" spans="1:133" ht="15" customHeight="1">
      <c r="A17" s="6"/>
      <c r="B17" s="376" t="s">
        <v>19</v>
      </c>
      <c r="C17" s="377"/>
      <c r="D17" s="377"/>
      <c r="E17" s="377"/>
      <c r="F17" s="377"/>
      <c r="G17" s="377"/>
      <c r="H17" s="378"/>
      <c r="I17" s="376" t="s">
        <v>21</v>
      </c>
      <c r="J17" s="377"/>
      <c r="K17" s="377"/>
      <c r="L17" s="377"/>
      <c r="M17" s="377"/>
      <c r="N17" s="377"/>
      <c r="O17" s="378"/>
      <c r="P17" s="376" t="s">
        <v>104</v>
      </c>
      <c r="Q17" s="377"/>
      <c r="R17" s="377"/>
      <c r="S17" s="377"/>
      <c r="T17" s="377"/>
      <c r="U17" s="377"/>
      <c r="V17" s="378"/>
      <c r="W17" s="376" t="s">
        <v>105</v>
      </c>
      <c r="X17" s="377"/>
      <c r="Y17" s="377"/>
      <c r="Z17" s="377"/>
      <c r="AA17" s="377"/>
      <c r="AB17" s="377"/>
      <c r="AC17" s="378"/>
      <c r="AD17" s="376" t="s">
        <v>24</v>
      </c>
      <c r="AE17" s="377"/>
      <c r="AF17" s="377"/>
      <c r="AG17" s="377"/>
      <c r="AH17" s="377"/>
      <c r="AI17" s="377"/>
      <c r="AJ17" s="378"/>
      <c r="AK17" s="376" t="s">
        <v>106</v>
      </c>
      <c r="AL17" s="377"/>
      <c r="AM17" s="377"/>
      <c r="AN17" s="377"/>
      <c r="AO17" s="377"/>
      <c r="AP17" s="377"/>
      <c r="AQ17" s="378"/>
      <c r="AR17" s="376" t="s">
        <v>107</v>
      </c>
      <c r="AS17" s="377"/>
      <c r="AT17" s="377"/>
      <c r="AU17" s="377"/>
      <c r="AV17" s="377"/>
      <c r="AW17" s="377"/>
      <c r="AX17" s="378"/>
      <c r="AY17" s="376" t="s">
        <v>24</v>
      </c>
      <c r="AZ17" s="377"/>
      <c r="BA17" s="377"/>
      <c r="BB17" s="377"/>
      <c r="BC17" s="377"/>
      <c r="BD17" s="377"/>
      <c r="BE17" s="378"/>
      <c r="BF17" s="376" t="s">
        <v>108</v>
      </c>
      <c r="BG17" s="377"/>
      <c r="BH17" s="377"/>
      <c r="BI17" s="377"/>
      <c r="BJ17" s="377"/>
      <c r="BK17" s="377"/>
      <c r="BL17" s="378"/>
      <c r="BM17" s="376" t="s">
        <v>109</v>
      </c>
      <c r="BN17" s="377"/>
      <c r="BO17" s="377"/>
      <c r="BP17" s="377"/>
      <c r="BQ17" s="377"/>
      <c r="BR17" s="377"/>
      <c r="BS17" s="377"/>
      <c r="BT17" s="377"/>
      <c r="BU17" s="377"/>
      <c r="BV17" s="377"/>
      <c r="BW17" s="377"/>
      <c r="BX17" s="377"/>
      <c r="BY17" s="377"/>
      <c r="BZ17" s="377"/>
      <c r="CA17" s="377"/>
      <c r="CB17" s="377"/>
      <c r="CC17" s="377"/>
      <c r="CD17" s="377"/>
      <c r="CE17" s="377"/>
      <c r="CF17" s="377"/>
      <c r="CG17" s="377"/>
      <c r="CH17" s="377"/>
      <c r="CI17" s="377"/>
      <c r="CJ17" s="377"/>
      <c r="CK17" s="377"/>
      <c r="CL17" s="378"/>
      <c r="CM17" s="376" t="s">
        <v>30</v>
      </c>
      <c r="CN17" s="377"/>
      <c r="CO17" s="377"/>
      <c r="CP17" s="377"/>
      <c r="CQ17" s="377"/>
      <c r="CR17" s="377"/>
      <c r="CS17" s="377"/>
      <c r="CT17" s="377"/>
      <c r="CU17" s="377"/>
      <c r="CV17" s="377"/>
      <c r="CW17" s="377"/>
      <c r="CX17" s="377"/>
      <c r="CY17" s="377"/>
      <c r="CZ17" s="377"/>
      <c r="DA17" s="377"/>
      <c r="DB17" s="377"/>
      <c r="DC17" s="377"/>
      <c r="DD17" s="378"/>
      <c r="DE17" s="7"/>
    </row>
    <row r="18" spans="1:133" ht="15" customHeight="1">
      <c r="A18" s="6"/>
      <c r="B18" s="379"/>
      <c r="C18" s="380"/>
      <c r="D18" s="380"/>
      <c r="E18" s="380"/>
      <c r="F18" s="380"/>
      <c r="G18" s="380"/>
      <c r="H18" s="381"/>
      <c r="I18" s="379"/>
      <c r="J18" s="380"/>
      <c r="K18" s="380"/>
      <c r="L18" s="380"/>
      <c r="M18" s="380"/>
      <c r="N18" s="380"/>
      <c r="O18" s="381"/>
      <c r="P18" s="379"/>
      <c r="Q18" s="380"/>
      <c r="R18" s="380"/>
      <c r="S18" s="380"/>
      <c r="T18" s="380"/>
      <c r="U18" s="380"/>
      <c r="V18" s="381"/>
      <c r="W18" s="379"/>
      <c r="X18" s="380"/>
      <c r="Y18" s="380"/>
      <c r="Z18" s="380"/>
      <c r="AA18" s="380"/>
      <c r="AB18" s="380"/>
      <c r="AC18" s="381"/>
      <c r="AD18" s="379"/>
      <c r="AE18" s="380"/>
      <c r="AF18" s="380"/>
      <c r="AG18" s="380"/>
      <c r="AH18" s="380"/>
      <c r="AI18" s="380"/>
      <c r="AJ18" s="381"/>
      <c r="AK18" s="379"/>
      <c r="AL18" s="380"/>
      <c r="AM18" s="380"/>
      <c r="AN18" s="380"/>
      <c r="AO18" s="380"/>
      <c r="AP18" s="380"/>
      <c r="AQ18" s="381"/>
      <c r="AR18" s="379"/>
      <c r="AS18" s="380"/>
      <c r="AT18" s="380"/>
      <c r="AU18" s="380"/>
      <c r="AV18" s="380"/>
      <c r="AW18" s="380"/>
      <c r="AX18" s="381"/>
      <c r="AY18" s="379"/>
      <c r="AZ18" s="380"/>
      <c r="BA18" s="380"/>
      <c r="BB18" s="380"/>
      <c r="BC18" s="380"/>
      <c r="BD18" s="380"/>
      <c r="BE18" s="381"/>
      <c r="BF18" s="379"/>
      <c r="BG18" s="380"/>
      <c r="BH18" s="380"/>
      <c r="BI18" s="380"/>
      <c r="BJ18" s="380"/>
      <c r="BK18" s="380"/>
      <c r="BL18" s="381"/>
      <c r="BM18" s="379"/>
      <c r="BN18" s="380"/>
      <c r="BO18" s="380"/>
      <c r="BP18" s="380"/>
      <c r="BQ18" s="380"/>
      <c r="BR18" s="380"/>
      <c r="BS18" s="380"/>
      <c r="BT18" s="380"/>
      <c r="BU18" s="380"/>
      <c r="BV18" s="380"/>
      <c r="BW18" s="380"/>
      <c r="BX18" s="380"/>
      <c r="BY18" s="380"/>
      <c r="BZ18" s="380"/>
      <c r="CA18" s="380"/>
      <c r="CB18" s="380"/>
      <c r="CC18" s="380"/>
      <c r="CD18" s="380"/>
      <c r="CE18" s="380"/>
      <c r="CF18" s="380"/>
      <c r="CG18" s="380"/>
      <c r="CH18" s="380"/>
      <c r="CI18" s="380"/>
      <c r="CJ18" s="380"/>
      <c r="CK18" s="380"/>
      <c r="CL18" s="381"/>
      <c r="CM18" s="379"/>
      <c r="CN18" s="380"/>
      <c r="CO18" s="380"/>
      <c r="CP18" s="380"/>
      <c r="CQ18" s="380"/>
      <c r="CR18" s="380"/>
      <c r="CS18" s="380"/>
      <c r="CT18" s="380"/>
      <c r="CU18" s="380"/>
      <c r="CV18" s="380"/>
      <c r="CW18" s="380"/>
      <c r="CX18" s="380"/>
      <c r="CY18" s="380"/>
      <c r="CZ18" s="380"/>
      <c r="DA18" s="380"/>
      <c r="DB18" s="380"/>
      <c r="DC18" s="380"/>
      <c r="DD18" s="381"/>
      <c r="DE18" s="7"/>
    </row>
    <row r="19" spans="1:133" ht="15" customHeight="1">
      <c r="A19" s="6"/>
      <c r="B19" s="353"/>
      <c r="C19" s="354"/>
      <c r="D19" s="354"/>
      <c r="E19" s="354"/>
      <c r="F19" s="354"/>
      <c r="G19" s="354"/>
      <c r="H19" s="355"/>
      <c r="I19" s="353"/>
      <c r="J19" s="354"/>
      <c r="K19" s="354"/>
      <c r="L19" s="354"/>
      <c r="M19" s="354"/>
      <c r="N19" s="354"/>
      <c r="O19" s="355"/>
      <c r="P19" s="465"/>
      <c r="Q19" s="466"/>
      <c r="R19" s="466"/>
      <c r="S19" s="466"/>
      <c r="T19" s="466"/>
      <c r="U19" s="466"/>
      <c r="V19" s="467"/>
      <c r="W19" s="395"/>
      <c r="X19" s="396"/>
      <c r="Y19" s="396"/>
      <c r="Z19" s="396"/>
      <c r="AA19" s="396"/>
      <c r="AB19" s="396"/>
      <c r="AC19" s="397"/>
      <c r="AD19" s="395"/>
      <c r="AE19" s="396"/>
      <c r="AF19" s="396"/>
      <c r="AG19" s="396"/>
      <c r="AH19" s="396"/>
      <c r="AI19" s="396"/>
      <c r="AJ19" s="397"/>
      <c r="AK19" s="395"/>
      <c r="AL19" s="396"/>
      <c r="AM19" s="396"/>
      <c r="AN19" s="396"/>
      <c r="AO19" s="396"/>
      <c r="AP19" s="396"/>
      <c r="AQ19" s="397"/>
      <c r="AR19" s="395"/>
      <c r="AS19" s="396"/>
      <c r="AT19" s="396"/>
      <c r="AU19" s="396"/>
      <c r="AV19" s="396"/>
      <c r="AW19" s="396"/>
      <c r="AX19" s="397"/>
      <c r="AY19" s="395"/>
      <c r="AZ19" s="396"/>
      <c r="BA19" s="396"/>
      <c r="BB19" s="396"/>
      <c r="BC19" s="396"/>
      <c r="BD19" s="396"/>
      <c r="BE19" s="397"/>
      <c r="BF19" s="395"/>
      <c r="BG19" s="396"/>
      <c r="BH19" s="396"/>
      <c r="BI19" s="396"/>
      <c r="BJ19" s="396"/>
      <c r="BK19" s="396"/>
      <c r="BL19" s="397"/>
      <c r="BM19" s="353"/>
      <c r="BN19" s="354"/>
      <c r="BO19" s="354"/>
      <c r="BP19" s="354"/>
      <c r="BQ19" s="354"/>
      <c r="BR19" s="354"/>
      <c r="BS19" s="354"/>
      <c r="BT19" s="354"/>
      <c r="BU19" s="354"/>
      <c r="BV19" s="354"/>
      <c r="BW19" s="354"/>
      <c r="BX19" s="354"/>
      <c r="BY19" s="354"/>
      <c r="BZ19" s="354"/>
      <c r="CA19" s="354"/>
      <c r="CB19" s="354"/>
      <c r="CC19" s="354"/>
      <c r="CD19" s="354"/>
      <c r="CE19" s="354"/>
      <c r="CF19" s="354"/>
      <c r="CG19" s="354"/>
      <c r="CH19" s="354"/>
      <c r="CI19" s="354"/>
      <c r="CJ19" s="354"/>
      <c r="CK19" s="354"/>
      <c r="CL19" s="355"/>
      <c r="CM19" s="353"/>
      <c r="CN19" s="354"/>
      <c r="CO19" s="354"/>
      <c r="CP19" s="354"/>
      <c r="CQ19" s="354"/>
      <c r="CR19" s="354"/>
      <c r="CS19" s="354"/>
      <c r="CT19" s="354"/>
      <c r="CU19" s="354"/>
      <c r="CV19" s="354"/>
      <c r="CW19" s="354"/>
      <c r="CX19" s="354"/>
      <c r="CY19" s="354"/>
      <c r="CZ19" s="354"/>
      <c r="DA19" s="354"/>
      <c r="DB19" s="354"/>
      <c r="DC19" s="354"/>
      <c r="DD19" s="355"/>
      <c r="DE19" s="7"/>
    </row>
    <row r="20" spans="1:133" ht="12.75">
      <c r="A20" s="6"/>
      <c r="B20" s="356"/>
      <c r="C20" s="357"/>
      <c r="D20" s="357"/>
      <c r="E20" s="357"/>
      <c r="F20" s="357"/>
      <c r="G20" s="357"/>
      <c r="H20" s="358"/>
      <c r="I20" s="356"/>
      <c r="J20" s="357"/>
      <c r="K20" s="357"/>
      <c r="L20" s="357"/>
      <c r="M20" s="357"/>
      <c r="N20" s="357"/>
      <c r="O20" s="358"/>
      <c r="P20" s="468"/>
      <c r="Q20" s="469"/>
      <c r="R20" s="469"/>
      <c r="S20" s="469"/>
      <c r="T20" s="469"/>
      <c r="U20" s="469"/>
      <c r="V20" s="470"/>
      <c r="W20" s="398"/>
      <c r="X20" s="399"/>
      <c r="Y20" s="399"/>
      <c r="Z20" s="399"/>
      <c r="AA20" s="399"/>
      <c r="AB20" s="399"/>
      <c r="AC20" s="400"/>
      <c r="AD20" s="398"/>
      <c r="AE20" s="399"/>
      <c r="AF20" s="399"/>
      <c r="AG20" s="399"/>
      <c r="AH20" s="399"/>
      <c r="AI20" s="399"/>
      <c r="AJ20" s="400"/>
      <c r="AK20" s="398"/>
      <c r="AL20" s="399"/>
      <c r="AM20" s="399"/>
      <c r="AN20" s="399"/>
      <c r="AO20" s="399"/>
      <c r="AP20" s="399"/>
      <c r="AQ20" s="400"/>
      <c r="AR20" s="398"/>
      <c r="AS20" s="399"/>
      <c r="AT20" s="399"/>
      <c r="AU20" s="399"/>
      <c r="AV20" s="399"/>
      <c r="AW20" s="399"/>
      <c r="AX20" s="400"/>
      <c r="AY20" s="398"/>
      <c r="AZ20" s="399"/>
      <c r="BA20" s="399"/>
      <c r="BB20" s="399"/>
      <c r="BC20" s="399"/>
      <c r="BD20" s="399"/>
      <c r="BE20" s="400"/>
      <c r="BF20" s="398"/>
      <c r="BG20" s="399"/>
      <c r="BH20" s="399"/>
      <c r="BI20" s="399"/>
      <c r="BJ20" s="399"/>
      <c r="BK20" s="399"/>
      <c r="BL20" s="400"/>
      <c r="BM20" s="356"/>
      <c r="BN20" s="357"/>
      <c r="BO20" s="357"/>
      <c r="BP20" s="357"/>
      <c r="BQ20" s="357"/>
      <c r="BR20" s="357"/>
      <c r="BS20" s="357"/>
      <c r="BT20" s="357"/>
      <c r="BU20" s="357"/>
      <c r="BV20" s="357"/>
      <c r="BW20" s="357"/>
      <c r="BX20" s="357"/>
      <c r="BY20" s="357"/>
      <c r="BZ20" s="357"/>
      <c r="CA20" s="357"/>
      <c r="CB20" s="357"/>
      <c r="CC20" s="357"/>
      <c r="CD20" s="357"/>
      <c r="CE20" s="357"/>
      <c r="CF20" s="357"/>
      <c r="CG20" s="357"/>
      <c r="CH20" s="357"/>
      <c r="CI20" s="357"/>
      <c r="CJ20" s="357"/>
      <c r="CK20" s="357"/>
      <c r="CL20" s="358"/>
      <c r="CM20" s="356"/>
      <c r="CN20" s="357"/>
      <c r="CO20" s="357"/>
      <c r="CP20" s="357"/>
      <c r="CQ20" s="357"/>
      <c r="CR20" s="357"/>
      <c r="CS20" s="357"/>
      <c r="CT20" s="357"/>
      <c r="CU20" s="357"/>
      <c r="CV20" s="357"/>
      <c r="CW20" s="357"/>
      <c r="CX20" s="357"/>
      <c r="CY20" s="357"/>
      <c r="CZ20" s="357"/>
      <c r="DA20" s="357"/>
      <c r="DB20" s="357"/>
      <c r="DC20" s="357"/>
      <c r="DD20" s="358"/>
      <c r="DE20" s="7"/>
    </row>
    <row r="21" spans="1:133" ht="15" customHeight="1">
      <c r="A21" s="3"/>
      <c r="B21" s="382"/>
      <c r="C21" s="383"/>
      <c r="D21" s="383"/>
      <c r="E21" s="383"/>
      <c r="F21" s="383"/>
      <c r="G21" s="383"/>
      <c r="H21" s="384"/>
      <c r="I21" s="382"/>
      <c r="J21" s="383"/>
      <c r="K21" s="383"/>
      <c r="L21" s="383"/>
      <c r="M21" s="383"/>
      <c r="N21" s="383"/>
      <c r="O21" s="384"/>
      <c r="P21" s="459"/>
      <c r="Q21" s="460"/>
      <c r="R21" s="460"/>
      <c r="S21" s="460"/>
      <c r="T21" s="460"/>
      <c r="U21" s="460"/>
      <c r="V21" s="461"/>
      <c r="W21" s="408"/>
      <c r="X21" s="409"/>
      <c r="Y21" s="409"/>
      <c r="Z21" s="409"/>
      <c r="AA21" s="409"/>
      <c r="AB21" s="409"/>
      <c r="AC21" s="410"/>
      <c r="AD21" s="408"/>
      <c r="AE21" s="409"/>
      <c r="AF21" s="409"/>
      <c r="AG21" s="409"/>
      <c r="AH21" s="409"/>
      <c r="AI21" s="409"/>
      <c r="AJ21" s="410"/>
      <c r="AK21" s="408"/>
      <c r="AL21" s="409"/>
      <c r="AM21" s="409"/>
      <c r="AN21" s="409"/>
      <c r="AO21" s="409"/>
      <c r="AP21" s="409"/>
      <c r="AQ21" s="410"/>
      <c r="AR21" s="408"/>
      <c r="AS21" s="409"/>
      <c r="AT21" s="409"/>
      <c r="AU21" s="409"/>
      <c r="AV21" s="409"/>
      <c r="AW21" s="409"/>
      <c r="AX21" s="410"/>
      <c r="AY21" s="408"/>
      <c r="AZ21" s="409"/>
      <c r="BA21" s="409"/>
      <c r="BB21" s="409"/>
      <c r="BC21" s="409"/>
      <c r="BD21" s="409"/>
      <c r="BE21" s="410"/>
      <c r="BF21" s="408"/>
      <c r="BG21" s="409"/>
      <c r="BH21" s="409"/>
      <c r="BI21" s="409"/>
      <c r="BJ21" s="409"/>
      <c r="BK21" s="409"/>
      <c r="BL21" s="410"/>
      <c r="BM21" s="382"/>
      <c r="BN21" s="383"/>
      <c r="BO21" s="383"/>
      <c r="BP21" s="383"/>
      <c r="BQ21" s="383"/>
      <c r="BR21" s="383"/>
      <c r="BS21" s="383"/>
      <c r="BT21" s="383"/>
      <c r="BU21" s="383"/>
      <c r="BV21" s="383"/>
      <c r="BW21" s="383"/>
      <c r="BX21" s="383"/>
      <c r="BY21" s="383"/>
      <c r="BZ21" s="383"/>
      <c r="CA21" s="383"/>
      <c r="CB21" s="383"/>
      <c r="CC21" s="383"/>
      <c r="CD21" s="383"/>
      <c r="CE21" s="383"/>
      <c r="CF21" s="383"/>
      <c r="CG21" s="383"/>
      <c r="CH21" s="383"/>
      <c r="CI21" s="383"/>
      <c r="CJ21" s="383"/>
      <c r="CK21" s="383"/>
      <c r="CL21" s="384"/>
      <c r="CM21" s="382"/>
      <c r="CN21" s="383"/>
      <c r="CO21" s="383"/>
      <c r="CP21" s="383"/>
      <c r="CQ21" s="383"/>
      <c r="CR21" s="383"/>
      <c r="CS21" s="383"/>
      <c r="CT21" s="383"/>
      <c r="CU21" s="383"/>
      <c r="CV21" s="383"/>
      <c r="CW21" s="383"/>
      <c r="CX21" s="383"/>
      <c r="CY21" s="383"/>
      <c r="CZ21" s="383"/>
      <c r="DA21" s="383"/>
      <c r="DB21" s="383"/>
      <c r="DC21" s="383"/>
      <c r="DD21" s="384"/>
      <c r="DE21" s="7"/>
    </row>
    <row r="22" spans="1:133" ht="15" customHeight="1">
      <c r="A22" s="6"/>
      <c r="B22" s="385"/>
      <c r="C22" s="386"/>
      <c r="D22" s="386"/>
      <c r="E22" s="386"/>
      <c r="F22" s="386"/>
      <c r="G22" s="386"/>
      <c r="H22" s="387"/>
      <c r="I22" s="385"/>
      <c r="J22" s="386"/>
      <c r="K22" s="386"/>
      <c r="L22" s="386"/>
      <c r="M22" s="386"/>
      <c r="N22" s="386"/>
      <c r="O22" s="387"/>
      <c r="P22" s="462"/>
      <c r="Q22" s="463"/>
      <c r="R22" s="463"/>
      <c r="S22" s="463"/>
      <c r="T22" s="463"/>
      <c r="U22" s="463"/>
      <c r="V22" s="464"/>
      <c r="W22" s="411"/>
      <c r="X22" s="412"/>
      <c r="Y22" s="412"/>
      <c r="Z22" s="412"/>
      <c r="AA22" s="412"/>
      <c r="AB22" s="412"/>
      <c r="AC22" s="413"/>
      <c r="AD22" s="411"/>
      <c r="AE22" s="412"/>
      <c r="AF22" s="412"/>
      <c r="AG22" s="412"/>
      <c r="AH22" s="412"/>
      <c r="AI22" s="412"/>
      <c r="AJ22" s="413"/>
      <c r="AK22" s="411"/>
      <c r="AL22" s="412"/>
      <c r="AM22" s="412"/>
      <c r="AN22" s="412"/>
      <c r="AO22" s="412"/>
      <c r="AP22" s="412"/>
      <c r="AQ22" s="413"/>
      <c r="AR22" s="411"/>
      <c r="AS22" s="412"/>
      <c r="AT22" s="412"/>
      <c r="AU22" s="412"/>
      <c r="AV22" s="412"/>
      <c r="AW22" s="412"/>
      <c r="AX22" s="413"/>
      <c r="AY22" s="411"/>
      <c r="AZ22" s="412"/>
      <c r="BA22" s="412"/>
      <c r="BB22" s="412"/>
      <c r="BC22" s="412"/>
      <c r="BD22" s="412"/>
      <c r="BE22" s="413"/>
      <c r="BF22" s="411"/>
      <c r="BG22" s="412"/>
      <c r="BH22" s="412"/>
      <c r="BI22" s="412"/>
      <c r="BJ22" s="412"/>
      <c r="BK22" s="412"/>
      <c r="BL22" s="413"/>
      <c r="BM22" s="385"/>
      <c r="BN22" s="386"/>
      <c r="BO22" s="386"/>
      <c r="BP22" s="386"/>
      <c r="BQ22" s="386"/>
      <c r="BR22" s="386"/>
      <c r="BS22" s="386"/>
      <c r="BT22" s="386"/>
      <c r="BU22" s="386"/>
      <c r="BV22" s="386"/>
      <c r="BW22" s="386"/>
      <c r="BX22" s="386"/>
      <c r="BY22" s="386"/>
      <c r="BZ22" s="386"/>
      <c r="CA22" s="386"/>
      <c r="CB22" s="386"/>
      <c r="CC22" s="386"/>
      <c r="CD22" s="386"/>
      <c r="CE22" s="386"/>
      <c r="CF22" s="386"/>
      <c r="CG22" s="386"/>
      <c r="CH22" s="386"/>
      <c r="CI22" s="386"/>
      <c r="CJ22" s="386"/>
      <c r="CK22" s="386"/>
      <c r="CL22" s="387"/>
      <c r="CM22" s="385"/>
      <c r="CN22" s="386"/>
      <c r="CO22" s="386"/>
      <c r="CP22" s="386"/>
      <c r="CQ22" s="386"/>
      <c r="CR22" s="386"/>
      <c r="CS22" s="386"/>
      <c r="CT22" s="386"/>
      <c r="CU22" s="386"/>
      <c r="CV22" s="386"/>
      <c r="CW22" s="386"/>
      <c r="CX22" s="386"/>
      <c r="CY22" s="386"/>
      <c r="CZ22" s="386"/>
      <c r="DA22" s="386"/>
      <c r="DB22" s="386"/>
      <c r="DC22" s="386"/>
      <c r="DD22" s="387"/>
      <c r="DE22" s="7"/>
    </row>
    <row r="23" spans="1:133" ht="15" customHeight="1">
      <c r="A23" s="8"/>
      <c r="B23" s="353"/>
      <c r="C23" s="354"/>
      <c r="D23" s="354"/>
      <c r="E23" s="354"/>
      <c r="F23" s="354"/>
      <c r="G23" s="354"/>
      <c r="H23" s="355"/>
      <c r="I23" s="352"/>
      <c r="J23" s="352"/>
      <c r="K23" s="352"/>
      <c r="L23" s="352"/>
      <c r="M23" s="352"/>
      <c r="N23" s="352"/>
      <c r="O23" s="352"/>
      <c r="P23" s="458"/>
      <c r="Q23" s="458"/>
      <c r="R23" s="458"/>
      <c r="S23" s="458"/>
      <c r="T23" s="458"/>
      <c r="U23" s="458"/>
      <c r="V23" s="458"/>
      <c r="W23" s="395"/>
      <c r="X23" s="396"/>
      <c r="Y23" s="396"/>
      <c r="Z23" s="396"/>
      <c r="AA23" s="396"/>
      <c r="AB23" s="396"/>
      <c r="AC23" s="397"/>
      <c r="AD23" s="395"/>
      <c r="AE23" s="396"/>
      <c r="AF23" s="396"/>
      <c r="AG23" s="396"/>
      <c r="AH23" s="396"/>
      <c r="AI23" s="396"/>
      <c r="AJ23" s="397"/>
      <c r="AK23" s="395"/>
      <c r="AL23" s="396"/>
      <c r="AM23" s="396"/>
      <c r="AN23" s="396"/>
      <c r="AO23" s="396"/>
      <c r="AP23" s="396"/>
      <c r="AQ23" s="397"/>
      <c r="AR23" s="395"/>
      <c r="AS23" s="396"/>
      <c r="AT23" s="396"/>
      <c r="AU23" s="396"/>
      <c r="AV23" s="396"/>
      <c r="AW23" s="396"/>
      <c r="AX23" s="397"/>
      <c r="AY23" s="395"/>
      <c r="AZ23" s="396"/>
      <c r="BA23" s="396"/>
      <c r="BB23" s="396"/>
      <c r="BC23" s="396"/>
      <c r="BD23" s="396"/>
      <c r="BE23" s="397"/>
      <c r="BF23" s="395"/>
      <c r="BG23" s="396"/>
      <c r="BH23" s="396"/>
      <c r="BI23" s="396"/>
      <c r="BJ23" s="396"/>
      <c r="BK23" s="396"/>
      <c r="BL23" s="397"/>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c r="CQ23" s="352"/>
      <c r="CR23" s="352"/>
      <c r="CS23" s="352"/>
      <c r="CT23" s="352"/>
      <c r="CU23" s="352"/>
      <c r="CV23" s="352"/>
      <c r="CW23" s="352"/>
      <c r="CX23" s="352"/>
      <c r="CY23" s="352"/>
      <c r="CZ23" s="352"/>
      <c r="DA23" s="352"/>
      <c r="DB23" s="352"/>
      <c r="DC23" s="352"/>
      <c r="DD23" s="352"/>
      <c r="DE23" s="7"/>
    </row>
    <row r="24" spans="1:133" ht="15" customHeight="1">
      <c r="A24" s="8"/>
      <c r="B24" s="356"/>
      <c r="C24" s="357"/>
      <c r="D24" s="357"/>
      <c r="E24" s="357"/>
      <c r="F24" s="357"/>
      <c r="G24" s="357"/>
      <c r="H24" s="358"/>
      <c r="I24" s="352"/>
      <c r="J24" s="352"/>
      <c r="K24" s="352"/>
      <c r="L24" s="352"/>
      <c r="M24" s="352"/>
      <c r="N24" s="352"/>
      <c r="O24" s="352"/>
      <c r="P24" s="458"/>
      <c r="Q24" s="458"/>
      <c r="R24" s="458"/>
      <c r="S24" s="458"/>
      <c r="T24" s="458"/>
      <c r="U24" s="458"/>
      <c r="V24" s="458"/>
      <c r="W24" s="398"/>
      <c r="X24" s="399"/>
      <c r="Y24" s="399"/>
      <c r="Z24" s="399"/>
      <c r="AA24" s="399"/>
      <c r="AB24" s="399"/>
      <c r="AC24" s="400"/>
      <c r="AD24" s="398"/>
      <c r="AE24" s="399"/>
      <c r="AF24" s="399"/>
      <c r="AG24" s="399"/>
      <c r="AH24" s="399"/>
      <c r="AI24" s="399"/>
      <c r="AJ24" s="400"/>
      <c r="AK24" s="398"/>
      <c r="AL24" s="399"/>
      <c r="AM24" s="399"/>
      <c r="AN24" s="399"/>
      <c r="AO24" s="399"/>
      <c r="AP24" s="399"/>
      <c r="AQ24" s="400"/>
      <c r="AR24" s="398"/>
      <c r="AS24" s="399"/>
      <c r="AT24" s="399"/>
      <c r="AU24" s="399"/>
      <c r="AV24" s="399"/>
      <c r="AW24" s="399"/>
      <c r="AX24" s="400"/>
      <c r="AY24" s="398"/>
      <c r="AZ24" s="399"/>
      <c r="BA24" s="399"/>
      <c r="BB24" s="399"/>
      <c r="BC24" s="399"/>
      <c r="BD24" s="399"/>
      <c r="BE24" s="400"/>
      <c r="BF24" s="398"/>
      <c r="BG24" s="399"/>
      <c r="BH24" s="399"/>
      <c r="BI24" s="399"/>
      <c r="BJ24" s="399"/>
      <c r="BK24" s="399"/>
      <c r="BL24" s="400"/>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c r="CQ24" s="352"/>
      <c r="CR24" s="352"/>
      <c r="CS24" s="352"/>
      <c r="CT24" s="352"/>
      <c r="CU24" s="352"/>
      <c r="CV24" s="352"/>
      <c r="CW24" s="352"/>
      <c r="CX24" s="352"/>
      <c r="CY24" s="352"/>
      <c r="CZ24" s="352"/>
      <c r="DA24" s="352"/>
      <c r="DB24" s="352"/>
      <c r="DC24" s="352"/>
      <c r="DD24" s="352"/>
      <c r="DE24" s="7"/>
    </row>
    <row r="25" spans="1:133" ht="15" customHeight="1">
      <c r="A25" s="3"/>
      <c r="B25" s="382"/>
      <c r="C25" s="383"/>
      <c r="D25" s="383"/>
      <c r="E25" s="383"/>
      <c r="F25" s="383"/>
      <c r="G25" s="383"/>
      <c r="H25" s="384"/>
      <c r="I25" s="351"/>
      <c r="J25" s="351"/>
      <c r="K25" s="351"/>
      <c r="L25" s="351"/>
      <c r="M25" s="351"/>
      <c r="N25" s="351"/>
      <c r="O25" s="351"/>
      <c r="P25" s="457"/>
      <c r="Q25" s="457"/>
      <c r="R25" s="457"/>
      <c r="S25" s="457"/>
      <c r="T25" s="457"/>
      <c r="U25" s="457"/>
      <c r="V25" s="457"/>
      <c r="W25" s="408"/>
      <c r="X25" s="409"/>
      <c r="Y25" s="409"/>
      <c r="Z25" s="409"/>
      <c r="AA25" s="409"/>
      <c r="AB25" s="409"/>
      <c r="AC25" s="410"/>
      <c r="AD25" s="408"/>
      <c r="AE25" s="409"/>
      <c r="AF25" s="409"/>
      <c r="AG25" s="409"/>
      <c r="AH25" s="409"/>
      <c r="AI25" s="409"/>
      <c r="AJ25" s="410"/>
      <c r="AK25" s="408"/>
      <c r="AL25" s="409"/>
      <c r="AM25" s="409"/>
      <c r="AN25" s="409"/>
      <c r="AO25" s="409"/>
      <c r="AP25" s="409"/>
      <c r="AQ25" s="410"/>
      <c r="AR25" s="408"/>
      <c r="AS25" s="409"/>
      <c r="AT25" s="409"/>
      <c r="AU25" s="409"/>
      <c r="AV25" s="409"/>
      <c r="AW25" s="409"/>
      <c r="AX25" s="410"/>
      <c r="AY25" s="408"/>
      <c r="AZ25" s="409"/>
      <c r="BA25" s="409"/>
      <c r="BB25" s="409"/>
      <c r="BC25" s="409"/>
      <c r="BD25" s="409"/>
      <c r="BE25" s="410"/>
      <c r="BF25" s="408"/>
      <c r="BG25" s="409"/>
      <c r="BH25" s="409"/>
      <c r="BI25" s="409"/>
      <c r="BJ25" s="409"/>
      <c r="BK25" s="409"/>
      <c r="BL25" s="410"/>
      <c r="BM25" s="351"/>
      <c r="BN25" s="351"/>
      <c r="BO25" s="351"/>
      <c r="BP25" s="351"/>
      <c r="BQ25" s="351"/>
      <c r="BR25" s="351"/>
      <c r="BS25" s="351"/>
      <c r="BT25" s="351"/>
      <c r="BU25" s="351"/>
      <c r="BV25" s="351"/>
      <c r="BW25" s="351"/>
      <c r="BX25" s="351"/>
      <c r="BY25" s="351"/>
      <c r="BZ25" s="351"/>
      <c r="CA25" s="351"/>
      <c r="CB25" s="351"/>
      <c r="CC25" s="351"/>
      <c r="CD25" s="351"/>
      <c r="CE25" s="351"/>
      <c r="CF25" s="351"/>
      <c r="CG25" s="351"/>
      <c r="CH25" s="351"/>
      <c r="CI25" s="351"/>
      <c r="CJ25" s="351"/>
      <c r="CK25" s="351"/>
      <c r="CL25" s="351"/>
      <c r="CM25" s="351"/>
      <c r="CN25" s="351"/>
      <c r="CO25" s="351"/>
      <c r="CP25" s="351"/>
      <c r="CQ25" s="351"/>
      <c r="CR25" s="351"/>
      <c r="CS25" s="351"/>
      <c r="CT25" s="351"/>
      <c r="CU25" s="351"/>
      <c r="CV25" s="351"/>
      <c r="CW25" s="351"/>
      <c r="CX25" s="351"/>
      <c r="CY25" s="351"/>
      <c r="CZ25" s="351"/>
      <c r="DA25" s="351"/>
      <c r="DB25" s="351"/>
      <c r="DC25" s="351"/>
      <c r="DD25" s="351"/>
      <c r="DE25" s="7"/>
    </row>
    <row r="26" spans="1:133" ht="15" customHeight="1">
      <c r="A26" s="3"/>
      <c r="B26" s="385"/>
      <c r="C26" s="386"/>
      <c r="D26" s="386"/>
      <c r="E26" s="386"/>
      <c r="F26" s="386"/>
      <c r="G26" s="386"/>
      <c r="H26" s="387"/>
      <c r="I26" s="351"/>
      <c r="J26" s="351"/>
      <c r="K26" s="351"/>
      <c r="L26" s="351"/>
      <c r="M26" s="351"/>
      <c r="N26" s="351"/>
      <c r="O26" s="351"/>
      <c r="P26" s="457"/>
      <c r="Q26" s="457"/>
      <c r="R26" s="457"/>
      <c r="S26" s="457"/>
      <c r="T26" s="457"/>
      <c r="U26" s="457"/>
      <c r="V26" s="457"/>
      <c r="W26" s="411"/>
      <c r="X26" s="412"/>
      <c r="Y26" s="412"/>
      <c r="Z26" s="412"/>
      <c r="AA26" s="412"/>
      <c r="AB26" s="412"/>
      <c r="AC26" s="413"/>
      <c r="AD26" s="411"/>
      <c r="AE26" s="412"/>
      <c r="AF26" s="412"/>
      <c r="AG26" s="412"/>
      <c r="AH26" s="412"/>
      <c r="AI26" s="412"/>
      <c r="AJ26" s="413"/>
      <c r="AK26" s="411"/>
      <c r="AL26" s="412"/>
      <c r="AM26" s="412"/>
      <c r="AN26" s="412"/>
      <c r="AO26" s="412"/>
      <c r="AP26" s="412"/>
      <c r="AQ26" s="413"/>
      <c r="AR26" s="411"/>
      <c r="AS26" s="412"/>
      <c r="AT26" s="412"/>
      <c r="AU26" s="412"/>
      <c r="AV26" s="412"/>
      <c r="AW26" s="412"/>
      <c r="AX26" s="413"/>
      <c r="AY26" s="411"/>
      <c r="AZ26" s="412"/>
      <c r="BA26" s="412"/>
      <c r="BB26" s="412"/>
      <c r="BC26" s="412"/>
      <c r="BD26" s="412"/>
      <c r="BE26" s="413"/>
      <c r="BF26" s="411"/>
      <c r="BG26" s="412"/>
      <c r="BH26" s="412"/>
      <c r="BI26" s="412"/>
      <c r="BJ26" s="412"/>
      <c r="BK26" s="412"/>
      <c r="BL26" s="413"/>
      <c r="BM26" s="351"/>
      <c r="BN26" s="351"/>
      <c r="BO26" s="351"/>
      <c r="BP26" s="351"/>
      <c r="BQ26" s="351"/>
      <c r="BR26" s="351"/>
      <c r="BS26" s="351"/>
      <c r="BT26" s="351"/>
      <c r="BU26" s="351"/>
      <c r="BV26" s="351"/>
      <c r="BW26" s="351"/>
      <c r="BX26" s="351"/>
      <c r="BY26" s="351"/>
      <c r="BZ26" s="351"/>
      <c r="CA26" s="351"/>
      <c r="CB26" s="351"/>
      <c r="CC26" s="351"/>
      <c r="CD26" s="351"/>
      <c r="CE26" s="351"/>
      <c r="CF26" s="351"/>
      <c r="CG26" s="351"/>
      <c r="CH26" s="351"/>
      <c r="CI26" s="351"/>
      <c r="CJ26" s="351"/>
      <c r="CK26" s="351"/>
      <c r="CL26" s="351"/>
      <c r="CM26" s="351"/>
      <c r="CN26" s="351"/>
      <c r="CO26" s="351"/>
      <c r="CP26" s="351"/>
      <c r="CQ26" s="351"/>
      <c r="CR26" s="351"/>
      <c r="CS26" s="351"/>
      <c r="CT26" s="351"/>
      <c r="CU26" s="351"/>
      <c r="CV26" s="351"/>
      <c r="CW26" s="351"/>
      <c r="CX26" s="351"/>
      <c r="CY26" s="351"/>
      <c r="CZ26" s="351"/>
      <c r="DA26" s="351"/>
      <c r="DB26" s="351"/>
      <c r="DC26" s="351"/>
      <c r="DD26" s="351"/>
      <c r="DE26" s="7"/>
    </row>
    <row r="27" spans="1:133" ht="15" customHeight="1">
      <c r="A27" s="3"/>
      <c r="B27" s="353"/>
      <c r="C27" s="354"/>
      <c r="D27" s="354"/>
      <c r="E27" s="354"/>
      <c r="F27" s="354"/>
      <c r="G27" s="354"/>
      <c r="H27" s="355"/>
      <c r="I27" s="352"/>
      <c r="J27" s="352"/>
      <c r="K27" s="352"/>
      <c r="L27" s="352"/>
      <c r="M27" s="352"/>
      <c r="N27" s="352"/>
      <c r="O27" s="352"/>
      <c r="P27" s="458"/>
      <c r="Q27" s="458"/>
      <c r="R27" s="458"/>
      <c r="S27" s="458"/>
      <c r="T27" s="458"/>
      <c r="U27" s="458"/>
      <c r="V27" s="458"/>
      <c r="W27" s="395"/>
      <c r="X27" s="396"/>
      <c r="Y27" s="396"/>
      <c r="Z27" s="396"/>
      <c r="AA27" s="396"/>
      <c r="AB27" s="396"/>
      <c r="AC27" s="397"/>
      <c r="AD27" s="395"/>
      <c r="AE27" s="396"/>
      <c r="AF27" s="396"/>
      <c r="AG27" s="396"/>
      <c r="AH27" s="396"/>
      <c r="AI27" s="396"/>
      <c r="AJ27" s="397"/>
      <c r="AK27" s="395"/>
      <c r="AL27" s="396"/>
      <c r="AM27" s="396"/>
      <c r="AN27" s="396"/>
      <c r="AO27" s="396"/>
      <c r="AP27" s="396"/>
      <c r="AQ27" s="397"/>
      <c r="AR27" s="395"/>
      <c r="AS27" s="396"/>
      <c r="AT27" s="396"/>
      <c r="AU27" s="396"/>
      <c r="AV27" s="396"/>
      <c r="AW27" s="396"/>
      <c r="AX27" s="397"/>
      <c r="AY27" s="395"/>
      <c r="AZ27" s="396"/>
      <c r="BA27" s="396"/>
      <c r="BB27" s="396"/>
      <c r="BC27" s="396"/>
      <c r="BD27" s="396"/>
      <c r="BE27" s="397"/>
      <c r="BF27" s="395"/>
      <c r="BG27" s="396"/>
      <c r="BH27" s="396"/>
      <c r="BI27" s="396"/>
      <c r="BJ27" s="396"/>
      <c r="BK27" s="396"/>
      <c r="BL27" s="397"/>
      <c r="BM27" s="416"/>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c r="CQ27" s="352"/>
      <c r="CR27" s="352"/>
      <c r="CS27" s="352"/>
      <c r="CT27" s="352"/>
      <c r="CU27" s="352"/>
      <c r="CV27" s="352"/>
      <c r="CW27" s="352"/>
      <c r="CX27" s="352"/>
      <c r="CY27" s="352"/>
      <c r="CZ27" s="352"/>
      <c r="DA27" s="352"/>
      <c r="DB27" s="352"/>
      <c r="DC27" s="352"/>
      <c r="DD27" s="352"/>
      <c r="DE27" s="24"/>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row>
    <row r="28" spans="1:133" ht="15" customHeight="1">
      <c r="A28" s="3"/>
      <c r="B28" s="356"/>
      <c r="C28" s="357"/>
      <c r="D28" s="357"/>
      <c r="E28" s="357"/>
      <c r="F28" s="357"/>
      <c r="G28" s="357"/>
      <c r="H28" s="358"/>
      <c r="I28" s="352"/>
      <c r="J28" s="352"/>
      <c r="K28" s="352"/>
      <c r="L28" s="352"/>
      <c r="M28" s="352"/>
      <c r="N28" s="352"/>
      <c r="O28" s="352"/>
      <c r="P28" s="458"/>
      <c r="Q28" s="458"/>
      <c r="R28" s="458"/>
      <c r="S28" s="458"/>
      <c r="T28" s="458"/>
      <c r="U28" s="458"/>
      <c r="V28" s="458"/>
      <c r="W28" s="398"/>
      <c r="X28" s="399"/>
      <c r="Y28" s="399"/>
      <c r="Z28" s="399"/>
      <c r="AA28" s="399"/>
      <c r="AB28" s="399"/>
      <c r="AC28" s="400"/>
      <c r="AD28" s="398"/>
      <c r="AE28" s="399"/>
      <c r="AF28" s="399"/>
      <c r="AG28" s="399"/>
      <c r="AH28" s="399"/>
      <c r="AI28" s="399"/>
      <c r="AJ28" s="400"/>
      <c r="AK28" s="398"/>
      <c r="AL28" s="399"/>
      <c r="AM28" s="399"/>
      <c r="AN28" s="399"/>
      <c r="AO28" s="399"/>
      <c r="AP28" s="399"/>
      <c r="AQ28" s="400"/>
      <c r="AR28" s="398"/>
      <c r="AS28" s="399"/>
      <c r="AT28" s="399"/>
      <c r="AU28" s="399"/>
      <c r="AV28" s="399"/>
      <c r="AW28" s="399"/>
      <c r="AX28" s="400"/>
      <c r="AY28" s="398"/>
      <c r="AZ28" s="399"/>
      <c r="BA28" s="399"/>
      <c r="BB28" s="399"/>
      <c r="BC28" s="399"/>
      <c r="BD28" s="399"/>
      <c r="BE28" s="400"/>
      <c r="BF28" s="398"/>
      <c r="BG28" s="399"/>
      <c r="BH28" s="399"/>
      <c r="BI28" s="399"/>
      <c r="BJ28" s="399"/>
      <c r="BK28" s="399"/>
      <c r="BL28" s="400"/>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c r="CQ28" s="352"/>
      <c r="CR28" s="352"/>
      <c r="CS28" s="352"/>
      <c r="CT28" s="352"/>
      <c r="CU28" s="352"/>
      <c r="CV28" s="352"/>
      <c r="CW28" s="352"/>
      <c r="CX28" s="352"/>
      <c r="CY28" s="352"/>
      <c r="CZ28" s="352"/>
      <c r="DA28" s="352"/>
      <c r="DB28" s="352"/>
      <c r="DC28" s="352"/>
      <c r="DD28" s="352"/>
      <c r="DE28" s="7"/>
    </row>
    <row r="29" spans="1:133" ht="15" customHeight="1">
      <c r="A29" s="8"/>
      <c r="B29" s="382"/>
      <c r="C29" s="383"/>
      <c r="D29" s="383"/>
      <c r="E29" s="383"/>
      <c r="F29" s="383"/>
      <c r="G29" s="383"/>
      <c r="H29" s="384"/>
      <c r="I29" s="351"/>
      <c r="J29" s="351"/>
      <c r="K29" s="351"/>
      <c r="L29" s="351"/>
      <c r="M29" s="351"/>
      <c r="N29" s="351"/>
      <c r="O29" s="351"/>
      <c r="P29" s="457"/>
      <c r="Q29" s="457"/>
      <c r="R29" s="457"/>
      <c r="S29" s="457"/>
      <c r="T29" s="457"/>
      <c r="U29" s="457"/>
      <c r="V29" s="457"/>
      <c r="W29" s="408"/>
      <c r="X29" s="409"/>
      <c r="Y29" s="409"/>
      <c r="Z29" s="409"/>
      <c r="AA29" s="409"/>
      <c r="AB29" s="409"/>
      <c r="AC29" s="410"/>
      <c r="AD29" s="408"/>
      <c r="AE29" s="409"/>
      <c r="AF29" s="409"/>
      <c r="AG29" s="409"/>
      <c r="AH29" s="409"/>
      <c r="AI29" s="409"/>
      <c r="AJ29" s="410"/>
      <c r="AK29" s="408"/>
      <c r="AL29" s="409"/>
      <c r="AM29" s="409"/>
      <c r="AN29" s="409"/>
      <c r="AO29" s="409"/>
      <c r="AP29" s="409"/>
      <c r="AQ29" s="410"/>
      <c r="AR29" s="408"/>
      <c r="AS29" s="409"/>
      <c r="AT29" s="409"/>
      <c r="AU29" s="409"/>
      <c r="AV29" s="409"/>
      <c r="AW29" s="409"/>
      <c r="AX29" s="410"/>
      <c r="AY29" s="408"/>
      <c r="AZ29" s="409"/>
      <c r="BA29" s="409"/>
      <c r="BB29" s="409"/>
      <c r="BC29" s="409"/>
      <c r="BD29" s="409"/>
      <c r="BE29" s="410"/>
      <c r="BF29" s="408"/>
      <c r="BG29" s="409"/>
      <c r="BH29" s="409"/>
      <c r="BI29" s="409"/>
      <c r="BJ29" s="409"/>
      <c r="BK29" s="409"/>
      <c r="BL29" s="410"/>
      <c r="BM29" s="351"/>
      <c r="BN29" s="351"/>
      <c r="BO29" s="351"/>
      <c r="BP29" s="351"/>
      <c r="BQ29" s="351"/>
      <c r="BR29" s="351"/>
      <c r="BS29" s="351"/>
      <c r="BT29" s="351"/>
      <c r="BU29" s="351"/>
      <c r="BV29" s="351"/>
      <c r="BW29" s="351"/>
      <c r="BX29" s="351"/>
      <c r="BY29" s="351"/>
      <c r="BZ29" s="351"/>
      <c r="CA29" s="351"/>
      <c r="CB29" s="351"/>
      <c r="CC29" s="351"/>
      <c r="CD29" s="351"/>
      <c r="CE29" s="351"/>
      <c r="CF29" s="351"/>
      <c r="CG29" s="351"/>
      <c r="CH29" s="351"/>
      <c r="CI29" s="351"/>
      <c r="CJ29" s="351"/>
      <c r="CK29" s="351"/>
      <c r="CL29" s="351"/>
      <c r="CM29" s="351"/>
      <c r="CN29" s="351"/>
      <c r="CO29" s="351"/>
      <c r="CP29" s="351"/>
      <c r="CQ29" s="351"/>
      <c r="CR29" s="351"/>
      <c r="CS29" s="351"/>
      <c r="CT29" s="351"/>
      <c r="CU29" s="351"/>
      <c r="CV29" s="351"/>
      <c r="CW29" s="351"/>
      <c r="CX29" s="351"/>
      <c r="CY29" s="351"/>
      <c r="CZ29" s="351"/>
      <c r="DA29" s="351"/>
      <c r="DB29" s="351"/>
      <c r="DC29" s="351"/>
      <c r="DD29" s="351"/>
      <c r="DE29" s="7"/>
    </row>
    <row r="30" spans="1:133" ht="15" customHeight="1">
      <c r="A30" s="6"/>
      <c r="B30" s="385"/>
      <c r="C30" s="386"/>
      <c r="D30" s="386"/>
      <c r="E30" s="386"/>
      <c r="F30" s="386"/>
      <c r="G30" s="386"/>
      <c r="H30" s="387"/>
      <c r="I30" s="351"/>
      <c r="J30" s="351"/>
      <c r="K30" s="351"/>
      <c r="L30" s="351"/>
      <c r="M30" s="351"/>
      <c r="N30" s="351"/>
      <c r="O30" s="351"/>
      <c r="P30" s="457"/>
      <c r="Q30" s="457"/>
      <c r="R30" s="457"/>
      <c r="S30" s="457"/>
      <c r="T30" s="457"/>
      <c r="U30" s="457"/>
      <c r="V30" s="457"/>
      <c r="W30" s="411"/>
      <c r="X30" s="412"/>
      <c r="Y30" s="412"/>
      <c r="Z30" s="412"/>
      <c r="AA30" s="412"/>
      <c r="AB30" s="412"/>
      <c r="AC30" s="413"/>
      <c r="AD30" s="411"/>
      <c r="AE30" s="412"/>
      <c r="AF30" s="412"/>
      <c r="AG30" s="412"/>
      <c r="AH30" s="412"/>
      <c r="AI30" s="412"/>
      <c r="AJ30" s="413"/>
      <c r="AK30" s="411"/>
      <c r="AL30" s="412"/>
      <c r="AM30" s="412"/>
      <c r="AN30" s="412"/>
      <c r="AO30" s="412"/>
      <c r="AP30" s="412"/>
      <c r="AQ30" s="413"/>
      <c r="AR30" s="411"/>
      <c r="AS30" s="412"/>
      <c r="AT30" s="412"/>
      <c r="AU30" s="412"/>
      <c r="AV30" s="412"/>
      <c r="AW30" s="412"/>
      <c r="AX30" s="413"/>
      <c r="AY30" s="411"/>
      <c r="AZ30" s="412"/>
      <c r="BA30" s="412"/>
      <c r="BB30" s="412"/>
      <c r="BC30" s="412"/>
      <c r="BD30" s="412"/>
      <c r="BE30" s="413"/>
      <c r="BF30" s="411"/>
      <c r="BG30" s="412"/>
      <c r="BH30" s="412"/>
      <c r="BI30" s="412"/>
      <c r="BJ30" s="412"/>
      <c r="BK30" s="412"/>
      <c r="BL30" s="413"/>
      <c r="BM30" s="351"/>
      <c r="BN30" s="351"/>
      <c r="BO30" s="351"/>
      <c r="BP30" s="351"/>
      <c r="BQ30" s="351"/>
      <c r="BR30" s="351"/>
      <c r="BS30" s="351"/>
      <c r="BT30" s="351"/>
      <c r="BU30" s="351"/>
      <c r="BV30" s="351"/>
      <c r="BW30" s="351"/>
      <c r="BX30" s="351"/>
      <c r="BY30" s="351"/>
      <c r="BZ30" s="351"/>
      <c r="CA30" s="351"/>
      <c r="CB30" s="351"/>
      <c r="CC30" s="351"/>
      <c r="CD30" s="351"/>
      <c r="CE30" s="351"/>
      <c r="CF30" s="351"/>
      <c r="CG30" s="351"/>
      <c r="CH30" s="351"/>
      <c r="CI30" s="351"/>
      <c r="CJ30" s="351"/>
      <c r="CK30" s="351"/>
      <c r="CL30" s="351"/>
      <c r="CM30" s="351"/>
      <c r="CN30" s="351"/>
      <c r="CO30" s="351"/>
      <c r="CP30" s="351"/>
      <c r="CQ30" s="351"/>
      <c r="CR30" s="351"/>
      <c r="CS30" s="351"/>
      <c r="CT30" s="351"/>
      <c r="CU30" s="351"/>
      <c r="CV30" s="351"/>
      <c r="CW30" s="351"/>
      <c r="CX30" s="351"/>
      <c r="CY30" s="351"/>
      <c r="CZ30" s="351"/>
      <c r="DA30" s="351"/>
      <c r="DB30" s="351"/>
      <c r="DC30" s="351"/>
      <c r="DD30" s="351"/>
      <c r="DE30" s="7"/>
    </row>
    <row r="31" spans="1:133" ht="15" customHeight="1">
      <c r="A31" s="3"/>
      <c r="B31" s="353"/>
      <c r="C31" s="354"/>
      <c r="D31" s="354"/>
      <c r="E31" s="354"/>
      <c r="F31" s="354"/>
      <c r="G31" s="354"/>
      <c r="H31" s="355"/>
      <c r="I31" s="352"/>
      <c r="J31" s="352"/>
      <c r="K31" s="352"/>
      <c r="L31" s="352"/>
      <c r="M31" s="352"/>
      <c r="N31" s="352"/>
      <c r="O31" s="352"/>
      <c r="P31" s="458"/>
      <c r="Q31" s="458"/>
      <c r="R31" s="458"/>
      <c r="S31" s="458"/>
      <c r="T31" s="458"/>
      <c r="U31" s="458"/>
      <c r="V31" s="458"/>
      <c r="W31" s="395"/>
      <c r="X31" s="396"/>
      <c r="Y31" s="396"/>
      <c r="Z31" s="396"/>
      <c r="AA31" s="396"/>
      <c r="AB31" s="396"/>
      <c r="AC31" s="397"/>
      <c r="AD31" s="395"/>
      <c r="AE31" s="396"/>
      <c r="AF31" s="396"/>
      <c r="AG31" s="396"/>
      <c r="AH31" s="396"/>
      <c r="AI31" s="396"/>
      <c r="AJ31" s="397"/>
      <c r="AK31" s="395"/>
      <c r="AL31" s="396"/>
      <c r="AM31" s="396"/>
      <c r="AN31" s="396"/>
      <c r="AO31" s="396"/>
      <c r="AP31" s="396"/>
      <c r="AQ31" s="397"/>
      <c r="AR31" s="395"/>
      <c r="AS31" s="396"/>
      <c r="AT31" s="396"/>
      <c r="AU31" s="396"/>
      <c r="AV31" s="396"/>
      <c r="AW31" s="396"/>
      <c r="AX31" s="397"/>
      <c r="AY31" s="395"/>
      <c r="AZ31" s="396"/>
      <c r="BA31" s="396"/>
      <c r="BB31" s="396"/>
      <c r="BC31" s="396"/>
      <c r="BD31" s="396"/>
      <c r="BE31" s="397"/>
      <c r="BF31" s="395"/>
      <c r="BG31" s="396"/>
      <c r="BH31" s="396"/>
      <c r="BI31" s="396"/>
      <c r="BJ31" s="396"/>
      <c r="BK31" s="396"/>
      <c r="BL31" s="397"/>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c r="CQ31" s="352"/>
      <c r="CR31" s="352"/>
      <c r="CS31" s="352"/>
      <c r="CT31" s="352"/>
      <c r="CU31" s="352"/>
      <c r="CV31" s="352"/>
      <c r="CW31" s="352"/>
      <c r="CX31" s="352"/>
      <c r="CY31" s="352"/>
      <c r="CZ31" s="352"/>
      <c r="DA31" s="352"/>
      <c r="DB31" s="352"/>
      <c r="DC31" s="352"/>
      <c r="DD31" s="352"/>
      <c r="DE31" s="7"/>
    </row>
    <row r="32" spans="1:133" ht="15" customHeight="1">
      <c r="A32" s="6"/>
      <c r="B32" s="356"/>
      <c r="C32" s="357"/>
      <c r="D32" s="357"/>
      <c r="E32" s="357"/>
      <c r="F32" s="357"/>
      <c r="G32" s="357"/>
      <c r="H32" s="358"/>
      <c r="I32" s="352"/>
      <c r="J32" s="352"/>
      <c r="K32" s="352"/>
      <c r="L32" s="352"/>
      <c r="M32" s="352"/>
      <c r="N32" s="352"/>
      <c r="O32" s="352"/>
      <c r="P32" s="458"/>
      <c r="Q32" s="458"/>
      <c r="R32" s="458"/>
      <c r="S32" s="458"/>
      <c r="T32" s="458"/>
      <c r="U32" s="458"/>
      <c r="V32" s="458"/>
      <c r="W32" s="398"/>
      <c r="X32" s="399"/>
      <c r="Y32" s="399"/>
      <c r="Z32" s="399"/>
      <c r="AA32" s="399"/>
      <c r="AB32" s="399"/>
      <c r="AC32" s="400"/>
      <c r="AD32" s="398"/>
      <c r="AE32" s="399"/>
      <c r="AF32" s="399"/>
      <c r="AG32" s="399"/>
      <c r="AH32" s="399"/>
      <c r="AI32" s="399"/>
      <c r="AJ32" s="400"/>
      <c r="AK32" s="398"/>
      <c r="AL32" s="399"/>
      <c r="AM32" s="399"/>
      <c r="AN32" s="399"/>
      <c r="AO32" s="399"/>
      <c r="AP32" s="399"/>
      <c r="AQ32" s="400"/>
      <c r="AR32" s="398"/>
      <c r="AS32" s="399"/>
      <c r="AT32" s="399"/>
      <c r="AU32" s="399"/>
      <c r="AV32" s="399"/>
      <c r="AW32" s="399"/>
      <c r="AX32" s="400"/>
      <c r="AY32" s="398"/>
      <c r="AZ32" s="399"/>
      <c r="BA32" s="399"/>
      <c r="BB32" s="399"/>
      <c r="BC32" s="399"/>
      <c r="BD32" s="399"/>
      <c r="BE32" s="400"/>
      <c r="BF32" s="398"/>
      <c r="BG32" s="399"/>
      <c r="BH32" s="399"/>
      <c r="BI32" s="399"/>
      <c r="BJ32" s="399"/>
      <c r="BK32" s="399"/>
      <c r="BL32" s="400"/>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c r="CQ32" s="352"/>
      <c r="CR32" s="352"/>
      <c r="CS32" s="352"/>
      <c r="CT32" s="352"/>
      <c r="CU32" s="352"/>
      <c r="CV32" s="352"/>
      <c r="CW32" s="352"/>
      <c r="CX32" s="352"/>
      <c r="CY32" s="352"/>
      <c r="CZ32" s="352"/>
      <c r="DA32" s="352"/>
      <c r="DB32" s="352"/>
      <c r="DC32" s="352"/>
      <c r="DD32" s="352"/>
      <c r="DE32" s="7"/>
    </row>
    <row r="33" spans="1:109" ht="12.75">
      <c r="A33" s="6"/>
      <c r="B33" s="382"/>
      <c r="C33" s="383"/>
      <c r="D33" s="383"/>
      <c r="E33" s="383"/>
      <c r="F33" s="383"/>
      <c r="G33" s="383"/>
      <c r="H33" s="384"/>
      <c r="I33" s="351"/>
      <c r="J33" s="351"/>
      <c r="K33" s="351"/>
      <c r="L33" s="351"/>
      <c r="M33" s="351"/>
      <c r="N33" s="351"/>
      <c r="O33" s="351"/>
      <c r="P33" s="457"/>
      <c r="Q33" s="457"/>
      <c r="R33" s="457"/>
      <c r="S33" s="457"/>
      <c r="T33" s="457"/>
      <c r="U33" s="457"/>
      <c r="V33" s="457"/>
      <c r="W33" s="408"/>
      <c r="X33" s="409"/>
      <c r="Y33" s="409"/>
      <c r="Z33" s="409"/>
      <c r="AA33" s="409"/>
      <c r="AB33" s="409"/>
      <c r="AC33" s="410"/>
      <c r="AD33" s="408"/>
      <c r="AE33" s="409"/>
      <c r="AF33" s="409"/>
      <c r="AG33" s="409"/>
      <c r="AH33" s="409"/>
      <c r="AI33" s="409"/>
      <c r="AJ33" s="410"/>
      <c r="AK33" s="408"/>
      <c r="AL33" s="409"/>
      <c r="AM33" s="409"/>
      <c r="AN33" s="409"/>
      <c r="AO33" s="409"/>
      <c r="AP33" s="409"/>
      <c r="AQ33" s="410"/>
      <c r="AR33" s="408"/>
      <c r="AS33" s="409"/>
      <c r="AT33" s="409"/>
      <c r="AU33" s="409"/>
      <c r="AV33" s="409"/>
      <c r="AW33" s="409"/>
      <c r="AX33" s="410"/>
      <c r="AY33" s="408"/>
      <c r="AZ33" s="409"/>
      <c r="BA33" s="409"/>
      <c r="BB33" s="409"/>
      <c r="BC33" s="409"/>
      <c r="BD33" s="409"/>
      <c r="BE33" s="410"/>
      <c r="BF33" s="408"/>
      <c r="BG33" s="409"/>
      <c r="BH33" s="409"/>
      <c r="BI33" s="409"/>
      <c r="BJ33" s="409"/>
      <c r="BK33" s="409"/>
      <c r="BL33" s="410"/>
      <c r="BM33" s="351"/>
      <c r="BN33" s="351"/>
      <c r="BO33" s="351"/>
      <c r="BP33" s="351"/>
      <c r="BQ33" s="351"/>
      <c r="BR33" s="351"/>
      <c r="BS33" s="351"/>
      <c r="BT33" s="351"/>
      <c r="BU33" s="351"/>
      <c r="BV33" s="351"/>
      <c r="BW33" s="351"/>
      <c r="BX33" s="351"/>
      <c r="BY33" s="351"/>
      <c r="BZ33" s="351"/>
      <c r="CA33" s="351"/>
      <c r="CB33" s="351"/>
      <c r="CC33" s="351"/>
      <c r="CD33" s="351"/>
      <c r="CE33" s="351"/>
      <c r="CF33" s="351"/>
      <c r="CG33" s="351"/>
      <c r="CH33" s="351"/>
      <c r="CI33" s="351"/>
      <c r="CJ33" s="351"/>
      <c r="CK33" s="351"/>
      <c r="CL33" s="351"/>
      <c r="CM33" s="351"/>
      <c r="CN33" s="351"/>
      <c r="CO33" s="351"/>
      <c r="CP33" s="351"/>
      <c r="CQ33" s="351"/>
      <c r="CR33" s="351"/>
      <c r="CS33" s="351"/>
      <c r="CT33" s="351"/>
      <c r="CU33" s="351"/>
      <c r="CV33" s="351"/>
      <c r="CW33" s="351"/>
      <c r="CX33" s="351"/>
      <c r="CY33" s="351"/>
      <c r="CZ33" s="351"/>
      <c r="DA33" s="351"/>
      <c r="DB33" s="351"/>
      <c r="DC33" s="351"/>
      <c r="DD33" s="351"/>
      <c r="DE33" s="7"/>
    </row>
    <row r="34" spans="1:109" ht="15" customHeight="1">
      <c r="A34" s="3"/>
      <c r="B34" s="385"/>
      <c r="C34" s="386"/>
      <c r="D34" s="386"/>
      <c r="E34" s="386"/>
      <c r="F34" s="386"/>
      <c r="G34" s="386"/>
      <c r="H34" s="387"/>
      <c r="I34" s="351"/>
      <c r="J34" s="351"/>
      <c r="K34" s="351"/>
      <c r="L34" s="351"/>
      <c r="M34" s="351"/>
      <c r="N34" s="351"/>
      <c r="O34" s="351"/>
      <c r="P34" s="457"/>
      <c r="Q34" s="457"/>
      <c r="R34" s="457"/>
      <c r="S34" s="457"/>
      <c r="T34" s="457"/>
      <c r="U34" s="457"/>
      <c r="V34" s="457"/>
      <c r="W34" s="411"/>
      <c r="X34" s="412"/>
      <c r="Y34" s="412"/>
      <c r="Z34" s="412"/>
      <c r="AA34" s="412"/>
      <c r="AB34" s="412"/>
      <c r="AC34" s="413"/>
      <c r="AD34" s="411"/>
      <c r="AE34" s="412"/>
      <c r="AF34" s="412"/>
      <c r="AG34" s="412"/>
      <c r="AH34" s="412"/>
      <c r="AI34" s="412"/>
      <c r="AJ34" s="413"/>
      <c r="AK34" s="411"/>
      <c r="AL34" s="412"/>
      <c r="AM34" s="412"/>
      <c r="AN34" s="412"/>
      <c r="AO34" s="412"/>
      <c r="AP34" s="412"/>
      <c r="AQ34" s="413"/>
      <c r="AR34" s="411"/>
      <c r="AS34" s="412"/>
      <c r="AT34" s="412"/>
      <c r="AU34" s="412"/>
      <c r="AV34" s="412"/>
      <c r="AW34" s="412"/>
      <c r="AX34" s="413"/>
      <c r="AY34" s="411"/>
      <c r="AZ34" s="412"/>
      <c r="BA34" s="412"/>
      <c r="BB34" s="412"/>
      <c r="BC34" s="412"/>
      <c r="BD34" s="412"/>
      <c r="BE34" s="413"/>
      <c r="BF34" s="411"/>
      <c r="BG34" s="412"/>
      <c r="BH34" s="412"/>
      <c r="BI34" s="412"/>
      <c r="BJ34" s="412"/>
      <c r="BK34" s="412"/>
      <c r="BL34" s="413"/>
      <c r="BM34" s="351"/>
      <c r="BN34" s="351"/>
      <c r="BO34" s="351"/>
      <c r="BP34" s="351"/>
      <c r="BQ34" s="351"/>
      <c r="BR34" s="351"/>
      <c r="BS34" s="351"/>
      <c r="BT34" s="351"/>
      <c r="BU34" s="351"/>
      <c r="BV34" s="351"/>
      <c r="BW34" s="351"/>
      <c r="BX34" s="351"/>
      <c r="BY34" s="351"/>
      <c r="BZ34" s="351"/>
      <c r="CA34" s="351"/>
      <c r="CB34" s="351"/>
      <c r="CC34" s="351"/>
      <c r="CD34" s="351"/>
      <c r="CE34" s="351"/>
      <c r="CF34" s="351"/>
      <c r="CG34" s="351"/>
      <c r="CH34" s="351"/>
      <c r="CI34" s="351"/>
      <c r="CJ34" s="351"/>
      <c r="CK34" s="351"/>
      <c r="CL34" s="351"/>
      <c r="CM34" s="351"/>
      <c r="CN34" s="351"/>
      <c r="CO34" s="351"/>
      <c r="CP34" s="351"/>
      <c r="CQ34" s="351"/>
      <c r="CR34" s="351"/>
      <c r="CS34" s="351"/>
      <c r="CT34" s="351"/>
      <c r="CU34" s="351"/>
      <c r="CV34" s="351"/>
      <c r="CW34" s="351"/>
      <c r="CX34" s="351"/>
      <c r="CY34" s="351"/>
      <c r="CZ34" s="351"/>
      <c r="DA34" s="351"/>
      <c r="DB34" s="351"/>
      <c r="DC34" s="351"/>
      <c r="DD34" s="351"/>
      <c r="DE34" s="7"/>
    </row>
    <row r="35" spans="1:109" ht="15" customHeight="1">
      <c r="A35" s="6"/>
      <c r="B35" s="353"/>
      <c r="C35" s="354"/>
      <c r="D35" s="354"/>
      <c r="E35" s="354"/>
      <c r="F35" s="354"/>
      <c r="G35" s="354"/>
      <c r="H35" s="355"/>
      <c r="I35" s="352"/>
      <c r="J35" s="352"/>
      <c r="K35" s="352"/>
      <c r="L35" s="352"/>
      <c r="M35" s="352"/>
      <c r="N35" s="352"/>
      <c r="O35" s="352"/>
      <c r="P35" s="458"/>
      <c r="Q35" s="458"/>
      <c r="R35" s="458"/>
      <c r="S35" s="458"/>
      <c r="T35" s="458"/>
      <c r="U35" s="458"/>
      <c r="V35" s="458"/>
      <c r="W35" s="395"/>
      <c r="X35" s="396"/>
      <c r="Y35" s="396"/>
      <c r="Z35" s="396"/>
      <c r="AA35" s="396"/>
      <c r="AB35" s="396"/>
      <c r="AC35" s="397"/>
      <c r="AD35" s="395"/>
      <c r="AE35" s="396"/>
      <c r="AF35" s="396"/>
      <c r="AG35" s="396"/>
      <c r="AH35" s="396"/>
      <c r="AI35" s="396"/>
      <c r="AJ35" s="397"/>
      <c r="AK35" s="395"/>
      <c r="AL35" s="396"/>
      <c r="AM35" s="396"/>
      <c r="AN35" s="396"/>
      <c r="AO35" s="396"/>
      <c r="AP35" s="396"/>
      <c r="AQ35" s="397"/>
      <c r="AR35" s="395"/>
      <c r="AS35" s="396"/>
      <c r="AT35" s="396"/>
      <c r="AU35" s="396"/>
      <c r="AV35" s="396"/>
      <c r="AW35" s="396"/>
      <c r="AX35" s="397"/>
      <c r="AY35" s="395"/>
      <c r="AZ35" s="396"/>
      <c r="BA35" s="396"/>
      <c r="BB35" s="396"/>
      <c r="BC35" s="396"/>
      <c r="BD35" s="396"/>
      <c r="BE35" s="397"/>
      <c r="BF35" s="395"/>
      <c r="BG35" s="396"/>
      <c r="BH35" s="396"/>
      <c r="BI35" s="396"/>
      <c r="BJ35" s="396"/>
      <c r="BK35" s="396"/>
      <c r="BL35" s="397"/>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c r="CQ35" s="352"/>
      <c r="CR35" s="352"/>
      <c r="CS35" s="352"/>
      <c r="CT35" s="352"/>
      <c r="CU35" s="352"/>
      <c r="CV35" s="352"/>
      <c r="CW35" s="352"/>
      <c r="CX35" s="352"/>
      <c r="CY35" s="352"/>
      <c r="CZ35" s="352"/>
      <c r="DA35" s="352"/>
      <c r="DB35" s="352"/>
      <c r="DC35" s="352"/>
      <c r="DD35" s="352"/>
      <c r="DE35" s="7"/>
    </row>
    <row r="36" spans="1:109" ht="15" customHeight="1">
      <c r="A36" s="8"/>
      <c r="B36" s="356"/>
      <c r="C36" s="357"/>
      <c r="D36" s="357"/>
      <c r="E36" s="357"/>
      <c r="F36" s="357"/>
      <c r="G36" s="357"/>
      <c r="H36" s="358"/>
      <c r="I36" s="352"/>
      <c r="J36" s="352"/>
      <c r="K36" s="352"/>
      <c r="L36" s="352"/>
      <c r="M36" s="352"/>
      <c r="N36" s="352"/>
      <c r="O36" s="352"/>
      <c r="P36" s="458"/>
      <c r="Q36" s="458"/>
      <c r="R36" s="458"/>
      <c r="S36" s="458"/>
      <c r="T36" s="458"/>
      <c r="U36" s="458"/>
      <c r="V36" s="458"/>
      <c r="W36" s="398"/>
      <c r="X36" s="399"/>
      <c r="Y36" s="399"/>
      <c r="Z36" s="399"/>
      <c r="AA36" s="399"/>
      <c r="AB36" s="399"/>
      <c r="AC36" s="400"/>
      <c r="AD36" s="398"/>
      <c r="AE36" s="399"/>
      <c r="AF36" s="399"/>
      <c r="AG36" s="399"/>
      <c r="AH36" s="399"/>
      <c r="AI36" s="399"/>
      <c r="AJ36" s="400"/>
      <c r="AK36" s="398"/>
      <c r="AL36" s="399"/>
      <c r="AM36" s="399"/>
      <c r="AN36" s="399"/>
      <c r="AO36" s="399"/>
      <c r="AP36" s="399"/>
      <c r="AQ36" s="400"/>
      <c r="AR36" s="398"/>
      <c r="AS36" s="399"/>
      <c r="AT36" s="399"/>
      <c r="AU36" s="399"/>
      <c r="AV36" s="399"/>
      <c r="AW36" s="399"/>
      <c r="AX36" s="400"/>
      <c r="AY36" s="398"/>
      <c r="AZ36" s="399"/>
      <c r="BA36" s="399"/>
      <c r="BB36" s="399"/>
      <c r="BC36" s="399"/>
      <c r="BD36" s="399"/>
      <c r="BE36" s="400"/>
      <c r="BF36" s="398"/>
      <c r="BG36" s="399"/>
      <c r="BH36" s="399"/>
      <c r="BI36" s="399"/>
      <c r="BJ36" s="399"/>
      <c r="BK36" s="399"/>
      <c r="BL36" s="400"/>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c r="CQ36" s="352"/>
      <c r="CR36" s="352"/>
      <c r="CS36" s="352"/>
      <c r="CT36" s="352"/>
      <c r="CU36" s="352"/>
      <c r="CV36" s="352"/>
      <c r="CW36" s="352"/>
      <c r="CX36" s="352"/>
      <c r="CY36" s="352"/>
      <c r="CZ36" s="352"/>
      <c r="DA36" s="352"/>
      <c r="DB36" s="352"/>
      <c r="DC36" s="352"/>
      <c r="DD36" s="352"/>
      <c r="DE36" s="7"/>
    </row>
    <row r="37" spans="1:109" ht="15" customHeight="1">
      <c r="A37" s="8"/>
      <c r="B37" s="382"/>
      <c r="C37" s="383"/>
      <c r="D37" s="383"/>
      <c r="E37" s="383"/>
      <c r="F37" s="383"/>
      <c r="G37" s="383"/>
      <c r="H37" s="384"/>
      <c r="I37" s="351"/>
      <c r="J37" s="351"/>
      <c r="K37" s="351"/>
      <c r="L37" s="351"/>
      <c r="M37" s="351"/>
      <c r="N37" s="351"/>
      <c r="O37" s="351"/>
      <c r="P37" s="457"/>
      <c r="Q37" s="457"/>
      <c r="R37" s="457"/>
      <c r="S37" s="457"/>
      <c r="T37" s="457"/>
      <c r="U37" s="457"/>
      <c r="V37" s="457"/>
      <c r="W37" s="408"/>
      <c r="X37" s="409"/>
      <c r="Y37" s="409"/>
      <c r="Z37" s="409"/>
      <c r="AA37" s="409"/>
      <c r="AB37" s="409"/>
      <c r="AC37" s="410"/>
      <c r="AD37" s="408"/>
      <c r="AE37" s="409"/>
      <c r="AF37" s="409"/>
      <c r="AG37" s="409"/>
      <c r="AH37" s="409"/>
      <c r="AI37" s="409"/>
      <c r="AJ37" s="410"/>
      <c r="AK37" s="408"/>
      <c r="AL37" s="409"/>
      <c r="AM37" s="409"/>
      <c r="AN37" s="409"/>
      <c r="AO37" s="409"/>
      <c r="AP37" s="409"/>
      <c r="AQ37" s="410"/>
      <c r="AR37" s="408"/>
      <c r="AS37" s="409"/>
      <c r="AT37" s="409"/>
      <c r="AU37" s="409"/>
      <c r="AV37" s="409"/>
      <c r="AW37" s="409"/>
      <c r="AX37" s="410"/>
      <c r="AY37" s="408"/>
      <c r="AZ37" s="409"/>
      <c r="BA37" s="409"/>
      <c r="BB37" s="409"/>
      <c r="BC37" s="409"/>
      <c r="BD37" s="409"/>
      <c r="BE37" s="410"/>
      <c r="BF37" s="408"/>
      <c r="BG37" s="409"/>
      <c r="BH37" s="409"/>
      <c r="BI37" s="409"/>
      <c r="BJ37" s="409"/>
      <c r="BK37" s="409"/>
      <c r="BL37" s="410"/>
      <c r="BM37" s="382"/>
      <c r="BN37" s="383"/>
      <c r="BO37" s="383"/>
      <c r="BP37" s="383"/>
      <c r="BQ37" s="383"/>
      <c r="BR37" s="383"/>
      <c r="BS37" s="383"/>
      <c r="BT37" s="383"/>
      <c r="BU37" s="383"/>
      <c r="BV37" s="383"/>
      <c r="BW37" s="383"/>
      <c r="BX37" s="383"/>
      <c r="BY37" s="383"/>
      <c r="BZ37" s="383"/>
      <c r="CA37" s="383"/>
      <c r="CB37" s="383"/>
      <c r="CC37" s="383"/>
      <c r="CD37" s="383"/>
      <c r="CE37" s="383"/>
      <c r="CF37" s="383"/>
      <c r="CG37" s="383"/>
      <c r="CH37" s="383"/>
      <c r="CI37" s="383"/>
      <c r="CJ37" s="383"/>
      <c r="CK37" s="383"/>
      <c r="CL37" s="384"/>
      <c r="CM37" s="351"/>
      <c r="CN37" s="351"/>
      <c r="CO37" s="351"/>
      <c r="CP37" s="351"/>
      <c r="CQ37" s="351"/>
      <c r="CR37" s="351"/>
      <c r="CS37" s="351"/>
      <c r="CT37" s="351"/>
      <c r="CU37" s="351"/>
      <c r="CV37" s="351"/>
      <c r="CW37" s="351"/>
      <c r="CX37" s="351"/>
      <c r="CY37" s="351"/>
      <c r="CZ37" s="351"/>
      <c r="DA37" s="351"/>
      <c r="DB37" s="351"/>
      <c r="DC37" s="351"/>
      <c r="DD37" s="351"/>
      <c r="DE37" s="7"/>
    </row>
    <row r="38" spans="1:109" ht="15" customHeight="1">
      <c r="A38" s="3"/>
      <c r="B38" s="385"/>
      <c r="C38" s="386"/>
      <c r="D38" s="386"/>
      <c r="E38" s="386"/>
      <c r="F38" s="386"/>
      <c r="G38" s="386"/>
      <c r="H38" s="387"/>
      <c r="I38" s="351"/>
      <c r="J38" s="351"/>
      <c r="K38" s="351"/>
      <c r="L38" s="351"/>
      <c r="M38" s="351"/>
      <c r="N38" s="351"/>
      <c r="O38" s="351"/>
      <c r="P38" s="457"/>
      <c r="Q38" s="457"/>
      <c r="R38" s="457"/>
      <c r="S38" s="457"/>
      <c r="T38" s="457"/>
      <c r="U38" s="457"/>
      <c r="V38" s="457"/>
      <c r="W38" s="411"/>
      <c r="X38" s="412"/>
      <c r="Y38" s="412"/>
      <c r="Z38" s="412"/>
      <c r="AA38" s="412"/>
      <c r="AB38" s="412"/>
      <c r="AC38" s="413"/>
      <c r="AD38" s="411"/>
      <c r="AE38" s="412"/>
      <c r="AF38" s="412"/>
      <c r="AG38" s="412"/>
      <c r="AH38" s="412"/>
      <c r="AI38" s="412"/>
      <c r="AJ38" s="413"/>
      <c r="AK38" s="411"/>
      <c r="AL38" s="412"/>
      <c r="AM38" s="412"/>
      <c r="AN38" s="412"/>
      <c r="AO38" s="412"/>
      <c r="AP38" s="412"/>
      <c r="AQ38" s="413"/>
      <c r="AR38" s="411"/>
      <c r="AS38" s="412"/>
      <c r="AT38" s="412"/>
      <c r="AU38" s="412"/>
      <c r="AV38" s="412"/>
      <c r="AW38" s="412"/>
      <c r="AX38" s="413"/>
      <c r="AY38" s="411"/>
      <c r="AZ38" s="412"/>
      <c r="BA38" s="412"/>
      <c r="BB38" s="412"/>
      <c r="BC38" s="412"/>
      <c r="BD38" s="412"/>
      <c r="BE38" s="413"/>
      <c r="BF38" s="411"/>
      <c r="BG38" s="412"/>
      <c r="BH38" s="412"/>
      <c r="BI38" s="412"/>
      <c r="BJ38" s="412"/>
      <c r="BK38" s="412"/>
      <c r="BL38" s="413"/>
      <c r="BM38" s="385"/>
      <c r="BN38" s="386"/>
      <c r="BO38" s="386"/>
      <c r="BP38" s="386"/>
      <c r="BQ38" s="386"/>
      <c r="BR38" s="386"/>
      <c r="BS38" s="386"/>
      <c r="BT38" s="386"/>
      <c r="BU38" s="386"/>
      <c r="BV38" s="386"/>
      <c r="BW38" s="386"/>
      <c r="BX38" s="386"/>
      <c r="BY38" s="386"/>
      <c r="BZ38" s="386"/>
      <c r="CA38" s="386"/>
      <c r="CB38" s="386"/>
      <c r="CC38" s="386"/>
      <c r="CD38" s="386"/>
      <c r="CE38" s="386"/>
      <c r="CF38" s="386"/>
      <c r="CG38" s="386"/>
      <c r="CH38" s="386"/>
      <c r="CI38" s="386"/>
      <c r="CJ38" s="386"/>
      <c r="CK38" s="386"/>
      <c r="CL38" s="387"/>
      <c r="CM38" s="351"/>
      <c r="CN38" s="351"/>
      <c r="CO38" s="351"/>
      <c r="CP38" s="351"/>
      <c r="CQ38" s="351"/>
      <c r="CR38" s="351"/>
      <c r="CS38" s="351"/>
      <c r="CT38" s="351"/>
      <c r="CU38" s="351"/>
      <c r="CV38" s="351"/>
      <c r="CW38" s="351"/>
      <c r="CX38" s="351"/>
      <c r="CY38" s="351"/>
      <c r="CZ38" s="351"/>
      <c r="DA38" s="351"/>
      <c r="DB38" s="351"/>
      <c r="DC38" s="351"/>
      <c r="DD38" s="351"/>
      <c r="DE38" s="7"/>
    </row>
    <row r="39" spans="1:109" ht="15" customHeight="1">
      <c r="A39" s="3"/>
      <c r="B39" s="353"/>
      <c r="C39" s="354"/>
      <c r="D39" s="354"/>
      <c r="E39" s="354"/>
      <c r="F39" s="354"/>
      <c r="G39" s="354"/>
      <c r="H39" s="355"/>
      <c r="I39" s="352"/>
      <c r="J39" s="352"/>
      <c r="K39" s="352"/>
      <c r="L39" s="352"/>
      <c r="M39" s="352"/>
      <c r="N39" s="352"/>
      <c r="O39" s="352"/>
      <c r="P39" s="458"/>
      <c r="Q39" s="458"/>
      <c r="R39" s="458"/>
      <c r="S39" s="458"/>
      <c r="T39" s="458"/>
      <c r="U39" s="458"/>
      <c r="V39" s="458"/>
      <c r="W39" s="395"/>
      <c r="X39" s="396"/>
      <c r="Y39" s="396"/>
      <c r="Z39" s="396"/>
      <c r="AA39" s="396"/>
      <c r="AB39" s="396"/>
      <c r="AC39" s="397"/>
      <c r="AD39" s="395"/>
      <c r="AE39" s="396"/>
      <c r="AF39" s="396"/>
      <c r="AG39" s="396"/>
      <c r="AH39" s="396"/>
      <c r="AI39" s="396"/>
      <c r="AJ39" s="397"/>
      <c r="AK39" s="395"/>
      <c r="AL39" s="396"/>
      <c r="AM39" s="396"/>
      <c r="AN39" s="396"/>
      <c r="AO39" s="396"/>
      <c r="AP39" s="396"/>
      <c r="AQ39" s="397"/>
      <c r="AR39" s="395"/>
      <c r="AS39" s="396"/>
      <c r="AT39" s="396"/>
      <c r="AU39" s="396"/>
      <c r="AV39" s="396"/>
      <c r="AW39" s="396"/>
      <c r="AX39" s="397"/>
      <c r="AY39" s="395"/>
      <c r="AZ39" s="396"/>
      <c r="BA39" s="396"/>
      <c r="BB39" s="396"/>
      <c r="BC39" s="396"/>
      <c r="BD39" s="396"/>
      <c r="BE39" s="397"/>
      <c r="BF39" s="395"/>
      <c r="BG39" s="396"/>
      <c r="BH39" s="396"/>
      <c r="BI39" s="396"/>
      <c r="BJ39" s="396"/>
      <c r="BK39" s="396"/>
      <c r="BL39" s="397"/>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c r="CQ39" s="352"/>
      <c r="CR39" s="352"/>
      <c r="CS39" s="352"/>
      <c r="CT39" s="352"/>
      <c r="CU39" s="352"/>
      <c r="CV39" s="352"/>
      <c r="CW39" s="352"/>
      <c r="CX39" s="352"/>
      <c r="CY39" s="352"/>
      <c r="CZ39" s="352"/>
      <c r="DA39" s="352"/>
      <c r="DB39" s="352"/>
      <c r="DC39" s="352"/>
      <c r="DD39" s="352"/>
      <c r="DE39" s="7"/>
    </row>
    <row r="40" spans="1:109" ht="15" customHeight="1">
      <c r="A40" s="6"/>
      <c r="B40" s="356"/>
      <c r="C40" s="357"/>
      <c r="D40" s="357"/>
      <c r="E40" s="357"/>
      <c r="F40" s="357"/>
      <c r="G40" s="357"/>
      <c r="H40" s="358"/>
      <c r="I40" s="352"/>
      <c r="J40" s="352"/>
      <c r="K40" s="352"/>
      <c r="L40" s="352"/>
      <c r="M40" s="352"/>
      <c r="N40" s="352"/>
      <c r="O40" s="352"/>
      <c r="P40" s="458"/>
      <c r="Q40" s="458"/>
      <c r="R40" s="458"/>
      <c r="S40" s="458"/>
      <c r="T40" s="458"/>
      <c r="U40" s="458"/>
      <c r="V40" s="458"/>
      <c r="W40" s="398"/>
      <c r="X40" s="399"/>
      <c r="Y40" s="399"/>
      <c r="Z40" s="399"/>
      <c r="AA40" s="399"/>
      <c r="AB40" s="399"/>
      <c r="AC40" s="400"/>
      <c r="AD40" s="398"/>
      <c r="AE40" s="399"/>
      <c r="AF40" s="399"/>
      <c r="AG40" s="399"/>
      <c r="AH40" s="399"/>
      <c r="AI40" s="399"/>
      <c r="AJ40" s="400"/>
      <c r="AK40" s="398"/>
      <c r="AL40" s="399"/>
      <c r="AM40" s="399"/>
      <c r="AN40" s="399"/>
      <c r="AO40" s="399"/>
      <c r="AP40" s="399"/>
      <c r="AQ40" s="400"/>
      <c r="AR40" s="398"/>
      <c r="AS40" s="399"/>
      <c r="AT40" s="399"/>
      <c r="AU40" s="399"/>
      <c r="AV40" s="399"/>
      <c r="AW40" s="399"/>
      <c r="AX40" s="400"/>
      <c r="AY40" s="398"/>
      <c r="AZ40" s="399"/>
      <c r="BA40" s="399"/>
      <c r="BB40" s="399"/>
      <c r="BC40" s="399"/>
      <c r="BD40" s="399"/>
      <c r="BE40" s="400"/>
      <c r="BF40" s="398"/>
      <c r="BG40" s="399"/>
      <c r="BH40" s="399"/>
      <c r="BI40" s="399"/>
      <c r="BJ40" s="399"/>
      <c r="BK40" s="399"/>
      <c r="BL40" s="400"/>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c r="CQ40" s="352"/>
      <c r="CR40" s="352"/>
      <c r="CS40" s="352"/>
      <c r="CT40" s="352"/>
      <c r="CU40" s="352"/>
      <c r="CV40" s="352"/>
      <c r="CW40" s="352"/>
      <c r="CX40" s="352"/>
      <c r="CY40" s="352"/>
      <c r="CZ40" s="352"/>
      <c r="DA40" s="352"/>
      <c r="DB40" s="352"/>
      <c r="DC40" s="352"/>
      <c r="DD40" s="352"/>
      <c r="DE40" s="7"/>
    </row>
    <row r="41" spans="1:109" ht="15" customHeight="1">
      <c r="A41" s="8"/>
      <c r="B41" s="382"/>
      <c r="C41" s="383"/>
      <c r="D41" s="383"/>
      <c r="E41" s="383"/>
      <c r="F41" s="383"/>
      <c r="G41" s="383"/>
      <c r="H41" s="384"/>
      <c r="I41" s="351"/>
      <c r="J41" s="351"/>
      <c r="K41" s="351"/>
      <c r="L41" s="351"/>
      <c r="M41" s="351"/>
      <c r="N41" s="351"/>
      <c r="O41" s="351"/>
      <c r="P41" s="457"/>
      <c r="Q41" s="457"/>
      <c r="R41" s="457"/>
      <c r="S41" s="457"/>
      <c r="T41" s="457"/>
      <c r="U41" s="457"/>
      <c r="V41" s="457"/>
      <c r="W41" s="408"/>
      <c r="X41" s="409"/>
      <c r="Y41" s="409"/>
      <c r="Z41" s="409"/>
      <c r="AA41" s="409"/>
      <c r="AB41" s="409"/>
      <c r="AC41" s="410"/>
      <c r="AD41" s="408"/>
      <c r="AE41" s="409"/>
      <c r="AF41" s="409"/>
      <c r="AG41" s="409"/>
      <c r="AH41" s="409"/>
      <c r="AI41" s="409"/>
      <c r="AJ41" s="410"/>
      <c r="AK41" s="408"/>
      <c r="AL41" s="409"/>
      <c r="AM41" s="409"/>
      <c r="AN41" s="409"/>
      <c r="AO41" s="409"/>
      <c r="AP41" s="409"/>
      <c r="AQ41" s="410"/>
      <c r="AR41" s="408"/>
      <c r="AS41" s="409"/>
      <c r="AT41" s="409"/>
      <c r="AU41" s="409"/>
      <c r="AV41" s="409"/>
      <c r="AW41" s="409"/>
      <c r="AX41" s="410"/>
      <c r="AY41" s="408"/>
      <c r="AZ41" s="409"/>
      <c r="BA41" s="409"/>
      <c r="BB41" s="409"/>
      <c r="BC41" s="409"/>
      <c r="BD41" s="409"/>
      <c r="BE41" s="410"/>
      <c r="BF41" s="408"/>
      <c r="BG41" s="409"/>
      <c r="BH41" s="409"/>
      <c r="BI41" s="409"/>
      <c r="BJ41" s="409"/>
      <c r="BK41" s="409"/>
      <c r="BL41" s="410"/>
      <c r="BM41" s="351"/>
      <c r="BN41" s="351"/>
      <c r="BO41" s="351"/>
      <c r="BP41" s="351"/>
      <c r="BQ41" s="351"/>
      <c r="BR41" s="351"/>
      <c r="BS41" s="351"/>
      <c r="BT41" s="351"/>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1"/>
      <c r="CU41" s="351"/>
      <c r="CV41" s="351"/>
      <c r="CW41" s="351"/>
      <c r="CX41" s="351"/>
      <c r="CY41" s="351"/>
      <c r="CZ41" s="351"/>
      <c r="DA41" s="351"/>
      <c r="DB41" s="351"/>
      <c r="DC41" s="351"/>
      <c r="DD41" s="351"/>
      <c r="DE41" s="7"/>
    </row>
    <row r="42" spans="1:109" ht="15" customHeight="1">
      <c r="A42" s="3"/>
      <c r="B42" s="385"/>
      <c r="C42" s="386"/>
      <c r="D42" s="386"/>
      <c r="E42" s="386"/>
      <c r="F42" s="386"/>
      <c r="G42" s="386"/>
      <c r="H42" s="387"/>
      <c r="I42" s="351"/>
      <c r="J42" s="351"/>
      <c r="K42" s="351"/>
      <c r="L42" s="351"/>
      <c r="M42" s="351"/>
      <c r="N42" s="351"/>
      <c r="O42" s="351"/>
      <c r="P42" s="457"/>
      <c r="Q42" s="457"/>
      <c r="R42" s="457"/>
      <c r="S42" s="457"/>
      <c r="T42" s="457"/>
      <c r="U42" s="457"/>
      <c r="V42" s="457"/>
      <c r="W42" s="411"/>
      <c r="X42" s="412"/>
      <c r="Y42" s="412"/>
      <c r="Z42" s="412"/>
      <c r="AA42" s="412"/>
      <c r="AB42" s="412"/>
      <c r="AC42" s="413"/>
      <c r="AD42" s="411"/>
      <c r="AE42" s="412"/>
      <c r="AF42" s="412"/>
      <c r="AG42" s="412"/>
      <c r="AH42" s="412"/>
      <c r="AI42" s="412"/>
      <c r="AJ42" s="413"/>
      <c r="AK42" s="411"/>
      <c r="AL42" s="412"/>
      <c r="AM42" s="412"/>
      <c r="AN42" s="412"/>
      <c r="AO42" s="412"/>
      <c r="AP42" s="412"/>
      <c r="AQ42" s="413"/>
      <c r="AR42" s="411"/>
      <c r="AS42" s="412"/>
      <c r="AT42" s="412"/>
      <c r="AU42" s="412"/>
      <c r="AV42" s="412"/>
      <c r="AW42" s="412"/>
      <c r="AX42" s="413"/>
      <c r="AY42" s="411"/>
      <c r="AZ42" s="412"/>
      <c r="BA42" s="412"/>
      <c r="BB42" s="412"/>
      <c r="BC42" s="412"/>
      <c r="BD42" s="412"/>
      <c r="BE42" s="413"/>
      <c r="BF42" s="411"/>
      <c r="BG42" s="412"/>
      <c r="BH42" s="412"/>
      <c r="BI42" s="412"/>
      <c r="BJ42" s="412"/>
      <c r="BK42" s="412"/>
      <c r="BL42" s="413"/>
      <c r="BM42" s="351"/>
      <c r="BN42" s="351"/>
      <c r="BO42" s="351"/>
      <c r="BP42" s="351"/>
      <c r="BQ42" s="351"/>
      <c r="BR42" s="351"/>
      <c r="BS42" s="351"/>
      <c r="BT42" s="351"/>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1"/>
      <c r="CU42" s="351"/>
      <c r="CV42" s="351"/>
      <c r="CW42" s="351"/>
      <c r="CX42" s="351"/>
      <c r="CY42" s="351"/>
      <c r="CZ42" s="351"/>
      <c r="DA42" s="351"/>
      <c r="DB42" s="351"/>
      <c r="DC42" s="351"/>
      <c r="DD42" s="351"/>
      <c r="DE42" s="7"/>
    </row>
    <row r="43" spans="1:109" ht="15" customHeight="1">
      <c r="A43" s="3"/>
      <c r="B43" s="353"/>
      <c r="C43" s="354"/>
      <c r="D43" s="354"/>
      <c r="E43" s="354"/>
      <c r="F43" s="354"/>
      <c r="G43" s="354"/>
      <c r="H43" s="355"/>
      <c r="I43" s="352"/>
      <c r="J43" s="352"/>
      <c r="K43" s="352"/>
      <c r="L43" s="352"/>
      <c r="M43" s="352"/>
      <c r="N43" s="352"/>
      <c r="O43" s="352"/>
      <c r="P43" s="458"/>
      <c r="Q43" s="458"/>
      <c r="R43" s="458"/>
      <c r="S43" s="458"/>
      <c r="T43" s="458"/>
      <c r="U43" s="458"/>
      <c r="V43" s="458"/>
      <c r="W43" s="395"/>
      <c r="X43" s="396"/>
      <c r="Y43" s="396"/>
      <c r="Z43" s="396"/>
      <c r="AA43" s="396"/>
      <c r="AB43" s="396"/>
      <c r="AC43" s="397"/>
      <c r="AD43" s="395"/>
      <c r="AE43" s="396"/>
      <c r="AF43" s="396"/>
      <c r="AG43" s="396"/>
      <c r="AH43" s="396"/>
      <c r="AI43" s="396"/>
      <c r="AJ43" s="397"/>
      <c r="AK43" s="395"/>
      <c r="AL43" s="396"/>
      <c r="AM43" s="396"/>
      <c r="AN43" s="396"/>
      <c r="AO43" s="396"/>
      <c r="AP43" s="396"/>
      <c r="AQ43" s="397"/>
      <c r="AR43" s="395"/>
      <c r="AS43" s="396"/>
      <c r="AT43" s="396"/>
      <c r="AU43" s="396"/>
      <c r="AV43" s="396"/>
      <c r="AW43" s="396"/>
      <c r="AX43" s="397"/>
      <c r="AY43" s="395"/>
      <c r="AZ43" s="396"/>
      <c r="BA43" s="396"/>
      <c r="BB43" s="396"/>
      <c r="BC43" s="396"/>
      <c r="BD43" s="396"/>
      <c r="BE43" s="397"/>
      <c r="BF43" s="395"/>
      <c r="BG43" s="396"/>
      <c r="BH43" s="396"/>
      <c r="BI43" s="396"/>
      <c r="BJ43" s="396"/>
      <c r="BK43" s="396"/>
      <c r="BL43" s="397"/>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c r="CQ43" s="352"/>
      <c r="CR43" s="352"/>
      <c r="CS43" s="352"/>
      <c r="CT43" s="352"/>
      <c r="CU43" s="352"/>
      <c r="CV43" s="352"/>
      <c r="CW43" s="352"/>
      <c r="CX43" s="352"/>
      <c r="CY43" s="352"/>
      <c r="CZ43" s="352"/>
      <c r="DA43" s="352"/>
      <c r="DB43" s="352"/>
      <c r="DC43" s="352"/>
      <c r="DD43" s="352"/>
      <c r="DE43" s="7"/>
    </row>
    <row r="44" spans="1:109" ht="15" customHeight="1">
      <c r="A44" s="3"/>
      <c r="B44" s="356"/>
      <c r="C44" s="357"/>
      <c r="D44" s="357"/>
      <c r="E44" s="357"/>
      <c r="F44" s="357"/>
      <c r="G44" s="357"/>
      <c r="H44" s="358"/>
      <c r="I44" s="352"/>
      <c r="J44" s="352"/>
      <c r="K44" s="352"/>
      <c r="L44" s="352"/>
      <c r="M44" s="352"/>
      <c r="N44" s="352"/>
      <c r="O44" s="352"/>
      <c r="P44" s="458"/>
      <c r="Q44" s="458"/>
      <c r="R44" s="458"/>
      <c r="S44" s="458"/>
      <c r="T44" s="458"/>
      <c r="U44" s="458"/>
      <c r="V44" s="458"/>
      <c r="W44" s="398"/>
      <c r="X44" s="399"/>
      <c r="Y44" s="399"/>
      <c r="Z44" s="399"/>
      <c r="AA44" s="399"/>
      <c r="AB44" s="399"/>
      <c r="AC44" s="400"/>
      <c r="AD44" s="398"/>
      <c r="AE44" s="399"/>
      <c r="AF44" s="399"/>
      <c r="AG44" s="399"/>
      <c r="AH44" s="399"/>
      <c r="AI44" s="399"/>
      <c r="AJ44" s="400"/>
      <c r="AK44" s="398"/>
      <c r="AL44" s="399"/>
      <c r="AM44" s="399"/>
      <c r="AN44" s="399"/>
      <c r="AO44" s="399"/>
      <c r="AP44" s="399"/>
      <c r="AQ44" s="400"/>
      <c r="AR44" s="398"/>
      <c r="AS44" s="399"/>
      <c r="AT44" s="399"/>
      <c r="AU44" s="399"/>
      <c r="AV44" s="399"/>
      <c r="AW44" s="399"/>
      <c r="AX44" s="400"/>
      <c r="AY44" s="398"/>
      <c r="AZ44" s="399"/>
      <c r="BA44" s="399"/>
      <c r="BB44" s="399"/>
      <c r="BC44" s="399"/>
      <c r="BD44" s="399"/>
      <c r="BE44" s="400"/>
      <c r="BF44" s="398"/>
      <c r="BG44" s="399"/>
      <c r="BH44" s="399"/>
      <c r="BI44" s="399"/>
      <c r="BJ44" s="399"/>
      <c r="BK44" s="399"/>
      <c r="BL44" s="400"/>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c r="CQ44" s="352"/>
      <c r="CR44" s="352"/>
      <c r="CS44" s="352"/>
      <c r="CT44" s="352"/>
      <c r="CU44" s="352"/>
      <c r="CV44" s="352"/>
      <c r="CW44" s="352"/>
      <c r="CX44" s="352"/>
      <c r="CY44" s="352"/>
      <c r="CZ44" s="352"/>
      <c r="DA44" s="352"/>
      <c r="DB44" s="352"/>
      <c r="DC44" s="352"/>
      <c r="DD44" s="352"/>
      <c r="DE44" s="7"/>
    </row>
    <row r="45" spans="1:109" ht="15" customHeight="1">
      <c r="A45" s="6"/>
      <c r="B45" s="382"/>
      <c r="C45" s="383"/>
      <c r="D45" s="383"/>
      <c r="E45" s="383"/>
      <c r="F45" s="383"/>
      <c r="G45" s="383"/>
      <c r="H45" s="384"/>
      <c r="I45" s="351"/>
      <c r="J45" s="351"/>
      <c r="K45" s="351"/>
      <c r="L45" s="351"/>
      <c r="M45" s="351"/>
      <c r="N45" s="351"/>
      <c r="O45" s="351"/>
      <c r="P45" s="457"/>
      <c r="Q45" s="457"/>
      <c r="R45" s="457"/>
      <c r="S45" s="457"/>
      <c r="T45" s="457"/>
      <c r="U45" s="457"/>
      <c r="V45" s="457"/>
      <c r="W45" s="408"/>
      <c r="X45" s="409"/>
      <c r="Y45" s="409"/>
      <c r="Z45" s="409"/>
      <c r="AA45" s="409"/>
      <c r="AB45" s="409"/>
      <c r="AC45" s="410"/>
      <c r="AD45" s="408"/>
      <c r="AE45" s="409"/>
      <c r="AF45" s="409"/>
      <c r="AG45" s="409"/>
      <c r="AH45" s="409"/>
      <c r="AI45" s="409"/>
      <c r="AJ45" s="410"/>
      <c r="AK45" s="408"/>
      <c r="AL45" s="409"/>
      <c r="AM45" s="409"/>
      <c r="AN45" s="409"/>
      <c r="AO45" s="409"/>
      <c r="AP45" s="409"/>
      <c r="AQ45" s="410"/>
      <c r="AR45" s="408"/>
      <c r="AS45" s="409"/>
      <c r="AT45" s="409"/>
      <c r="AU45" s="409"/>
      <c r="AV45" s="409"/>
      <c r="AW45" s="409"/>
      <c r="AX45" s="410"/>
      <c r="AY45" s="408"/>
      <c r="AZ45" s="409"/>
      <c r="BA45" s="409"/>
      <c r="BB45" s="409"/>
      <c r="BC45" s="409"/>
      <c r="BD45" s="409"/>
      <c r="BE45" s="410"/>
      <c r="BF45" s="408"/>
      <c r="BG45" s="409"/>
      <c r="BH45" s="409"/>
      <c r="BI45" s="409"/>
      <c r="BJ45" s="409"/>
      <c r="BK45" s="409"/>
      <c r="BL45" s="410"/>
      <c r="BM45" s="351"/>
      <c r="BN45" s="351"/>
      <c r="BO45" s="351"/>
      <c r="BP45" s="351"/>
      <c r="BQ45" s="351"/>
      <c r="BR45" s="351"/>
      <c r="BS45" s="351"/>
      <c r="BT45" s="351"/>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1"/>
      <c r="CU45" s="351"/>
      <c r="CV45" s="351"/>
      <c r="CW45" s="351"/>
      <c r="CX45" s="351"/>
      <c r="CY45" s="351"/>
      <c r="CZ45" s="351"/>
      <c r="DA45" s="351"/>
      <c r="DB45" s="351"/>
      <c r="DC45" s="351"/>
      <c r="DD45" s="351"/>
      <c r="DE45" s="7"/>
    </row>
    <row r="46" spans="1:109" ht="15" customHeight="1">
      <c r="A46" s="8"/>
      <c r="B46" s="385"/>
      <c r="C46" s="386"/>
      <c r="D46" s="386"/>
      <c r="E46" s="386"/>
      <c r="F46" s="386"/>
      <c r="G46" s="386"/>
      <c r="H46" s="387"/>
      <c r="I46" s="351"/>
      <c r="J46" s="351"/>
      <c r="K46" s="351"/>
      <c r="L46" s="351"/>
      <c r="M46" s="351"/>
      <c r="N46" s="351"/>
      <c r="O46" s="351"/>
      <c r="P46" s="457"/>
      <c r="Q46" s="457"/>
      <c r="R46" s="457"/>
      <c r="S46" s="457"/>
      <c r="T46" s="457"/>
      <c r="U46" s="457"/>
      <c r="V46" s="457"/>
      <c r="W46" s="411"/>
      <c r="X46" s="412"/>
      <c r="Y46" s="412"/>
      <c r="Z46" s="412"/>
      <c r="AA46" s="412"/>
      <c r="AB46" s="412"/>
      <c r="AC46" s="413"/>
      <c r="AD46" s="411"/>
      <c r="AE46" s="412"/>
      <c r="AF46" s="412"/>
      <c r="AG46" s="412"/>
      <c r="AH46" s="412"/>
      <c r="AI46" s="412"/>
      <c r="AJ46" s="413"/>
      <c r="AK46" s="411"/>
      <c r="AL46" s="412"/>
      <c r="AM46" s="412"/>
      <c r="AN46" s="412"/>
      <c r="AO46" s="412"/>
      <c r="AP46" s="412"/>
      <c r="AQ46" s="413"/>
      <c r="AR46" s="411"/>
      <c r="AS46" s="412"/>
      <c r="AT46" s="412"/>
      <c r="AU46" s="412"/>
      <c r="AV46" s="412"/>
      <c r="AW46" s="412"/>
      <c r="AX46" s="413"/>
      <c r="AY46" s="411"/>
      <c r="AZ46" s="412"/>
      <c r="BA46" s="412"/>
      <c r="BB46" s="412"/>
      <c r="BC46" s="412"/>
      <c r="BD46" s="412"/>
      <c r="BE46" s="413"/>
      <c r="BF46" s="411"/>
      <c r="BG46" s="412"/>
      <c r="BH46" s="412"/>
      <c r="BI46" s="412"/>
      <c r="BJ46" s="412"/>
      <c r="BK46" s="412"/>
      <c r="BL46" s="413"/>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7"/>
    </row>
    <row r="47" spans="1:109" ht="15" customHeight="1">
      <c r="A47" s="8"/>
      <c r="B47" s="353"/>
      <c r="C47" s="354"/>
      <c r="D47" s="354"/>
      <c r="E47" s="354"/>
      <c r="F47" s="354"/>
      <c r="G47" s="354"/>
      <c r="H47" s="355"/>
      <c r="I47" s="352"/>
      <c r="J47" s="352"/>
      <c r="K47" s="352"/>
      <c r="L47" s="352"/>
      <c r="M47" s="352"/>
      <c r="N47" s="352"/>
      <c r="O47" s="352"/>
      <c r="P47" s="458"/>
      <c r="Q47" s="458"/>
      <c r="R47" s="458"/>
      <c r="S47" s="458"/>
      <c r="T47" s="458"/>
      <c r="U47" s="458"/>
      <c r="V47" s="458"/>
      <c r="W47" s="395"/>
      <c r="X47" s="396"/>
      <c r="Y47" s="396"/>
      <c r="Z47" s="396"/>
      <c r="AA47" s="396"/>
      <c r="AB47" s="396"/>
      <c r="AC47" s="397"/>
      <c r="AD47" s="395"/>
      <c r="AE47" s="396"/>
      <c r="AF47" s="396"/>
      <c r="AG47" s="396"/>
      <c r="AH47" s="396"/>
      <c r="AI47" s="396"/>
      <c r="AJ47" s="397"/>
      <c r="AK47" s="395"/>
      <c r="AL47" s="396"/>
      <c r="AM47" s="396"/>
      <c r="AN47" s="396"/>
      <c r="AO47" s="396"/>
      <c r="AP47" s="396"/>
      <c r="AQ47" s="397"/>
      <c r="AR47" s="395"/>
      <c r="AS47" s="396"/>
      <c r="AT47" s="396"/>
      <c r="AU47" s="396"/>
      <c r="AV47" s="396"/>
      <c r="AW47" s="396"/>
      <c r="AX47" s="397"/>
      <c r="AY47" s="395"/>
      <c r="AZ47" s="396"/>
      <c r="BA47" s="396"/>
      <c r="BB47" s="396"/>
      <c r="BC47" s="396"/>
      <c r="BD47" s="396"/>
      <c r="BE47" s="397"/>
      <c r="BF47" s="395"/>
      <c r="BG47" s="396"/>
      <c r="BH47" s="396"/>
      <c r="BI47" s="396"/>
      <c r="BJ47" s="396"/>
      <c r="BK47" s="396"/>
      <c r="BL47" s="397"/>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c r="CQ47" s="352"/>
      <c r="CR47" s="352"/>
      <c r="CS47" s="352"/>
      <c r="CT47" s="352"/>
      <c r="CU47" s="352"/>
      <c r="CV47" s="352"/>
      <c r="CW47" s="352"/>
      <c r="CX47" s="352"/>
      <c r="CY47" s="352"/>
      <c r="CZ47" s="352"/>
      <c r="DA47" s="352"/>
      <c r="DB47" s="352"/>
      <c r="DC47" s="352"/>
      <c r="DD47" s="352"/>
      <c r="DE47" s="7"/>
    </row>
    <row r="48" spans="1:109" ht="15" customHeight="1">
      <c r="A48" s="8"/>
      <c r="B48" s="356"/>
      <c r="C48" s="357"/>
      <c r="D48" s="357"/>
      <c r="E48" s="357"/>
      <c r="F48" s="357"/>
      <c r="G48" s="357"/>
      <c r="H48" s="358"/>
      <c r="I48" s="352"/>
      <c r="J48" s="352"/>
      <c r="K48" s="352"/>
      <c r="L48" s="352"/>
      <c r="M48" s="352"/>
      <c r="N48" s="352"/>
      <c r="O48" s="352"/>
      <c r="P48" s="458"/>
      <c r="Q48" s="458"/>
      <c r="R48" s="458"/>
      <c r="S48" s="458"/>
      <c r="T48" s="458"/>
      <c r="U48" s="458"/>
      <c r="V48" s="458"/>
      <c r="W48" s="398"/>
      <c r="X48" s="399"/>
      <c r="Y48" s="399"/>
      <c r="Z48" s="399"/>
      <c r="AA48" s="399"/>
      <c r="AB48" s="399"/>
      <c r="AC48" s="400"/>
      <c r="AD48" s="398"/>
      <c r="AE48" s="399"/>
      <c r="AF48" s="399"/>
      <c r="AG48" s="399"/>
      <c r="AH48" s="399"/>
      <c r="AI48" s="399"/>
      <c r="AJ48" s="400"/>
      <c r="AK48" s="398"/>
      <c r="AL48" s="399"/>
      <c r="AM48" s="399"/>
      <c r="AN48" s="399"/>
      <c r="AO48" s="399"/>
      <c r="AP48" s="399"/>
      <c r="AQ48" s="400"/>
      <c r="AR48" s="398"/>
      <c r="AS48" s="399"/>
      <c r="AT48" s="399"/>
      <c r="AU48" s="399"/>
      <c r="AV48" s="399"/>
      <c r="AW48" s="399"/>
      <c r="AX48" s="400"/>
      <c r="AY48" s="398"/>
      <c r="AZ48" s="399"/>
      <c r="BA48" s="399"/>
      <c r="BB48" s="399"/>
      <c r="BC48" s="399"/>
      <c r="BD48" s="399"/>
      <c r="BE48" s="400"/>
      <c r="BF48" s="398"/>
      <c r="BG48" s="399"/>
      <c r="BH48" s="399"/>
      <c r="BI48" s="399"/>
      <c r="BJ48" s="399"/>
      <c r="BK48" s="399"/>
      <c r="BL48" s="400"/>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c r="CQ48" s="352"/>
      <c r="CR48" s="352"/>
      <c r="CS48" s="352"/>
      <c r="CT48" s="352"/>
      <c r="CU48" s="352"/>
      <c r="CV48" s="352"/>
      <c r="CW48" s="352"/>
      <c r="CX48" s="352"/>
      <c r="CY48" s="352"/>
      <c r="CZ48" s="352"/>
      <c r="DA48" s="352"/>
      <c r="DB48" s="352"/>
      <c r="DC48" s="352"/>
      <c r="DD48" s="352"/>
      <c r="DE48" s="7"/>
    </row>
    <row r="49" spans="1:133" ht="15" customHeight="1">
      <c r="A49" s="3"/>
      <c r="B49" s="382"/>
      <c r="C49" s="383"/>
      <c r="D49" s="383"/>
      <c r="E49" s="383"/>
      <c r="F49" s="383"/>
      <c r="G49" s="383"/>
      <c r="H49" s="384"/>
      <c r="I49" s="351"/>
      <c r="J49" s="351"/>
      <c r="K49" s="351"/>
      <c r="L49" s="351"/>
      <c r="M49" s="351"/>
      <c r="N49" s="351"/>
      <c r="O49" s="351"/>
      <c r="P49" s="457"/>
      <c r="Q49" s="457"/>
      <c r="R49" s="457"/>
      <c r="S49" s="457"/>
      <c r="T49" s="457"/>
      <c r="U49" s="457"/>
      <c r="V49" s="457"/>
      <c r="W49" s="408"/>
      <c r="X49" s="409"/>
      <c r="Y49" s="409"/>
      <c r="Z49" s="409"/>
      <c r="AA49" s="409"/>
      <c r="AB49" s="409"/>
      <c r="AC49" s="410"/>
      <c r="AD49" s="408"/>
      <c r="AE49" s="409"/>
      <c r="AF49" s="409"/>
      <c r="AG49" s="409"/>
      <c r="AH49" s="409"/>
      <c r="AI49" s="409"/>
      <c r="AJ49" s="410"/>
      <c r="AK49" s="408"/>
      <c r="AL49" s="409"/>
      <c r="AM49" s="409"/>
      <c r="AN49" s="409"/>
      <c r="AO49" s="409"/>
      <c r="AP49" s="409"/>
      <c r="AQ49" s="410"/>
      <c r="AR49" s="408"/>
      <c r="AS49" s="409"/>
      <c r="AT49" s="409"/>
      <c r="AU49" s="409"/>
      <c r="AV49" s="409"/>
      <c r="AW49" s="409"/>
      <c r="AX49" s="410"/>
      <c r="AY49" s="408"/>
      <c r="AZ49" s="409"/>
      <c r="BA49" s="409"/>
      <c r="BB49" s="409"/>
      <c r="BC49" s="409"/>
      <c r="BD49" s="409"/>
      <c r="BE49" s="410"/>
      <c r="BF49" s="408"/>
      <c r="BG49" s="409"/>
      <c r="BH49" s="409"/>
      <c r="BI49" s="409"/>
      <c r="BJ49" s="409"/>
      <c r="BK49" s="409"/>
      <c r="BL49" s="410"/>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7"/>
    </row>
    <row r="50" spans="1:133" ht="15" customHeight="1">
      <c r="A50" s="3"/>
      <c r="B50" s="385"/>
      <c r="C50" s="386"/>
      <c r="D50" s="386"/>
      <c r="E50" s="386"/>
      <c r="F50" s="386"/>
      <c r="G50" s="386"/>
      <c r="H50" s="387"/>
      <c r="I50" s="351"/>
      <c r="J50" s="351"/>
      <c r="K50" s="351"/>
      <c r="L50" s="351"/>
      <c r="M50" s="351"/>
      <c r="N50" s="351"/>
      <c r="O50" s="351"/>
      <c r="P50" s="457"/>
      <c r="Q50" s="457"/>
      <c r="R50" s="457"/>
      <c r="S50" s="457"/>
      <c r="T50" s="457"/>
      <c r="U50" s="457"/>
      <c r="V50" s="457"/>
      <c r="W50" s="411"/>
      <c r="X50" s="412"/>
      <c r="Y50" s="412"/>
      <c r="Z50" s="412"/>
      <c r="AA50" s="412"/>
      <c r="AB50" s="412"/>
      <c r="AC50" s="413"/>
      <c r="AD50" s="411"/>
      <c r="AE50" s="412"/>
      <c r="AF50" s="412"/>
      <c r="AG50" s="412"/>
      <c r="AH50" s="412"/>
      <c r="AI50" s="412"/>
      <c r="AJ50" s="413"/>
      <c r="AK50" s="411"/>
      <c r="AL50" s="412"/>
      <c r="AM50" s="412"/>
      <c r="AN50" s="412"/>
      <c r="AO50" s="412"/>
      <c r="AP50" s="412"/>
      <c r="AQ50" s="413"/>
      <c r="AR50" s="411"/>
      <c r="AS50" s="412"/>
      <c r="AT50" s="412"/>
      <c r="AU50" s="412"/>
      <c r="AV50" s="412"/>
      <c r="AW50" s="412"/>
      <c r="AX50" s="413"/>
      <c r="AY50" s="411"/>
      <c r="AZ50" s="412"/>
      <c r="BA50" s="412"/>
      <c r="BB50" s="412"/>
      <c r="BC50" s="412"/>
      <c r="BD50" s="412"/>
      <c r="BE50" s="413"/>
      <c r="BF50" s="411"/>
      <c r="BG50" s="412"/>
      <c r="BH50" s="412"/>
      <c r="BI50" s="412"/>
      <c r="BJ50" s="412"/>
      <c r="BK50" s="412"/>
      <c r="BL50" s="413"/>
      <c r="BM50" s="351"/>
      <c r="BN50" s="351"/>
      <c r="BO50" s="351"/>
      <c r="BP50" s="351"/>
      <c r="BQ50" s="351"/>
      <c r="BR50" s="351"/>
      <c r="BS50" s="351"/>
      <c r="BT50" s="351"/>
      <c r="BU50" s="351"/>
      <c r="BV50" s="351"/>
      <c r="BW50" s="351"/>
      <c r="BX50" s="351"/>
      <c r="BY50" s="351"/>
      <c r="BZ50" s="351"/>
      <c r="CA50" s="351"/>
      <c r="CB50" s="351"/>
      <c r="CC50" s="351"/>
      <c r="CD50" s="351"/>
      <c r="CE50" s="351"/>
      <c r="CF50" s="351"/>
      <c r="CG50" s="351"/>
      <c r="CH50" s="351"/>
      <c r="CI50" s="351"/>
      <c r="CJ50" s="351"/>
      <c r="CK50" s="351"/>
      <c r="CL50" s="351"/>
      <c r="CM50" s="351"/>
      <c r="CN50" s="351"/>
      <c r="CO50" s="351"/>
      <c r="CP50" s="351"/>
      <c r="CQ50" s="351"/>
      <c r="CR50" s="351"/>
      <c r="CS50" s="351"/>
      <c r="CT50" s="351"/>
      <c r="CU50" s="351"/>
      <c r="CV50" s="351"/>
      <c r="CW50" s="351"/>
      <c r="CX50" s="351"/>
      <c r="CY50" s="351"/>
      <c r="CZ50" s="351"/>
      <c r="DA50" s="351"/>
      <c r="DB50" s="351"/>
      <c r="DC50" s="351"/>
      <c r="DD50" s="351"/>
      <c r="DE50" s="7"/>
    </row>
    <row r="51" spans="1:133" ht="15" customHeight="1">
      <c r="A51" s="3"/>
      <c r="B51" s="353"/>
      <c r="C51" s="354"/>
      <c r="D51" s="354"/>
      <c r="E51" s="354"/>
      <c r="F51" s="354"/>
      <c r="G51" s="354"/>
      <c r="H51" s="355"/>
      <c r="I51" s="352"/>
      <c r="J51" s="352"/>
      <c r="K51" s="352"/>
      <c r="L51" s="352"/>
      <c r="M51" s="352"/>
      <c r="N51" s="352"/>
      <c r="O51" s="352"/>
      <c r="P51" s="458"/>
      <c r="Q51" s="458"/>
      <c r="R51" s="458"/>
      <c r="S51" s="458"/>
      <c r="T51" s="458"/>
      <c r="U51" s="458"/>
      <c r="V51" s="458"/>
      <c r="W51" s="395"/>
      <c r="X51" s="396"/>
      <c r="Y51" s="396"/>
      <c r="Z51" s="396"/>
      <c r="AA51" s="396"/>
      <c r="AB51" s="396"/>
      <c r="AC51" s="397"/>
      <c r="AD51" s="395"/>
      <c r="AE51" s="396"/>
      <c r="AF51" s="396"/>
      <c r="AG51" s="396"/>
      <c r="AH51" s="396"/>
      <c r="AI51" s="396"/>
      <c r="AJ51" s="397"/>
      <c r="AK51" s="395"/>
      <c r="AL51" s="396"/>
      <c r="AM51" s="396"/>
      <c r="AN51" s="396"/>
      <c r="AO51" s="396"/>
      <c r="AP51" s="396"/>
      <c r="AQ51" s="397"/>
      <c r="AR51" s="395"/>
      <c r="AS51" s="396"/>
      <c r="AT51" s="396"/>
      <c r="AU51" s="396"/>
      <c r="AV51" s="396"/>
      <c r="AW51" s="396"/>
      <c r="AX51" s="397"/>
      <c r="AY51" s="395"/>
      <c r="AZ51" s="396"/>
      <c r="BA51" s="396"/>
      <c r="BB51" s="396"/>
      <c r="BC51" s="396"/>
      <c r="BD51" s="396"/>
      <c r="BE51" s="397"/>
      <c r="BF51" s="395"/>
      <c r="BG51" s="396"/>
      <c r="BH51" s="396"/>
      <c r="BI51" s="396"/>
      <c r="BJ51" s="396"/>
      <c r="BK51" s="396"/>
      <c r="BL51" s="397"/>
      <c r="BM51" s="352"/>
      <c r="BN51" s="352"/>
      <c r="BO51" s="352"/>
      <c r="BP51" s="352"/>
      <c r="BQ51" s="352"/>
      <c r="BR51" s="352"/>
      <c r="BS51" s="352"/>
      <c r="BT51" s="352"/>
      <c r="BU51" s="352"/>
      <c r="BV51" s="352"/>
      <c r="BW51" s="352"/>
      <c r="BX51" s="352"/>
      <c r="BY51" s="352"/>
      <c r="BZ51" s="352"/>
      <c r="CA51" s="352"/>
      <c r="CB51" s="352"/>
      <c r="CC51" s="352"/>
      <c r="CD51" s="352"/>
      <c r="CE51" s="352"/>
      <c r="CF51" s="352"/>
      <c r="CG51" s="352"/>
      <c r="CH51" s="352"/>
      <c r="CI51" s="352"/>
      <c r="CJ51" s="352"/>
      <c r="CK51" s="352"/>
      <c r="CL51" s="352"/>
      <c r="CM51" s="352"/>
      <c r="CN51" s="352"/>
      <c r="CO51" s="352"/>
      <c r="CP51" s="352"/>
      <c r="CQ51" s="352"/>
      <c r="CR51" s="352"/>
      <c r="CS51" s="352"/>
      <c r="CT51" s="352"/>
      <c r="CU51" s="352"/>
      <c r="CV51" s="352"/>
      <c r="CW51" s="352"/>
      <c r="CX51" s="352"/>
      <c r="CY51" s="352"/>
      <c r="CZ51" s="352"/>
      <c r="DA51" s="352"/>
      <c r="DB51" s="352"/>
      <c r="DC51" s="352"/>
      <c r="DD51" s="352"/>
      <c r="DE51" s="24"/>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row>
    <row r="52" spans="1:133" ht="15" customHeight="1">
      <c r="A52" s="3"/>
      <c r="B52" s="356"/>
      <c r="C52" s="357"/>
      <c r="D52" s="357"/>
      <c r="E52" s="357"/>
      <c r="F52" s="357"/>
      <c r="G52" s="357"/>
      <c r="H52" s="358"/>
      <c r="I52" s="352"/>
      <c r="J52" s="352"/>
      <c r="K52" s="352"/>
      <c r="L52" s="352"/>
      <c r="M52" s="352"/>
      <c r="N52" s="352"/>
      <c r="O52" s="352"/>
      <c r="P52" s="458"/>
      <c r="Q52" s="458"/>
      <c r="R52" s="458"/>
      <c r="S52" s="458"/>
      <c r="T52" s="458"/>
      <c r="U52" s="458"/>
      <c r="V52" s="458"/>
      <c r="W52" s="398"/>
      <c r="X52" s="399"/>
      <c r="Y52" s="399"/>
      <c r="Z52" s="399"/>
      <c r="AA52" s="399"/>
      <c r="AB52" s="399"/>
      <c r="AC52" s="400"/>
      <c r="AD52" s="398"/>
      <c r="AE52" s="399"/>
      <c r="AF52" s="399"/>
      <c r="AG52" s="399"/>
      <c r="AH52" s="399"/>
      <c r="AI52" s="399"/>
      <c r="AJ52" s="400"/>
      <c r="AK52" s="398"/>
      <c r="AL52" s="399"/>
      <c r="AM52" s="399"/>
      <c r="AN52" s="399"/>
      <c r="AO52" s="399"/>
      <c r="AP52" s="399"/>
      <c r="AQ52" s="400"/>
      <c r="AR52" s="398"/>
      <c r="AS52" s="399"/>
      <c r="AT52" s="399"/>
      <c r="AU52" s="399"/>
      <c r="AV52" s="399"/>
      <c r="AW52" s="399"/>
      <c r="AX52" s="400"/>
      <c r="AY52" s="398"/>
      <c r="AZ52" s="399"/>
      <c r="BA52" s="399"/>
      <c r="BB52" s="399"/>
      <c r="BC52" s="399"/>
      <c r="BD52" s="399"/>
      <c r="BE52" s="400"/>
      <c r="BF52" s="398"/>
      <c r="BG52" s="399"/>
      <c r="BH52" s="399"/>
      <c r="BI52" s="399"/>
      <c r="BJ52" s="399"/>
      <c r="BK52" s="399"/>
      <c r="BL52" s="400"/>
      <c r="BM52" s="352"/>
      <c r="BN52" s="352"/>
      <c r="BO52" s="352"/>
      <c r="BP52" s="352"/>
      <c r="BQ52" s="352"/>
      <c r="BR52" s="352"/>
      <c r="BS52" s="352"/>
      <c r="BT52" s="352"/>
      <c r="BU52" s="352"/>
      <c r="BV52" s="352"/>
      <c r="BW52" s="352"/>
      <c r="BX52" s="352"/>
      <c r="BY52" s="352"/>
      <c r="BZ52" s="352"/>
      <c r="CA52" s="352"/>
      <c r="CB52" s="352"/>
      <c r="CC52" s="352"/>
      <c r="CD52" s="352"/>
      <c r="CE52" s="352"/>
      <c r="CF52" s="352"/>
      <c r="CG52" s="352"/>
      <c r="CH52" s="352"/>
      <c r="CI52" s="352"/>
      <c r="CJ52" s="352"/>
      <c r="CK52" s="352"/>
      <c r="CL52" s="352"/>
      <c r="CM52" s="352"/>
      <c r="CN52" s="352"/>
      <c r="CO52" s="352"/>
      <c r="CP52" s="352"/>
      <c r="CQ52" s="352"/>
      <c r="CR52" s="352"/>
      <c r="CS52" s="352"/>
      <c r="CT52" s="352"/>
      <c r="CU52" s="352"/>
      <c r="CV52" s="352"/>
      <c r="CW52" s="352"/>
      <c r="CX52" s="352"/>
      <c r="CY52" s="352"/>
      <c r="CZ52" s="352"/>
      <c r="DA52" s="352"/>
      <c r="DB52" s="352"/>
      <c r="DC52" s="352"/>
      <c r="DD52" s="352"/>
      <c r="DE52" s="7"/>
    </row>
    <row r="53" spans="1:133" ht="15" customHeight="1">
      <c r="A53" s="3"/>
      <c r="B53" s="382"/>
      <c r="C53" s="383"/>
      <c r="D53" s="383"/>
      <c r="E53" s="383"/>
      <c r="F53" s="383"/>
      <c r="G53" s="383"/>
      <c r="H53" s="384"/>
      <c r="I53" s="351"/>
      <c r="J53" s="351"/>
      <c r="K53" s="351"/>
      <c r="L53" s="351"/>
      <c r="M53" s="351"/>
      <c r="N53" s="351"/>
      <c r="O53" s="351"/>
      <c r="P53" s="457"/>
      <c r="Q53" s="457"/>
      <c r="R53" s="457"/>
      <c r="S53" s="457"/>
      <c r="T53" s="457"/>
      <c r="U53" s="457"/>
      <c r="V53" s="457"/>
      <c r="W53" s="408"/>
      <c r="X53" s="409"/>
      <c r="Y53" s="409"/>
      <c r="Z53" s="409"/>
      <c r="AA53" s="409"/>
      <c r="AB53" s="409"/>
      <c r="AC53" s="410"/>
      <c r="AD53" s="408"/>
      <c r="AE53" s="409"/>
      <c r="AF53" s="409"/>
      <c r="AG53" s="409"/>
      <c r="AH53" s="409"/>
      <c r="AI53" s="409"/>
      <c r="AJ53" s="410"/>
      <c r="AK53" s="408"/>
      <c r="AL53" s="409"/>
      <c r="AM53" s="409"/>
      <c r="AN53" s="409"/>
      <c r="AO53" s="409"/>
      <c r="AP53" s="409"/>
      <c r="AQ53" s="410"/>
      <c r="AR53" s="408"/>
      <c r="AS53" s="409"/>
      <c r="AT53" s="409"/>
      <c r="AU53" s="409"/>
      <c r="AV53" s="409"/>
      <c r="AW53" s="409"/>
      <c r="AX53" s="410"/>
      <c r="AY53" s="408"/>
      <c r="AZ53" s="409"/>
      <c r="BA53" s="409"/>
      <c r="BB53" s="409"/>
      <c r="BC53" s="409"/>
      <c r="BD53" s="409"/>
      <c r="BE53" s="410"/>
      <c r="BF53" s="408"/>
      <c r="BG53" s="409"/>
      <c r="BH53" s="409"/>
      <c r="BI53" s="409"/>
      <c r="BJ53" s="409"/>
      <c r="BK53" s="409"/>
      <c r="BL53" s="410"/>
      <c r="BM53" s="351"/>
      <c r="BN53" s="351"/>
      <c r="BO53" s="351"/>
      <c r="BP53" s="351"/>
      <c r="BQ53" s="351"/>
      <c r="BR53" s="351"/>
      <c r="BS53" s="351"/>
      <c r="BT53" s="351"/>
      <c r="BU53" s="351"/>
      <c r="BV53" s="351"/>
      <c r="BW53" s="351"/>
      <c r="BX53" s="351"/>
      <c r="BY53" s="351"/>
      <c r="BZ53" s="351"/>
      <c r="CA53" s="351"/>
      <c r="CB53" s="351"/>
      <c r="CC53" s="351"/>
      <c r="CD53" s="351"/>
      <c r="CE53" s="351"/>
      <c r="CF53" s="351"/>
      <c r="CG53" s="351"/>
      <c r="CH53" s="351"/>
      <c r="CI53" s="351"/>
      <c r="CJ53" s="351"/>
      <c r="CK53" s="351"/>
      <c r="CL53" s="351"/>
      <c r="CM53" s="351"/>
      <c r="CN53" s="351"/>
      <c r="CO53" s="351"/>
      <c r="CP53" s="351"/>
      <c r="CQ53" s="351"/>
      <c r="CR53" s="351"/>
      <c r="CS53" s="351"/>
      <c r="CT53" s="351"/>
      <c r="CU53" s="351"/>
      <c r="CV53" s="351"/>
      <c r="CW53" s="351"/>
      <c r="CX53" s="351"/>
      <c r="CY53" s="351"/>
      <c r="CZ53" s="351"/>
      <c r="DA53" s="351"/>
      <c r="DB53" s="351"/>
      <c r="DC53" s="351"/>
      <c r="DD53" s="351"/>
      <c r="DE53" s="7"/>
    </row>
    <row r="54" spans="1:133" ht="15" customHeight="1">
      <c r="A54" s="6"/>
      <c r="B54" s="385"/>
      <c r="C54" s="386"/>
      <c r="D54" s="386"/>
      <c r="E54" s="386"/>
      <c r="F54" s="386"/>
      <c r="G54" s="386"/>
      <c r="H54" s="387"/>
      <c r="I54" s="351"/>
      <c r="J54" s="351"/>
      <c r="K54" s="351"/>
      <c r="L54" s="351"/>
      <c r="M54" s="351"/>
      <c r="N54" s="351"/>
      <c r="O54" s="351"/>
      <c r="P54" s="457"/>
      <c r="Q54" s="457"/>
      <c r="R54" s="457"/>
      <c r="S54" s="457"/>
      <c r="T54" s="457"/>
      <c r="U54" s="457"/>
      <c r="V54" s="457"/>
      <c r="W54" s="411"/>
      <c r="X54" s="412"/>
      <c r="Y54" s="412"/>
      <c r="Z54" s="412"/>
      <c r="AA54" s="412"/>
      <c r="AB54" s="412"/>
      <c r="AC54" s="413"/>
      <c r="AD54" s="411"/>
      <c r="AE54" s="412"/>
      <c r="AF54" s="412"/>
      <c r="AG54" s="412"/>
      <c r="AH54" s="412"/>
      <c r="AI54" s="412"/>
      <c r="AJ54" s="413"/>
      <c r="AK54" s="411"/>
      <c r="AL54" s="412"/>
      <c r="AM54" s="412"/>
      <c r="AN54" s="412"/>
      <c r="AO54" s="412"/>
      <c r="AP54" s="412"/>
      <c r="AQ54" s="413"/>
      <c r="AR54" s="411"/>
      <c r="AS54" s="412"/>
      <c r="AT54" s="412"/>
      <c r="AU54" s="412"/>
      <c r="AV54" s="412"/>
      <c r="AW54" s="412"/>
      <c r="AX54" s="413"/>
      <c r="AY54" s="411"/>
      <c r="AZ54" s="412"/>
      <c r="BA54" s="412"/>
      <c r="BB54" s="412"/>
      <c r="BC54" s="412"/>
      <c r="BD54" s="412"/>
      <c r="BE54" s="413"/>
      <c r="BF54" s="411"/>
      <c r="BG54" s="412"/>
      <c r="BH54" s="412"/>
      <c r="BI54" s="412"/>
      <c r="BJ54" s="412"/>
      <c r="BK54" s="412"/>
      <c r="BL54" s="413"/>
      <c r="BM54" s="351"/>
      <c r="BN54" s="351"/>
      <c r="BO54" s="351"/>
      <c r="BP54" s="351"/>
      <c r="BQ54" s="351"/>
      <c r="BR54" s="351"/>
      <c r="BS54" s="351"/>
      <c r="BT54" s="351"/>
      <c r="BU54" s="351"/>
      <c r="BV54" s="351"/>
      <c r="BW54" s="351"/>
      <c r="BX54" s="351"/>
      <c r="BY54" s="351"/>
      <c r="BZ54" s="351"/>
      <c r="CA54" s="351"/>
      <c r="CB54" s="351"/>
      <c r="CC54" s="351"/>
      <c r="CD54" s="351"/>
      <c r="CE54" s="351"/>
      <c r="CF54" s="351"/>
      <c r="CG54" s="351"/>
      <c r="CH54" s="351"/>
      <c r="CI54" s="351"/>
      <c r="CJ54" s="351"/>
      <c r="CK54" s="351"/>
      <c r="CL54" s="351"/>
      <c r="CM54" s="351"/>
      <c r="CN54" s="351"/>
      <c r="CO54" s="351"/>
      <c r="CP54" s="351"/>
      <c r="CQ54" s="351"/>
      <c r="CR54" s="351"/>
      <c r="CS54" s="351"/>
      <c r="CT54" s="351"/>
      <c r="CU54" s="351"/>
      <c r="CV54" s="351"/>
      <c r="CW54" s="351"/>
      <c r="CX54" s="351"/>
      <c r="CY54" s="351"/>
      <c r="CZ54" s="351"/>
      <c r="DA54" s="351"/>
      <c r="DB54" s="351"/>
      <c r="DC54" s="351"/>
      <c r="DD54" s="351"/>
      <c r="DE54" s="7"/>
    </row>
    <row r="55" spans="1:133" ht="15" customHeight="1">
      <c r="A55" s="8"/>
      <c r="B55" s="353"/>
      <c r="C55" s="354"/>
      <c r="D55" s="354"/>
      <c r="E55" s="354"/>
      <c r="F55" s="354"/>
      <c r="G55" s="354"/>
      <c r="H55" s="355"/>
      <c r="I55" s="352"/>
      <c r="J55" s="352"/>
      <c r="K55" s="352"/>
      <c r="L55" s="352"/>
      <c r="M55" s="352"/>
      <c r="N55" s="352"/>
      <c r="O55" s="352"/>
      <c r="P55" s="458"/>
      <c r="Q55" s="458"/>
      <c r="R55" s="458"/>
      <c r="S55" s="458"/>
      <c r="T55" s="458"/>
      <c r="U55" s="458"/>
      <c r="V55" s="458"/>
      <c r="W55" s="395"/>
      <c r="X55" s="396"/>
      <c r="Y55" s="396"/>
      <c r="Z55" s="396"/>
      <c r="AA55" s="396"/>
      <c r="AB55" s="396"/>
      <c r="AC55" s="397"/>
      <c r="AD55" s="395"/>
      <c r="AE55" s="396"/>
      <c r="AF55" s="396"/>
      <c r="AG55" s="396"/>
      <c r="AH55" s="396"/>
      <c r="AI55" s="396"/>
      <c r="AJ55" s="397"/>
      <c r="AK55" s="395"/>
      <c r="AL55" s="396"/>
      <c r="AM55" s="396"/>
      <c r="AN55" s="396"/>
      <c r="AO55" s="396"/>
      <c r="AP55" s="396"/>
      <c r="AQ55" s="397"/>
      <c r="AR55" s="395"/>
      <c r="AS55" s="396"/>
      <c r="AT55" s="396"/>
      <c r="AU55" s="396"/>
      <c r="AV55" s="396"/>
      <c r="AW55" s="396"/>
      <c r="AX55" s="397"/>
      <c r="AY55" s="395"/>
      <c r="AZ55" s="396"/>
      <c r="BA55" s="396"/>
      <c r="BB55" s="396"/>
      <c r="BC55" s="396"/>
      <c r="BD55" s="396"/>
      <c r="BE55" s="397"/>
      <c r="BF55" s="395"/>
      <c r="BG55" s="396"/>
      <c r="BH55" s="396"/>
      <c r="BI55" s="396"/>
      <c r="BJ55" s="396"/>
      <c r="BK55" s="396"/>
      <c r="BL55" s="397"/>
      <c r="BM55" s="352"/>
      <c r="BN55" s="352"/>
      <c r="BO55" s="352"/>
      <c r="BP55" s="352"/>
      <c r="BQ55" s="352"/>
      <c r="BR55" s="352"/>
      <c r="BS55" s="352"/>
      <c r="BT55" s="352"/>
      <c r="BU55" s="352"/>
      <c r="BV55" s="352"/>
      <c r="BW55" s="352"/>
      <c r="BX55" s="352"/>
      <c r="BY55" s="352"/>
      <c r="BZ55" s="352"/>
      <c r="CA55" s="352"/>
      <c r="CB55" s="352"/>
      <c r="CC55" s="352"/>
      <c r="CD55" s="352"/>
      <c r="CE55" s="352"/>
      <c r="CF55" s="352"/>
      <c r="CG55" s="352"/>
      <c r="CH55" s="352"/>
      <c r="CI55" s="352"/>
      <c r="CJ55" s="352"/>
      <c r="CK55" s="352"/>
      <c r="CL55" s="352"/>
      <c r="CM55" s="352"/>
      <c r="CN55" s="352"/>
      <c r="CO55" s="352"/>
      <c r="CP55" s="352"/>
      <c r="CQ55" s="352"/>
      <c r="CR55" s="352"/>
      <c r="CS55" s="352"/>
      <c r="CT55" s="352"/>
      <c r="CU55" s="352"/>
      <c r="CV55" s="352"/>
      <c r="CW55" s="352"/>
      <c r="CX55" s="352"/>
      <c r="CY55" s="352"/>
      <c r="CZ55" s="352"/>
      <c r="DA55" s="352"/>
      <c r="DB55" s="352"/>
      <c r="DC55" s="352"/>
      <c r="DD55" s="352"/>
      <c r="DE55" s="7"/>
    </row>
    <row r="56" spans="1:133" ht="15" customHeight="1">
      <c r="A56" s="8"/>
      <c r="B56" s="356"/>
      <c r="C56" s="357"/>
      <c r="D56" s="357"/>
      <c r="E56" s="357"/>
      <c r="F56" s="357"/>
      <c r="G56" s="357"/>
      <c r="H56" s="358"/>
      <c r="I56" s="352"/>
      <c r="J56" s="352"/>
      <c r="K56" s="352"/>
      <c r="L56" s="352"/>
      <c r="M56" s="352"/>
      <c r="N56" s="352"/>
      <c r="O56" s="352"/>
      <c r="P56" s="458"/>
      <c r="Q56" s="458"/>
      <c r="R56" s="458"/>
      <c r="S56" s="458"/>
      <c r="T56" s="458"/>
      <c r="U56" s="458"/>
      <c r="V56" s="458"/>
      <c r="W56" s="398"/>
      <c r="X56" s="399"/>
      <c r="Y56" s="399"/>
      <c r="Z56" s="399"/>
      <c r="AA56" s="399"/>
      <c r="AB56" s="399"/>
      <c r="AC56" s="400"/>
      <c r="AD56" s="398"/>
      <c r="AE56" s="399"/>
      <c r="AF56" s="399"/>
      <c r="AG56" s="399"/>
      <c r="AH56" s="399"/>
      <c r="AI56" s="399"/>
      <c r="AJ56" s="400"/>
      <c r="AK56" s="398"/>
      <c r="AL56" s="399"/>
      <c r="AM56" s="399"/>
      <c r="AN56" s="399"/>
      <c r="AO56" s="399"/>
      <c r="AP56" s="399"/>
      <c r="AQ56" s="400"/>
      <c r="AR56" s="398"/>
      <c r="AS56" s="399"/>
      <c r="AT56" s="399"/>
      <c r="AU56" s="399"/>
      <c r="AV56" s="399"/>
      <c r="AW56" s="399"/>
      <c r="AX56" s="400"/>
      <c r="AY56" s="398"/>
      <c r="AZ56" s="399"/>
      <c r="BA56" s="399"/>
      <c r="BB56" s="399"/>
      <c r="BC56" s="399"/>
      <c r="BD56" s="399"/>
      <c r="BE56" s="400"/>
      <c r="BF56" s="398"/>
      <c r="BG56" s="399"/>
      <c r="BH56" s="399"/>
      <c r="BI56" s="399"/>
      <c r="BJ56" s="399"/>
      <c r="BK56" s="399"/>
      <c r="BL56" s="400"/>
      <c r="BM56" s="352"/>
      <c r="BN56" s="352"/>
      <c r="BO56" s="352"/>
      <c r="BP56" s="352"/>
      <c r="BQ56" s="352"/>
      <c r="BR56" s="352"/>
      <c r="BS56" s="352"/>
      <c r="BT56" s="352"/>
      <c r="BU56" s="352"/>
      <c r="BV56" s="352"/>
      <c r="BW56" s="352"/>
      <c r="BX56" s="352"/>
      <c r="BY56" s="352"/>
      <c r="BZ56" s="352"/>
      <c r="CA56" s="352"/>
      <c r="CB56" s="352"/>
      <c r="CC56" s="352"/>
      <c r="CD56" s="352"/>
      <c r="CE56" s="352"/>
      <c r="CF56" s="352"/>
      <c r="CG56" s="352"/>
      <c r="CH56" s="352"/>
      <c r="CI56" s="352"/>
      <c r="CJ56" s="352"/>
      <c r="CK56" s="352"/>
      <c r="CL56" s="352"/>
      <c r="CM56" s="352"/>
      <c r="CN56" s="352"/>
      <c r="CO56" s="352"/>
      <c r="CP56" s="352"/>
      <c r="CQ56" s="352"/>
      <c r="CR56" s="352"/>
      <c r="CS56" s="352"/>
      <c r="CT56" s="352"/>
      <c r="CU56" s="352"/>
      <c r="CV56" s="352"/>
      <c r="CW56" s="352"/>
      <c r="CX56" s="352"/>
      <c r="CY56" s="352"/>
      <c r="CZ56" s="352"/>
      <c r="DA56" s="352"/>
      <c r="DB56" s="352"/>
      <c r="DC56" s="352"/>
      <c r="DD56" s="352"/>
      <c r="DE56" s="7"/>
    </row>
    <row r="57" spans="1:133" ht="15" customHeight="1" thickBot="1">
      <c r="A57" s="25"/>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4"/>
    </row>
    <row r="58" spans="1:133" ht="15" customHeight="1">
      <c r="A58" s="388"/>
      <c r="B58" s="389"/>
      <c r="C58" s="389"/>
      <c r="D58" s="389"/>
      <c r="E58" s="389"/>
      <c r="F58" s="389"/>
      <c r="G58" s="389"/>
      <c r="H58" s="389"/>
      <c r="I58" s="389"/>
      <c r="J58" s="389"/>
      <c r="K58" s="389"/>
      <c r="L58" s="389"/>
      <c r="M58" s="389"/>
      <c r="N58" s="389"/>
      <c r="O58" s="389"/>
      <c r="P58" s="389"/>
      <c r="Q58" s="389"/>
      <c r="R58" s="389"/>
      <c r="S58" s="389"/>
      <c r="T58" s="389"/>
      <c r="U58" s="389"/>
      <c r="V58" s="389"/>
      <c r="W58" s="389"/>
      <c r="X58" s="389"/>
      <c r="Y58" s="389"/>
      <c r="Z58" s="389"/>
      <c r="AA58" s="389"/>
      <c r="AB58" s="389"/>
      <c r="AC58" s="389"/>
      <c r="AD58" s="389"/>
      <c r="AE58" s="389"/>
      <c r="AF58" s="389"/>
      <c r="AG58" s="389"/>
      <c r="AH58" s="389"/>
      <c r="AI58" s="389"/>
      <c r="AJ58" s="389"/>
      <c r="AK58" s="389"/>
      <c r="AL58" s="389"/>
      <c r="AM58" s="389"/>
      <c r="AN58" s="389"/>
      <c r="AO58" s="389"/>
      <c r="AP58" s="389"/>
      <c r="AQ58" s="389"/>
      <c r="AR58" s="389"/>
      <c r="AS58" s="389"/>
      <c r="AT58" s="389"/>
      <c r="AU58" s="389"/>
      <c r="AV58" s="389"/>
      <c r="AW58" s="389"/>
      <c r="AX58" s="389"/>
      <c r="AY58" s="389"/>
      <c r="AZ58" s="389"/>
      <c r="BA58" s="389"/>
      <c r="BB58" s="389"/>
      <c r="BC58" s="389"/>
      <c r="BD58" s="389"/>
      <c r="BE58" s="389"/>
      <c r="BF58" s="389"/>
      <c r="BG58" s="389"/>
      <c r="BH58" s="389"/>
      <c r="BI58" s="389"/>
      <c r="BJ58" s="389"/>
      <c r="BK58" s="389"/>
      <c r="BL58" s="389"/>
      <c r="BM58" s="389"/>
      <c r="BN58" s="389"/>
      <c r="BO58" s="389"/>
      <c r="BP58" s="389"/>
      <c r="BQ58" s="389"/>
      <c r="BR58" s="389"/>
      <c r="BS58" s="389"/>
      <c r="BT58" s="389"/>
      <c r="BU58" s="389"/>
      <c r="BV58" s="389"/>
      <c r="BW58" s="389"/>
      <c r="BX58" s="389"/>
      <c r="BY58" s="389"/>
      <c r="BZ58" s="389"/>
      <c r="CA58" s="389"/>
      <c r="CB58" s="389"/>
      <c r="CC58" s="389"/>
      <c r="CD58" s="389"/>
      <c r="CE58" s="389"/>
      <c r="CF58" s="389"/>
      <c r="CG58" s="389"/>
      <c r="CH58" s="389"/>
      <c r="CI58" s="389"/>
      <c r="CJ58" s="389"/>
      <c r="CK58" s="389"/>
      <c r="CL58" s="389"/>
      <c r="CM58" s="389"/>
      <c r="CN58" s="389"/>
      <c r="CO58" s="389"/>
      <c r="CP58" s="389"/>
      <c r="CQ58" s="389"/>
      <c r="CR58" s="389"/>
      <c r="CS58" s="389"/>
      <c r="CT58" s="389"/>
      <c r="CU58" s="389"/>
      <c r="CV58" s="361" t="s">
        <v>1</v>
      </c>
      <c r="CW58" s="361"/>
      <c r="CX58" s="361"/>
      <c r="CY58" s="361"/>
      <c r="CZ58" s="361"/>
      <c r="DA58" s="361"/>
      <c r="DB58" s="361"/>
      <c r="DC58" s="361"/>
      <c r="DD58" s="361"/>
      <c r="DE58" s="362"/>
    </row>
    <row r="59" spans="1:133" ht="15" customHeight="1">
      <c r="A59" s="390"/>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391"/>
      <c r="BP59" s="391"/>
      <c r="BQ59" s="391"/>
      <c r="BR59" s="391"/>
      <c r="BS59" s="391"/>
      <c r="BT59" s="391"/>
      <c r="BU59" s="391"/>
      <c r="BV59" s="391"/>
      <c r="BW59" s="391"/>
      <c r="BX59" s="391"/>
      <c r="BY59" s="391"/>
      <c r="BZ59" s="391"/>
      <c r="CA59" s="391"/>
      <c r="CB59" s="391"/>
      <c r="CC59" s="391"/>
      <c r="CD59" s="391"/>
      <c r="CE59" s="391"/>
      <c r="CF59" s="391"/>
      <c r="CG59" s="391"/>
      <c r="CH59" s="391"/>
      <c r="CI59" s="391"/>
      <c r="CJ59" s="391"/>
      <c r="CK59" s="391"/>
      <c r="CL59" s="391"/>
      <c r="CM59" s="391"/>
      <c r="CN59" s="391"/>
      <c r="CO59" s="391"/>
      <c r="CP59" s="391"/>
      <c r="CQ59" s="391"/>
      <c r="CR59" s="391"/>
      <c r="CS59" s="391"/>
      <c r="CT59" s="391"/>
      <c r="CU59" s="391"/>
      <c r="CV59" s="363"/>
      <c r="CW59" s="363"/>
      <c r="CX59" s="363"/>
      <c r="CY59" s="363"/>
      <c r="CZ59" s="363"/>
      <c r="DA59" s="363"/>
      <c r="DB59" s="363"/>
      <c r="DC59" s="363"/>
      <c r="DD59" s="363"/>
      <c r="DE59" s="364"/>
    </row>
    <row r="60" spans="1:133" ht="15" customHeight="1">
      <c r="A60" s="390"/>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391"/>
      <c r="BC60" s="391"/>
      <c r="BD60" s="391"/>
      <c r="BE60" s="391"/>
      <c r="BF60" s="391"/>
      <c r="BG60" s="391"/>
      <c r="BH60" s="391"/>
      <c r="BI60" s="391"/>
      <c r="BJ60" s="391"/>
      <c r="BK60" s="391"/>
      <c r="BL60" s="391"/>
      <c r="BM60" s="391"/>
      <c r="BN60" s="391"/>
      <c r="BO60" s="391"/>
      <c r="BP60" s="391"/>
      <c r="BQ60" s="391"/>
      <c r="BR60" s="391"/>
      <c r="BS60" s="391"/>
      <c r="BT60" s="391"/>
      <c r="BU60" s="391"/>
      <c r="BV60" s="391"/>
      <c r="BW60" s="391"/>
      <c r="BX60" s="391"/>
      <c r="BY60" s="391"/>
      <c r="BZ60" s="391"/>
      <c r="CA60" s="391"/>
      <c r="CB60" s="391"/>
      <c r="CC60" s="391"/>
      <c r="CD60" s="391"/>
      <c r="CE60" s="391"/>
      <c r="CF60" s="391"/>
      <c r="CG60" s="391"/>
      <c r="CH60" s="391"/>
      <c r="CI60" s="391"/>
      <c r="CJ60" s="391"/>
      <c r="CK60" s="391"/>
      <c r="CL60" s="391"/>
      <c r="CM60" s="391"/>
      <c r="CN60" s="391"/>
      <c r="CO60" s="391"/>
      <c r="CP60" s="391"/>
      <c r="CQ60" s="391"/>
      <c r="CR60" s="391"/>
      <c r="CS60" s="391"/>
      <c r="CT60" s="391"/>
      <c r="CU60" s="391"/>
      <c r="CV60" s="363"/>
      <c r="CW60" s="363"/>
      <c r="CX60" s="363"/>
      <c r="CY60" s="363"/>
      <c r="CZ60" s="363"/>
      <c r="DA60" s="363"/>
      <c r="DB60" s="363"/>
      <c r="DC60" s="363"/>
      <c r="DD60" s="363"/>
      <c r="DE60" s="364"/>
    </row>
    <row r="61" spans="1:133" ht="15" customHeight="1">
      <c r="A61" s="390"/>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1"/>
      <c r="CG61" s="391"/>
      <c r="CH61" s="391"/>
      <c r="CI61" s="391"/>
      <c r="CJ61" s="391"/>
      <c r="CK61" s="391"/>
      <c r="CL61" s="391"/>
      <c r="CM61" s="391"/>
      <c r="CN61" s="391"/>
      <c r="CO61" s="391"/>
      <c r="CP61" s="391"/>
      <c r="CQ61" s="391"/>
      <c r="CR61" s="391"/>
      <c r="CS61" s="391"/>
      <c r="CT61" s="391"/>
      <c r="CU61" s="391"/>
      <c r="CV61" s="363"/>
      <c r="CW61" s="363"/>
      <c r="CX61" s="363"/>
      <c r="CY61" s="363"/>
      <c r="CZ61" s="363"/>
      <c r="DA61" s="363"/>
      <c r="DB61" s="363"/>
      <c r="DC61" s="363"/>
      <c r="DD61" s="363"/>
      <c r="DE61" s="364"/>
    </row>
    <row r="62" spans="1:133" ht="15" customHeight="1">
      <c r="A62" s="390"/>
      <c r="B62" s="391"/>
      <c r="C62" s="391"/>
      <c r="D62" s="391"/>
      <c r="E62" s="391"/>
      <c r="F62" s="391"/>
      <c r="G62" s="391"/>
      <c r="H62" s="391"/>
      <c r="I62" s="391"/>
      <c r="J62" s="391"/>
      <c r="K62" s="391"/>
      <c r="L62" s="391"/>
      <c r="M62" s="391"/>
      <c r="N62" s="391"/>
      <c r="O62" s="391"/>
      <c r="P62" s="391"/>
      <c r="Q62" s="391"/>
      <c r="R62" s="391"/>
      <c r="S62" s="391"/>
      <c r="T62" s="391"/>
      <c r="U62" s="391"/>
      <c r="V62" s="391"/>
      <c r="W62" s="391"/>
      <c r="X62" s="391"/>
      <c r="Y62" s="391"/>
      <c r="Z62" s="391"/>
      <c r="AA62" s="391"/>
      <c r="AB62" s="391"/>
      <c r="AC62" s="391"/>
      <c r="AD62" s="391"/>
      <c r="AE62" s="391"/>
      <c r="AF62" s="391"/>
      <c r="AG62" s="391"/>
      <c r="AH62" s="391"/>
      <c r="AI62" s="391"/>
      <c r="AJ62" s="391"/>
      <c r="AK62" s="391"/>
      <c r="AL62" s="391"/>
      <c r="AM62" s="391"/>
      <c r="AN62" s="391"/>
      <c r="AO62" s="391"/>
      <c r="AP62" s="391"/>
      <c r="AQ62" s="391"/>
      <c r="AR62" s="391"/>
      <c r="AS62" s="391"/>
      <c r="AT62" s="391"/>
      <c r="AU62" s="391"/>
      <c r="AV62" s="391"/>
      <c r="AW62" s="391"/>
      <c r="AX62" s="391"/>
      <c r="AY62" s="391"/>
      <c r="AZ62" s="391"/>
      <c r="BA62" s="391"/>
      <c r="BB62" s="391"/>
      <c r="BC62" s="391"/>
      <c r="BD62" s="391"/>
      <c r="BE62" s="391"/>
      <c r="BF62" s="391"/>
      <c r="BG62" s="391"/>
      <c r="BH62" s="391"/>
      <c r="BI62" s="391"/>
      <c r="BJ62" s="391"/>
      <c r="BK62" s="391"/>
      <c r="BL62" s="391"/>
      <c r="BM62" s="391"/>
      <c r="BN62" s="391"/>
      <c r="BO62" s="391"/>
      <c r="BP62" s="391"/>
      <c r="BQ62" s="391"/>
      <c r="BR62" s="391"/>
      <c r="BS62" s="391"/>
      <c r="BT62" s="391"/>
      <c r="BU62" s="391"/>
      <c r="BV62" s="391"/>
      <c r="BW62" s="391"/>
      <c r="BX62" s="391"/>
      <c r="BY62" s="391"/>
      <c r="BZ62" s="391"/>
      <c r="CA62" s="391"/>
      <c r="CB62" s="391"/>
      <c r="CC62" s="391"/>
      <c r="CD62" s="391"/>
      <c r="CE62" s="391"/>
      <c r="CF62" s="391"/>
      <c r="CG62" s="391"/>
      <c r="CH62" s="391"/>
      <c r="CI62" s="391"/>
      <c r="CJ62" s="391"/>
      <c r="CK62" s="391"/>
      <c r="CL62" s="391"/>
      <c r="CM62" s="391"/>
      <c r="CN62" s="391"/>
      <c r="CO62" s="391"/>
      <c r="CP62" s="391"/>
      <c r="CQ62" s="391"/>
      <c r="CR62" s="391"/>
      <c r="CS62" s="391"/>
      <c r="CT62" s="391"/>
      <c r="CU62" s="391"/>
      <c r="CV62" s="363"/>
      <c r="CW62" s="363"/>
      <c r="CX62" s="363"/>
      <c r="CY62" s="363"/>
      <c r="CZ62" s="363"/>
      <c r="DA62" s="363"/>
      <c r="DB62" s="363"/>
      <c r="DC62" s="363"/>
      <c r="DD62" s="363"/>
      <c r="DE62" s="364"/>
    </row>
    <row r="63" spans="1:133" ht="15" customHeight="1" thickBot="1">
      <c r="A63" s="390"/>
      <c r="B63" s="391"/>
      <c r="C63" s="391"/>
      <c r="D63" s="391"/>
      <c r="E63" s="391"/>
      <c r="F63" s="391"/>
      <c r="G63" s="391"/>
      <c r="H63" s="391"/>
      <c r="I63" s="391"/>
      <c r="J63" s="391"/>
      <c r="K63" s="391"/>
      <c r="L63" s="391"/>
      <c r="M63" s="391"/>
      <c r="N63" s="391"/>
      <c r="O63" s="391"/>
      <c r="P63" s="391"/>
      <c r="Q63" s="391"/>
      <c r="R63" s="391"/>
      <c r="S63" s="391"/>
      <c r="T63" s="391"/>
      <c r="U63" s="391"/>
      <c r="V63" s="391"/>
      <c r="W63" s="391"/>
      <c r="X63" s="391"/>
      <c r="Y63" s="391"/>
      <c r="Z63" s="391"/>
      <c r="AA63" s="391"/>
      <c r="AB63" s="391"/>
      <c r="AC63" s="391"/>
      <c r="AD63" s="391"/>
      <c r="AE63" s="391"/>
      <c r="AF63" s="391"/>
      <c r="AG63" s="391"/>
      <c r="AH63" s="391"/>
      <c r="AI63" s="391"/>
      <c r="AJ63" s="391"/>
      <c r="AK63" s="391"/>
      <c r="AL63" s="391"/>
      <c r="AM63" s="391"/>
      <c r="AN63" s="391"/>
      <c r="AO63" s="391"/>
      <c r="AP63" s="391"/>
      <c r="AQ63" s="391"/>
      <c r="AR63" s="391"/>
      <c r="AS63" s="391"/>
      <c r="AT63" s="391"/>
      <c r="AU63" s="391"/>
      <c r="AV63" s="391"/>
      <c r="AW63" s="391"/>
      <c r="AX63" s="391"/>
      <c r="AY63" s="391"/>
      <c r="AZ63" s="391"/>
      <c r="BA63" s="391"/>
      <c r="BB63" s="391"/>
      <c r="BC63" s="391"/>
      <c r="BD63" s="391"/>
      <c r="BE63" s="391"/>
      <c r="BF63" s="391"/>
      <c r="BG63" s="391"/>
      <c r="BH63" s="391"/>
      <c r="BI63" s="391"/>
      <c r="BJ63" s="391"/>
      <c r="BK63" s="391"/>
      <c r="BL63" s="391"/>
      <c r="BM63" s="391"/>
      <c r="BN63" s="391"/>
      <c r="BO63" s="391"/>
      <c r="BP63" s="391"/>
      <c r="BQ63" s="391"/>
      <c r="BR63" s="391"/>
      <c r="BS63" s="391"/>
      <c r="BT63" s="391"/>
      <c r="BU63" s="391"/>
      <c r="BV63" s="391"/>
      <c r="BW63" s="391"/>
      <c r="BX63" s="391"/>
      <c r="BY63" s="391"/>
      <c r="BZ63" s="391"/>
      <c r="CA63" s="391"/>
      <c r="CB63" s="391"/>
      <c r="CC63" s="391"/>
      <c r="CD63" s="391"/>
      <c r="CE63" s="391"/>
      <c r="CF63" s="391"/>
      <c r="CG63" s="391"/>
      <c r="CH63" s="391"/>
      <c r="CI63" s="391"/>
      <c r="CJ63" s="391"/>
      <c r="CK63" s="391"/>
      <c r="CL63" s="391"/>
      <c r="CM63" s="391"/>
      <c r="CN63" s="391"/>
      <c r="CO63" s="391"/>
      <c r="CP63" s="391"/>
      <c r="CQ63" s="391"/>
      <c r="CR63" s="391"/>
      <c r="CS63" s="391"/>
      <c r="CT63" s="391"/>
      <c r="CU63" s="391"/>
      <c r="CV63" s="365"/>
      <c r="CW63" s="365"/>
      <c r="CX63" s="365"/>
      <c r="CY63" s="365"/>
      <c r="CZ63" s="365"/>
      <c r="DA63" s="365"/>
      <c r="DB63" s="365"/>
      <c r="DC63" s="365"/>
      <c r="DD63" s="365"/>
      <c r="DE63" s="366"/>
    </row>
    <row r="64" spans="1:133" ht="15" customHeight="1">
      <c r="A64" s="392" t="s">
        <v>83</v>
      </c>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3"/>
      <c r="BK64" s="393"/>
      <c r="BL64" s="393"/>
      <c r="BM64" s="393"/>
      <c r="BN64" s="393"/>
      <c r="BO64" s="393"/>
      <c r="BP64" s="393"/>
      <c r="BQ64" s="393"/>
      <c r="BR64" s="393"/>
      <c r="BS64" s="393"/>
      <c r="BT64" s="393"/>
      <c r="BU64" s="393"/>
      <c r="BV64" s="393"/>
      <c r="BW64" s="393"/>
      <c r="BX64" s="393"/>
      <c r="BY64" s="393"/>
      <c r="BZ64" s="393"/>
      <c r="CA64" s="393"/>
      <c r="CB64" s="393"/>
      <c r="CC64" s="393"/>
      <c r="CD64" s="393"/>
      <c r="CE64" s="393"/>
      <c r="CF64" s="393"/>
      <c r="CG64" s="393"/>
      <c r="CH64" s="393"/>
      <c r="CI64" s="393"/>
      <c r="CJ64" s="393"/>
      <c r="CK64" s="393"/>
      <c r="CL64" s="393"/>
      <c r="CM64" s="393"/>
      <c r="CN64" s="393"/>
      <c r="CO64" s="393"/>
      <c r="CP64" s="367" t="s">
        <v>3</v>
      </c>
      <c r="CQ64" s="367"/>
      <c r="CR64" s="367"/>
      <c r="CS64" s="367"/>
      <c r="CT64" s="367"/>
      <c r="CU64" s="367"/>
      <c r="CV64" s="367"/>
      <c r="CW64" s="367"/>
      <c r="CX64" s="367"/>
      <c r="CY64" s="367"/>
      <c r="CZ64" s="367"/>
      <c r="DA64" s="367"/>
      <c r="DB64" s="367"/>
      <c r="DC64" s="367"/>
      <c r="DD64" s="367"/>
      <c r="DE64" s="368"/>
    </row>
    <row r="65" spans="1:109" ht="15" customHeight="1">
      <c r="A65" s="392"/>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c r="AZ65" s="393"/>
      <c r="BA65" s="393"/>
      <c r="BB65" s="393"/>
      <c r="BC65" s="393"/>
      <c r="BD65" s="393"/>
      <c r="BE65" s="393"/>
      <c r="BF65" s="393"/>
      <c r="BG65" s="393"/>
      <c r="BH65" s="393"/>
      <c r="BI65" s="393"/>
      <c r="BJ65" s="393"/>
      <c r="BK65" s="393"/>
      <c r="BL65" s="393"/>
      <c r="BM65" s="393"/>
      <c r="BN65" s="393"/>
      <c r="BO65" s="393"/>
      <c r="BP65" s="393"/>
      <c r="BQ65" s="393"/>
      <c r="BR65" s="393"/>
      <c r="BS65" s="393"/>
      <c r="BT65" s="393"/>
      <c r="BU65" s="393"/>
      <c r="BV65" s="393"/>
      <c r="BW65" s="393"/>
      <c r="BX65" s="393"/>
      <c r="BY65" s="393"/>
      <c r="BZ65" s="393"/>
      <c r="CA65" s="393"/>
      <c r="CB65" s="393"/>
      <c r="CC65" s="393"/>
      <c r="CD65" s="393"/>
      <c r="CE65" s="393"/>
      <c r="CF65" s="393"/>
      <c r="CG65" s="393"/>
      <c r="CH65" s="393"/>
      <c r="CI65" s="393"/>
      <c r="CJ65" s="393"/>
      <c r="CK65" s="393"/>
      <c r="CL65" s="393"/>
      <c r="CM65" s="393"/>
      <c r="CN65" s="393"/>
      <c r="CO65" s="393"/>
      <c r="CP65" s="367"/>
      <c r="CQ65" s="367"/>
      <c r="CR65" s="367"/>
      <c r="CS65" s="367"/>
      <c r="CT65" s="367"/>
      <c r="CU65" s="367"/>
      <c r="CV65" s="367"/>
      <c r="CW65" s="367"/>
      <c r="CX65" s="367"/>
      <c r="CY65" s="367"/>
      <c r="CZ65" s="367"/>
      <c r="DA65" s="367"/>
      <c r="DB65" s="367"/>
      <c r="DC65" s="367"/>
      <c r="DD65" s="367"/>
      <c r="DE65" s="368"/>
    </row>
    <row r="66" spans="1:109" ht="15" customHeight="1">
      <c r="A66" s="375" t="s">
        <v>4</v>
      </c>
      <c r="B66" s="369"/>
      <c r="C66" s="369"/>
      <c r="D66" s="369"/>
      <c r="E66" s="369"/>
      <c r="F66" s="369"/>
      <c r="G66" s="369"/>
      <c r="H66" s="369"/>
      <c r="I66" s="369"/>
      <c r="J66" s="369"/>
      <c r="K66" s="369"/>
      <c r="L66" s="369"/>
      <c r="M66" s="369"/>
      <c r="N66" s="369"/>
      <c r="O66" s="369"/>
      <c r="P66" s="369"/>
      <c r="Q66" s="369"/>
      <c r="R66" s="369"/>
      <c r="S66" s="370">
        <v>559082</v>
      </c>
      <c r="T66" s="370"/>
      <c r="U66" s="370"/>
      <c r="V66" s="370"/>
      <c r="W66" s="370"/>
      <c r="X66" s="370"/>
      <c r="Y66" s="370"/>
      <c r="Z66" s="370"/>
      <c r="AA66" s="370"/>
      <c r="AB66" s="370"/>
      <c r="AC66" s="370"/>
      <c r="AD66" s="370"/>
      <c r="AE66" s="369" t="s">
        <v>5</v>
      </c>
      <c r="AF66" s="369"/>
      <c r="AG66" s="369"/>
      <c r="AH66" s="369"/>
      <c r="AI66" s="369"/>
      <c r="AJ66" s="369"/>
      <c r="AK66" s="369"/>
      <c r="AL66" s="369"/>
      <c r="AM66" s="369"/>
      <c r="AN66" s="369"/>
      <c r="AO66" s="369"/>
      <c r="AP66" s="369"/>
      <c r="AQ66" s="369"/>
      <c r="AR66" s="369"/>
      <c r="AS66" s="394">
        <v>45678</v>
      </c>
      <c r="AT66" s="394"/>
      <c r="AU66" s="394"/>
      <c r="AV66" s="394"/>
      <c r="AW66" s="394"/>
      <c r="AX66" s="394"/>
      <c r="AY66" s="394"/>
      <c r="AZ66" s="394"/>
      <c r="BA66" s="394"/>
      <c r="BB66" s="394"/>
      <c r="BC66" s="394"/>
      <c r="BD66" s="394"/>
      <c r="BE66" s="394"/>
      <c r="BF66" s="394"/>
      <c r="BG66" s="369" t="s">
        <v>6</v>
      </c>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71" t="s">
        <v>7</v>
      </c>
      <c r="CO66" s="371"/>
      <c r="CP66" s="371"/>
      <c r="CQ66" s="372" t="s">
        <v>8</v>
      </c>
      <c r="CR66" s="372"/>
      <c r="CS66" s="372"/>
      <c r="CT66" s="372"/>
      <c r="CU66" s="372"/>
      <c r="CV66" s="372"/>
      <c r="CW66" s="372"/>
      <c r="CX66" s="372"/>
      <c r="CY66" s="372"/>
      <c r="CZ66" s="372"/>
      <c r="DA66" s="372"/>
      <c r="DB66" s="372"/>
      <c r="DC66" s="372"/>
      <c r="DD66" s="372"/>
      <c r="DE66" s="373"/>
    </row>
    <row r="67" spans="1:109" ht="15" customHeight="1">
      <c r="A67" s="375" t="s">
        <v>9</v>
      </c>
      <c r="B67" s="369"/>
      <c r="C67" s="369"/>
      <c r="D67" s="369"/>
      <c r="E67" s="369"/>
      <c r="F67" s="369"/>
      <c r="G67" s="369"/>
      <c r="H67" s="369"/>
      <c r="I67" s="369"/>
      <c r="J67" s="369"/>
      <c r="K67" s="369"/>
      <c r="L67" s="369"/>
      <c r="M67" s="369"/>
      <c r="N67" s="369"/>
      <c r="O67" s="369"/>
      <c r="P67" s="369"/>
      <c r="Q67" s="369"/>
      <c r="R67" s="369"/>
      <c r="S67" s="370" t="s">
        <v>10</v>
      </c>
      <c r="T67" s="370"/>
      <c r="U67" s="370"/>
      <c r="V67" s="370"/>
      <c r="W67" s="370"/>
      <c r="X67" s="370"/>
      <c r="Y67" s="370"/>
      <c r="Z67" s="370"/>
      <c r="AA67" s="370"/>
      <c r="AB67" s="370"/>
      <c r="AC67" s="370"/>
      <c r="AD67" s="370"/>
      <c r="AE67" s="369" t="s">
        <v>11</v>
      </c>
      <c r="AF67" s="369"/>
      <c r="AG67" s="369"/>
      <c r="AH67" s="369"/>
      <c r="AI67" s="369"/>
      <c r="AJ67" s="369"/>
      <c r="AK67" s="369"/>
      <c r="AL67" s="369"/>
      <c r="AM67" s="369"/>
      <c r="AN67" s="369"/>
      <c r="AO67" s="369"/>
      <c r="AP67" s="369"/>
      <c r="AQ67" s="369"/>
      <c r="AR67" s="369"/>
      <c r="AS67" s="370" t="s">
        <v>12</v>
      </c>
      <c r="AT67" s="370"/>
      <c r="AU67" s="370"/>
      <c r="AV67" s="370"/>
      <c r="AW67" s="370"/>
      <c r="AX67" s="370"/>
      <c r="AY67" s="370"/>
      <c r="AZ67" s="370"/>
      <c r="BA67" s="370"/>
      <c r="BB67" s="370"/>
      <c r="BC67" s="370"/>
      <c r="BD67" s="370"/>
      <c r="BE67" s="370"/>
      <c r="BF67" s="370"/>
      <c r="BG67" s="369"/>
      <c r="BH67" s="369"/>
      <c r="BI67" s="369"/>
      <c r="BJ67" s="369"/>
      <c r="BK67" s="369"/>
      <c r="BL67" s="369"/>
      <c r="BM67" s="369"/>
      <c r="BN67" s="369"/>
      <c r="BO67" s="369"/>
      <c r="BP67" s="369"/>
      <c r="BQ67" s="369"/>
      <c r="BR67" s="369"/>
      <c r="BS67" s="369"/>
      <c r="BT67" s="369"/>
      <c r="BU67" s="369"/>
      <c r="BV67" s="369"/>
      <c r="BW67" s="369"/>
      <c r="BX67" s="369"/>
      <c r="BY67" s="369"/>
      <c r="BZ67" s="369"/>
      <c r="CA67" s="369"/>
      <c r="CB67" s="369"/>
      <c r="CC67" s="369"/>
      <c r="CD67" s="369"/>
      <c r="CE67" s="369"/>
      <c r="CF67" s="369"/>
      <c r="CG67" s="369"/>
      <c r="CH67" s="369"/>
      <c r="CI67" s="369"/>
      <c r="CJ67" s="369"/>
      <c r="CK67" s="369"/>
      <c r="CL67" s="369"/>
      <c r="CM67" s="369"/>
      <c r="CN67" s="371"/>
      <c r="CO67" s="371"/>
      <c r="CP67" s="371"/>
      <c r="CQ67" s="372" t="s">
        <v>13</v>
      </c>
      <c r="CR67" s="372"/>
      <c r="CS67" s="372"/>
      <c r="CT67" s="372"/>
      <c r="CU67" s="372"/>
      <c r="CV67" s="372"/>
      <c r="CW67" s="372"/>
      <c r="CX67" s="372"/>
      <c r="CY67" s="372"/>
      <c r="CZ67" s="372"/>
      <c r="DA67" s="372"/>
      <c r="DB67" s="372"/>
      <c r="DC67" s="372"/>
      <c r="DD67" s="372"/>
      <c r="DE67" s="373"/>
    </row>
    <row r="68" spans="1:109" ht="15" customHeight="1">
      <c r="A68" s="375" t="s">
        <v>14</v>
      </c>
      <c r="B68" s="369"/>
      <c r="C68" s="369"/>
      <c r="D68" s="369"/>
      <c r="E68" s="369"/>
      <c r="F68" s="369"/>
      <c r="G68" s="369"/>
      <c r="H68" s="369"/>
      <c r="I68" s="369"/>
      <c r="J68" s="369"/>
      <c r="K68" s="369"/>
      <c r="L68" s="369"/>
      <c r="M68" s="369"/>
      <c r="N68" s="369"/>
      <c r="O68" s="369"/>
      <c r="P68" s="369"/>
      <c r="Q68" s="369"/>
      <c r="R68" s="369"/>
      <c r="S68" s="370" t="s">
        <v>15</v>
      </c>
      <c r="T68" s="370"/>
      <c r="U68" s="370"/>
      <c r="V68" s="370"/>
      <c r="W68" s="370"/>
      <c r="X68" s="370"/>
      <c r="Y68" s="370"/>
      <c r="Z68" s="370"/>
      <c r="AA68" s="370"/>
      <c r="AB68" s="370"/>
      <c r="AC68" s="370"/>
      <c r="AD68" s="370"/>
      <c r="AE68" s="369" t="s">
        <v>16</v>
      </c>
      <c r="AF68" s="369"/>
      <c r="AG68" s="369"/>
      <c r="AH68" s="369"/>
      <c r="AI68" s="369"/>
      <c r="AJ68" s="369"/>
      <c r="AK68" s="369"/>
      <c r="AL68" s="369"/>
      <c r="AM68" s="369"/>
      <c r="AN68" s="369"/>
      <c r="AO68" s="369"/>
      <c r="AP68" s="369"/>
      <c r="AQ68" s="369"/>
      <c r="AR68" s="369"/>
      <c r="AS68" s="370" t="s">
        <v>17</v>
      </c>
      <c r="AT68" s="370"/>
      <c r="AU68" s="370"/>
      <c r="AV68" s="370"/>
      <c r="AW68" s="370"/>
      <c r="AX68" s="370"/>
      <c r="AY68" s="370"/>
      <c r="AZ68" s="370"/>
      <c r="BA68" s="370"/>
      <c r="BB68" s="370"/>
      <c r="BC68" s="370"/>
      <c r="BD68" s="370"/>
      <c r="BE68" s="370"/>
      <c r="BF68" s="370"/>
      <c r="BG68" s="369"/>
      <c r="BH68" s="369"/>
      <c r="BI68" s="369"/>
      <c r="BJ68" s="369"/>
      <c r="BK68" s="369"/>
      <c r="BL68" s="369"/>
      <c r="BM68" s="369"/>
      <c r="BN68" s="369"/>
      <c r="BO68" s="369"/>
      <c r="BP68" s="369"/>
      <c r="BQ68" s="369"/>
      <c r="BR68" s="369"/>
      <c r="BS68" s="369"/>
      <c r="BT68" s="369"/>
      <c r="BU68" s="369"/>
      <c r="BV68" s="369"/>
      <c r="BW68" s="369"/>
      <c r="BX68" s="369"/>
      <c r="BY68" s="369"/>
      <c r="BZ68" s="369"/>
      <c r="CA68" s="369"/>
      <c r="CB68" s="369"/>
      <c r="CC68" s="369"/>
      <c r="CD68" s="369"/>
      <c r="CE68" s="369"/>
      <c r="CF68" s="369"/>
      <c r="CG68" s="369"/>
      <c r="CH68" s="369"/>
      <c r="CI68" s="369"/>
      <c r="CJ68" s="369"/>
      <c r="CK68" s="369"/>
      <c r="CL68" s="369"/>
      <c r="CM68" s="369"/>
      <c r="CN68" s="371"/>
      <c r="CO68" s="371"/>
      <c r="CP68" s="371"/>
      <c r="CQ68" s="372" t="s">
        <v>18</v>
      </c>
      <c r="CR68" s="372"/>
      <c r="CS68" s="372"/>
      <c r="CT68" s="372"/>
      <c r="CU68" s="372"/>
      <c r="CV68" s="372"/>
      <c r="CW68" s="372"/>
      <c r="CX68" s="372"/>
      <c r="CY68" s="372"/>
      <c r="CZ68" s="372"/>
      <c r="DA68" s="372"/>
      <c r="DB68" s="372"/>
      <c r="DC68" s="372"/>
      <c r="DD68" s="372"/>
      <c r="DE68" s="373"/>
    </row>
    <row r="69" spans="1:109" ht="15" customHeight="1">
      <c r="A69" s="446" t="s">
        <v>84</v>
      </c>
      <c r="B69" s="447"/>
      <c r="C69" s="447"/>
      <c r="D69" s="447"/>
      <c r="E69" s="447"/>
      <c r="F69" s="447"/>
      <c r="G69" s="447"/>
      <c r="H69" s="447"/>
      <c r="I69" s="447"/>
      <c r="J69" s="447"/>
      <c r="K69" s="447"/>
      <c r="L69" s="447"/>
      <c r="M69" s="447"/>
      <c r="N69" s="447"/>
      <c r="O69" s="447"/>
      <c r="P69" s="447"/>
      <c r="Q69" s="447"/>
      <c r="R69" s="447"/>
      <c r="S69" s="447"/>
      <c r="T69" s="447"/>
      <c r="U69" s="447"/>
      <c r="V69" s="447"/>
      <c r="W69" s="447"/>
      <c r="X69" s="447"/>
      <c r="Y69" s="447"/>
      <c r="Z69" s="447"/>
      <c r="AA69" s="447"/>
      <c r="AB69" s="447"/>
      <c r="AC69" s="447"/>
      <c r="AD69" s="447"/>
      <c r="AE69" s="447"/>
      <c r="AF69" s="447"/>
      <c r="AG69" s="447"/>
      <c r="AH69" s="447"/>
      <c r="AI69" s="447"/>
      <c r="AJ69" s="447"/>
      <c r="AK69" s="447"/>
      <c r="AL69" s="447"/>
      <c r="AM69" s="447"/>
      <c r="AN69" s="447"/>
      <c r="AO69" s="447"/>
      <c r="AP69" s="447"/>
      <c r="AQ69" s="447"/>
      <c r="AR69" s="447"/>
      <c r="AS69" s="447"/>
      <c r="AT69" s="447"/>
      <c r="AU69" s="447"/>
      <c r="AV69" s="447"/>
      <c r="AW69" s="447"/>
      <c r="AX69" s="447"/>
      <c r="AY69" s="447"/>
      <c r="AZ69" s="447"/>
      <c r="BA69" s="447"/>
      <c r="BB69" s="447"/>
      <c r="BC69" s="447"/>
      <c r="BD69" s="447"/>
      <c r="BE69" s="447"/>
      <c r="BF69" s="447"/>
      <c r="BG69" s="447"/>
      <c r="BH69" s="447"/>
      <c r="BI69" s="447"/>
      <c r="BJ69" s="447"/>
      <c r="BK69" s="447"/>
      <c r="BL69" s="447"/>
      <c r="BM69" s="447"/>
      <c r="BN69" s="447"/>
      <c r="BO69" s="447"/>
      <c r="BP69" s="447"/>
      <c r="BQ69" s="447"/>
      <c r="BR69" s="447"/>
      <c r="BS69" s="447"/>
      <c r="BT69" s="447"/>
      <c r="BU69" s="447"/>
      <c r="BV69" s="447"/>
      <c r="BW69" s="447"/>
      <c r="BX69" s="447"/>
      <c r="BY69" s="447"/>
      <c r="BZ69" s="447"/>
      <c r="CA69" s="447"/>
      <c r="CB69" s="447"/>
      <c r="CC69" s="447"/>
      <c r="CD69" s="447"/>
      <c r="CE69" s="447"/>
      <c r="CF69" s="447"/>
      <c r="CG69" s="447"/>
      <c r="CH69" s="447"/>
      <c r="CI69" s="447"/>
      <c r="CJ69" s="447"/>
      <c r="CK69" s="447"/>
      <c r="CL69" s="447"/>
      <c r="CM69" s="447"/>
      <c r="CN69" s="447"/>
      <c r="CO69" s="447"/>
      <c r="CP69" s="447"/>
      <c r="CQ69" s="447"/>
      <c r="CR69" s="447"/>
      <c r="CS69" s="447"/>
      <c r="CT69" s="447"/>
      <c r="CU69" s="447"/>
      <c r="CV69" s="447"/>
      <c r="CW69" s="447"/>
      <c r="CX69" s="447"/>
      <c r="CY69" s="447"/>
      <c r="CZ69" s="447"/>
      <c r="DA69" s="447"/>
      <c r="DB69" s="447"/>
      <c r="DC69" s="447"/>
      <c r="DD69" s="447"/>
      <c r="DE69" s="448"/>
    </row>
    <row r="70" spans="1:109" ht="15" customHeight="1">
      <c r="A70" s="449" t="s">
        <v>85</v>
      </c>
      <c r="B70" s="450"/>
      <c r="C70" s="450"/>
      <c r="D70" s="450"/>
      <c r="E70" s="450"/>
      <c r="F70" s="450"/>
      <c r="G70" s="450"/>
      <c r="H70" s="450"/>
      <c r="I70" s="450"/>
      <c r="J70" s="450"/>
      <c r="K70" s="455" t="s">
        <v>86</v>
      </c>
      <c r="L70" s="455"/>
      <c r="M70" s="455"/>
      <c r="N70" s="455"/>
      <c r="O70" s="455"/>
      <c r="P70" s="455"/>
      <c r="Q70" s="455"/>
      <c r="R70" s="455"/>
      <c r="S70" s="455"/>
      <c r="T70" s="450" t="s">
        <v>87</v>
      </c>
      <c r="U70" s="450"/>
      <c r="V70" s="450"/>
      <c r="W70" s="450"/>
      <c r="X70" s="450"/>
      <c r="Y70" s="450"/>
      <c r="Z70" s="450"/>
      <c r="AA70" s="450"/>
      <c r="AB70" s="450"/>
      <c r="AC70" s="455">
        <v>1200</v>
      </c>
      <c r="AD70" s="455"/>
      <c r="AE70" s="455"/>
      <c r="AF70" s="455"/>
      <c r="AG70" s="455"/>
      <c r="AH70" s="455"/>
      <c r="AI70" s="455"/>
      <c r="AJ70" s="455"/>
      <c r="AK70" s="455"/>
      <c r="AL70" s="450" t="s">
        <v>88</v>
      </c>
      <c r="AM70" s="450"/>
      <c r="AN70" s="450"/>
      <c r="AO70" s="450"/>
      <c r="AP70" s="450"/>
      <c r="AQ70" s="450"/>
      <c r="AR70" s="450"/>
      <c r="AS70" s="450"/>
      <c r="AT70" s="450"/>
      <c r="AU70" s="455">
        <v>10</v>
      </c>
      <c r="AV70" s="455"/>
      <c r="AW70" s="455"/>
      <c r="AX70" s="455"/>
      <c r="AY70" s="455"/>
      <c r="AZ70" s="455"/>
      <c r="BA70" s="455"/>
      <c r="BB70" s="455"/>
      <c r="BC70" s="455"/>
      <c r="BD70" s="450" t="s">
        <v>89</v>
      </c>
      <c r="BE70" s="450"/>
      <c r="BF70" s="450"/>
      <c r="BG70" s="450"/>
      <c r="BH70" s="450"/>
      <c r="BI70" s="450"/>
      <c r="BJ70" s="450"/>
      <c r="BK70" s="450"/>
      <c r="BL70" s="450"/>
      <c r="BM70" s="452" t="s">
        <v>90</v>
      </c>
      <c r="BN70" s="453"/>
      <c r="BO70" s="453"/>
      <c r="BP70" s="453"/>
      <c r="BQ70" s="453"/>
      <c r="BR70" s="453"/>
      <c r="BS70" s="453"/>
      <c r="BT70" s="453"/>
      <c r="BU70" s="453"/>
      <c r="BV70" s="453"/>
      <c r="BW70" s="453"/>
      <c r="BX70" s="453"/>
      <c r="BY70" s="453"/>
      <c r="BZ70" s="453"/>
      <c r="CA70" s="453"/>
      <c r="CB70" s="453"/>
      <c r="CC70" s="453"/>
      <c r="CD70" s="453"/>
      <c r="CE70" s="453"/>
      <c r="CF70" s="453"/>
      <c r="CG70" s="453"/>
      <c r="CH70" s="453"/>
      <c r="CI70" s="453"/>
      <c r="CJ70" s="453"/>
      <c r="CK70" s="453"/>
      <c r="CL70" s="453"/>
      <c r="CM70" s="454"/>
      <c r="CN70" s="450" t="s">
        <v>91</v>
      </c>
      <c r="CO70" s="450"/>
      <c r="CP70" s="450"/>
      <c r="CQ70" s="450"/>
      <c r="CR70" s="450"/>
      <c r="CS70" s="450"/>
      <c r="CT70" s="450"/>
      <c r="CU70" s="450"/>
      <c r="CV70" s="450"/>
      <c r="CW70" s="455" t="s">
        <v>92</v>
      </c>
      <c r="CX70" s="455"/>
      <c r="CY70" s="455"/>
      <c r="CZ70" s="455"/>
      <c r="DA70" s="455"/>
      <c r="DB70" s="455"/>
      <c r="DC70" s="455"/>
      <c r="DD70" s="455"/>
      <c r="DE70" s="456"/>
    </row>
    <row r="71" spans="1:109" ht="15" customHeight="1">
      <c r="A71" s="449" t="s">
        <v>93</v>
      </c>
      <c r="B71" s="450"/>
      <c r="C71" s="450"/>
      <c r="D71" s="450"/>
      <c r="E71" s="450"/>
      <c r="F71" s="450"/>
      <c r="G71" s="450"/>
      <c r="H71" s="450"/>
      <c r="I71" s="450"/>
      <c r="J71" s="450"/>
      <c r="K71" s="444" t="s">
        <v>94</v>
      </c>
      <c r="L71" s="444"/>
      <c r="M71" s="444"/>
      <c r="N71" s="444"/>
      <c r="O71" s="444"/>
      <c r="P71" s="444"/>
      <c r="Q71" s="444"/>
      <c r="R71" s="444"/>
      <c r="S71" s="444"/>
      <c r="T71" s="451" t="s">
        <v>95</v>
      </c>
      <c r="U71" s="451"/>
      <c r="V71" s="451"/>
      <c r="W71" s="451"/>
      <c r="X71" s="451"/>
      <c r="Y71" s="451"/>
      <c r="Z71" s="451"/>
      <c r="AA71" s="451"/>
      <c r="AB71" s="451"/>
      <c r="AC71" s="444" t="s">
        <v>96</v>
      </c>
      <c r="AD71" s="444"/>
      <c r="AE71" s="444"/>
      <c r="AF71" s="444"/>
      <c r="AG71" s="444"/>
      <c r="AH71" s="444"/>
      <c r="AI71" s="444"/>
      <c r="AJ71" s="444"/>
      <c r="AK71" s="444"/>
      <c r="AL71" s="451" t="s">
        <v>97</v>
      </c>
      <c r="AM71" s="451"/>
      <c r="AN71" s="451"/>
      <c r="AO71" s="451"/>
      <c r="AP71" s="451"/>
      <c r="AQ71" s="451"/>
      <c r="AR71" s="451"/>
      <c r="AS71" s="451"/>
      <c r="AT71" s="451"/>
      <c r="AU71" s="444" t="s">
        <v>98</v>
      </c>
      <c r="AV71" s="444"/>
      <c r="AW71" s="444"/>
      <c r="AX71" s="444"/>
      <c r="AY71" s="444"/>
      <c r="AZ71" s="444"/>
      <c r="BA71" s="444"/>
      <c r="BB71" s="444"/>
      <c r="BC71" s="444"/>
      <c r="BD71" s="451" t="s">
        <v>99</v>
      </c>
      <c r="BE71" s="451"/>
      <c r="BF71" s="451"/>
      <c r="BG71" s="451"/>
      <c r="BH71" s="451"/>
      <c r="BI71" s="451"/>
      <c r="BJ71" s="451"/>
      <c r="BK71" s="451"/>
      <c r="BL71" s="451"/>
      <c r="BM71" s="452" t="s">
        <v>100</v>
      </c>
      <c r="BN71" s="453"/>
      <c r="BO71" s="453"/>
      <c r="BP71" s="453"/>
      <c r="BQ71" s="453"/>
      <c r="BR71" s="453"/>
      <c r="BS71" s="453"/>
      <c r="BT71" s="453"/>
      <c r="BU71" s="453"/>
      <c r="BV71" s="453"/>
      <c r="BW71" s="453"/>
      <c r="BX71" s="453"/>
      <c r="BY71" s="453"/>
      <c r="BZ71" s="453"/>
      <c r="CA71" s="453"/>
      <c r="CB71" s="453"/>
      <c r="CC71" s="453"/>
      <c r="CD71" s="453"/>
      <c r="CE71" s="453"/>
      <c r="CF71" s="453"/>
      <c r="CG71" s="453"/>
      <c r="CH71" s="453"/>
      <c r="CI71" s="453"/>
      <c r="CJ71" s="453"/>
      <c r="CK71" s="453"/>
      <c r="CL71" s="453"/>
      <c r="CM71" s="454"/>
      <c r="CN71" s="451" t="s">
        <v>101</v>
      </c>
      <c r="CO71" s="451"/>
      <c r="CP71" s="451"/>
      <c r="CQ71" s="451"/>
      <c r="CR71" s="451"/>
      <c r="CS71" s="451"/>
      <c r="CT71" s="451"/>
      <c r="CU71" s="451"/>
      <c r="CV71" s="451"/>
      <c r="CW71" s="444" t="s">
        <v>102</v>
      </c>
      <c r="CX71" s="444"/>
      <c r="CY71" s="444"/>
      <c r="CZ71" s="444"/>
      <c r="DA71" s="444"/>
      <c r="DB71" s="444"/>
      <c r="DC71" s="444"/>
      <c r="DD71" s="444"/>
      <c r="DE71" s="445"/>
    </row>
    <row r="72" spans="1:109" ht="15" customHeight="1">
      <c r="A72" s="446" t="s">
        <v>103</v>
      </c>
      <c r="B72" s="447"/>
      <c r="C72" s="447"/>
      <c r="D72" s="447"/>
      <c r="E72" s="447"/>
      <c r="F72" s="447"/>
      <c r="G72" s="447"/>
      <c r="H72" s="447"/>
      <c r="I72" s="447"/>
      <c r="J72" s="447"/>
      <c r="K72" s="447"/>
      <c r="L72" s="447"/>
      <c r="M72" s="447"/>
      <c r="N72" s="447"/>
      <c r="O72" s="447"/>
      <c r="P72" s="447"/>
      <c r="Q72" s="447"/>
      <c r="R72" s="447"/>
      <c r="S72" s="447"/>
      <c r="T72" s="447"/>
      <c r="U72" s="447"/>
      <c r="V72" s="447"/>
      <c r="W72" s="447"/>
      <c r="X72" s="447"/>
      <c r="Y72" s="447"/>
      <c r="Z72" s="447"/>
      <c r="AA72" s="447"/>
      <c r="AB72" s="447"/>
      <c r="AC72" s="447"/>
      <c r="AD72" s="447"/>
      <c r="AE72" s="447"/>
      <c r="AF72" s="447"/>
      <c r="AG72" s="447"/>
      <c r="AH72" s="447"/>
      <c r="AI72" s="447"/>
      <c r="AJ72" s="447"/>
      <c r="AK72" s="447"/>
      <c r="AL72" s="447"/>
      <c r="AM72" s="447"/>
      <c r="AN72" s="447"/>
      <c r="AO72" s="447"/>
      <c r="AP72" s="447"/>
      <c r="AQ72" s="447"/>
      <c r="AR72" s="447"/>
      <c r="AS72" s="447"/>
      <c r="AT72" s="447"/>
      <c r="AU72" s="447"/>
      <c r="AV72" s="447"/>
      <c r="AW72" s="447"/>
      <c r="AX72" s="447"/>
      <c r="AY72" s="447"/>
      <c r="AZ72" s="447"/>
      <c r="BA72" s="447"/>
      <c r="BB72" s="447"/>
      <c r="BC72" s="447"/>
      <c r="BD72" s="447"/>
      <c r="BE72" s="447"/>
      <c r="BF72" s="447"/>
      <c r="BG72" s="447"/>
      <c r="BH72" s="447"/>
      <c r="BI72" s="447"/>
      <c r="BJ72" s="447"/>
      <c r="BK72" s="447"/>
      <c r="BL72" s="447"/>
      <c r="BM72" s="447"/>
      <c r="BN72" s="447"/>
      <c r="BO72" s="447"/>
      <c r="BP72" s="447"/>
      <c r="BQ72" s="447"/>
      <c r="BR72" s="447"/>
      <c r="BS72" s="447"/>
      <c r="BT72" s="447"/>
      <c r="BU72" s="447"/>
      <c r="BV72" s="447"/>
      <c r="BW72" s="447"/>
      <c r="BX72" s="447"/>
      <c r="BY72" s="447"/>
      <c r="BZ72" s="447"/>
      <c r="CA72" s="447"/>
      <c r="CB72" s="447"/>
      <c r="CC72" s="447"/>
      <c r="CD72" s="447"/>
      <c r="CE72" s="447"/>
      <c r="CF72" s="447"/>
      <c r="CG72" s="447"/>
      <c r="CH72" s="447"/>
      <c r="CI72" s="447"/>
      <c r="CJ72" s="447"/>
      <c r="CK72" s="447"/>
      <c r="CL72" s="447"/>
      <c r="CM72" s="447"/>
      <c r="CN72" s="447"/>
      <c r="CO72" s="447"/>
      <c r="CP72" s="447"/>
      <c r="CQ72" s="447"/>
      <c r="CR72" s="447"/>
      <c r="CS72" s="447"/>
      <c r="CT72" s="447"/>
      <c r="CU72" s="447"/>
      <c r="CV72" s="447"/>
      <c r="CW72" s="447"/>
      <c r="CX72" s="447"/>
      <c r="CY72" s="447"/>
      <c r="CZ72" s="447"/>
      <c r="DA72" s="447"/>
      <c r="DB72" s="447"/>
      <c r="DC72" s="447"/>
      <c r="DD72" s="447"/>
      <c r="DE72" s="448"/>
    </row>
    <row r="73" spans="1:109" ht="15" customHeight="1">
      <c r="A73" s="3"/>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CN73" s="4"/>
      <c r="CO73" s="4"/>
      <c r="CP73" s="4"/>
      <c r="CQ73" s="4"/>
      <c r="CR73" s="4"/>
      <c r="CS73" s="4"/>
      <c r="CT73" s="4"/>
      <c r="CU73" s="4"/>
      <c r="CV73" s="4"/>
      <c r="CW73" s="4"/>
      <c r="CX73" s="4"/>
      <c r="CY73" s="4"/>
      <c r="CZ73" s="4"/>
      <c r="DA73" s="4"/>
      <c r="DB73" s="4"/>
      <c r="DC73" s="4"/>
      <c r="DD73" s="4"/>
      <c r="DE73" s="23"/>
    </row>
    <row r="74" spans="1:109" ht="15" customHeight="1">
      <c r="A74" s="6"/>
      <c r="B74" s="376" t="s">
        <v>19</v>
      </c>
      <c r="C74" s="377"/>
      <c r="D74" s="377"/>
      <c r="E74" s="377"/>
      <c r="F74" s="377"/>
      <c r="G74" s="377"/>
      <c r="H74" s="378"/>
      <c r="I74" s="376" t="s">
        <v>21</v>
      </c>
      <c r="J74" s="377"/>
      <c r="K74" s="377"/>
      <c r="L74" s="377"/>
      <c r="M74" s="377"/>
      <c r="N74" s="377"/>
      <c r="O74" s="378"/>
      <c r="P74" s="376" t="s">
        <v>104</v>
      </c>
      <c r="Q74" s="377"/>
      <c r="R74" s="377"/>
      <c r="S74" s="377"/>
      <c r="T74" s="377"/>
      <c r="U74" s="377"/>
      <c r="V74" s="378"/>
      <c r="W74" s="376" t="s">
        <v>26</v>
      </c>
      <c r="X74" s="377"/>
      <c r="Y74" s="377"/>
      <c r="Z74" s="377"/>
      <c r="AA74" s="377"/>
      <c r="AB74" s="377"/>
      <c r="AC74" s="378"/>
      <c r="AD74" s="376" t="s">
        <v>24</v>
      </c>
      <c r="AE74" s="377"/>
      <c r="AF74" s="377"/>
      <c r="AG74" s="377"/>
      <c r="AH74" s="377"/>
      <c r="AI74" s="377"/>
      <c r="AJ74" s="378"/>
      <c r="AK74" s="376" t="s">
        <v>25</v>
      </c>
      <c r="AL74" s="377"/>
      <c r="AM74" s="377"/>
      <c r="AN74" s="377"/>
      <c r="AO74" s="377"/>
      <c r="AP74" s="377"/>
      <c r="AQ74" s="378"/>
      <c r="AR74" s="376" t="s">
        <v>110</v>
      </c>
      <c r="AS74" s="377"/>
      <c r="AT74" s="377"/>
      <c r="AU74" s="377"/>
      <c r="AV74" s="377"/>
      <c r="AW74" s="377"/>
      <c r="AX74" s="378"/>
      <c r="AY74" s="376" t="s">
        <v>111</v>
      </c>
      <c r="AZ74" s="377"/>
      <c r="BA74" s="377"/>
      <c r="BB74" s="377"/>
      <c r="BC74" s="377"/>
      <c r="BD74" s="377"/>
      <c r="BE74" s="378"/>
      <c r="BF74" s="376" t="s">
        <v>108</v>
      </c>
      <c r="BG74" s="377"/>
      <c r="BH74" s="377"/>
      <c r="BI74" s="377"/>
      <c r="BJ74" s="377"/>
      <c r="BK74" s="377"/>
      <c r="BL74" s="378"/>
      <c r="BM74" s="376" t="s">
        <v>109</v>
      </c>
      <c r="BN74" s="377"/>
      <c r="BO74" s="377"/>
      <c r="BP74" s="377"/>
      <c r="BQ74" s="377"/>
      <c r="BR74" s="377"/>
      <c r="BS74" s="377"/>
      <c r="BT74" s="377"/>
      <c r="BU74" s="377"/>
      <c r="BV74" s="377"/>
      <c r="BW74" s="377"/>
      <c r="BX74" s="377"/>
      <c r="BY74" s="377"/>
      <c r="BZ74" s="377"/>
      <c r="CA74" s="377"/>
      <c r="CB74" s="377"/>
      <c r="CC74" s="377"/>
      <c r="CD74" s="377"/>
      <c r="CE74" s="377"/>
      <c r="CF74" s="377"/>
      <c r="CG74" s="377"/>
      <c r="CH74" s="377"/>
      <c r="CI74" s="377"/>
      <c r="CJ74" s="377"/>
      <c r="CK74" s="377"/>
      <c r="CL74" s="378"/>
      <c r="CM74" s="376" t="s">
        <v>30</v>
      </c>
      <c r="CN74" s="377"/>
      <c r="CO74" s="377"/>
      <c r="CP74" s="377"/>
      <c r="CQ74" s="377"/>
      <c r="CR74" s="377"/>
      <c r="CS74" s="377"/>
      <c r="CT74" s="377"/>
      <c r="CU74" s="377"/>
      <c r="CV74" s="377"/>
      <c r="CW74" s="377"/>
      <c r="CX74" s="377"/>
      <c r="CY74" s="377"/>
      <c r="CZ74" s="377"/>
      <c r="DA74" s="377"/>
      <c r="DB74" s="377"/>
      <c r="DC74" s="377"/>
      <c r="DD74" s="378"/>
      <c r="DE74" s="7"/>
    </row>
    <row r="75" spans="1:109" ht="15" customHeight="1">
      <c r="A75" s="6"/>
      <c r="B75" s="379"/>
      <c r="C75" s="380"/>
      <c r="D75" s="380"/>
      <c r="E75" s="380"/>
      <c r="F75" s="380"/>
      <c r="G75" s="380"/>
      <c r="H75" s="381"/>
      <c r="I75" s="379"/>
      <c r="J75" s="380"/>
      <c r="K75" s="380"/>
      <c r="L75" s="380"/>
      <c r="M75" s="380"/>
      <c r="N75" s="380"/>
      <c r="O75" s="381"/>
      <c r="P75" s="379"/>
      <c r="Q75" s="380"/>
      <c r="R75" s="380"/>
      <c r="S75" s="380"/>
      <c r="T75" s="380"/>
      <c r="U75" s="380"/>
      <c r="V75" s="381"/>
      <c r="W75" s="379"/>
      <c r="X75" s="380"/>
      <c r="Y75" s="380"/>
      <c r="Z75" s="380"/>
      <c r="AA75" s="380"/>
      <c r="AB75" s="380"/>
      <c r="AC75" s="381"/>
      <c r="AD75" s="379"/>
      <c r="AE75" s="380"/>
      <c r="AF75" s="380"/>
      <c r="AG75" s="380"/>
      <c r="AH75" s="380"/>
      <c r="AI75" s="380"/>
      <c r="AJ75" s="381"/>
      <c r="AK75" s="379"/>
      <c r="AL75" s="380"/>
      <c r="AM75" s="380"/>
      <c r="AN75" s="380"/>
      <c r="AO75" s="380"/>
      <c r="AP75" s="380"/>
      <c r="AQ75" s="381"/>
      <c r="AR75" s="379"/>
      <c r="AS75" s="380"/>
      <c r="AT75" s="380"/>
      <c r="AU75" s="380"/>
      <c r="AV75" s="380"/>
      <c r="AW75" s="380"/>
      <c r="AX75" s="381"/>
      <c r="AY75" s="379"/>
      <c r="AZ75" s="380"/>
      <c r="BA75" s="380"/>
      <c r="BB75" s="380"/>
      <c r="BC75" s="380"/>
      <c r="BD75" s="380"/>
      <c r="BE75" s="381"/>
      <c r="BF75" s="379"/>
      <c r="BG75" s="380"/>
      <c r="BH75" s="380"/>
      <c r="BI75" s="380"/>
      <c r="BJ75" s="380"/>
      <c r="BK75" s="380"/>
      <c r="BL75" s="381"/>
      <c r="BM75" s="379"/>
      <c r="BN75" s="380"/>
      <c r="BO75" s="380"/>
      <c r="BP75" s="380"/>
      <c r="BQ75" s="380"/>
      <c r="BR75" s="380"/>
      <c r="BS75" s="380"/>
      <c r="BT75" s="380"/>
      <c r="BU75" s="380"/>
      <c r="BV75" s="380"/>
      <c r="BW75" s="380"/>
      <c r="BX75" s="380"/>
      <c r="BY75" s="380"/>
      <c r="BZ75" s="380"/>
      <c r="CA75" s="380"/>
      <c r="CB75" s="380"/>
      <c r="CC75" s="380"/>
      <c r="CD75" s="380"/>
      <c r="CE75" s="380"/>
      <c r="CF75" s="380"/>
      <c r="CG75" s="380"/>
      <c r="CH75" s="380"/>
      <c r="CI75" s="380"/>
      <c r="CJ75" s="380"/>
      <c r="CK75" s="380"/>
      <c r="CL75" s="381"/>
      <c r="CM75" s="379"/>
      <c r="CN75" s="380"/>
      <c r="CO75" s="380"/>
      <c r="CP75" s="380"/>
      <c r="CQ75" s="380"/>
      <c r="CR75" s="380"/>
      <c r="CS75" s="380"/>
      <c r="CT75" s="380"/>
      <c r="CU75" s="380"/>
      <c r="CV75" s="380"/>
      <c r="CW75" s="380"/>
      <c r="CX75" s="380"/>
      <c r="CY75" s="380"/>
      <c r="CZ75" s="380"/>
      <c r="DA75" s="380"/>
      <c r="DB75" s="380"/>
      <c r="DC75" s="380"/>
      <c r="DD75" s="381"/>
      <c r="DE75" s="7"/>
    </row>
    <row r="76" spans="1:109" ht="15" customHeight="1">
      <c r="A76" s="6"/>
      <c r="B76" s="353"/>
      <c r="C76" s="354"/>
      <c r="D76" s="354"/>
      <c r="E76" s="354"/>
      <c r="F76" s="354"/>
      <c r="G76" s="354"/>
      <c r="H76" s="355"/>
      <c r="I76" s="353"/>
      <c r="J76" s="354"/>
      <c r="K76" s="354"/>
      <c r="L76" s="354"/>
      <c r="M76" s="354"/>
      <c r="N76" s="354"/>
      <c r="O76" s="355"/>
      <c r="P76" s="353"/>
      <c r="Q76" s="354"/>
      <c r="R76" s="354"/>
      <c r="S76" s="354"/>
      <c r="T76" s="354"/>
      <c r="U76" s="354"/>
      <c r="V76" s="355"/>
      <c r="W76" s="395"/>
      <c r="X76" s="396"/>
      <c r="Y76" s="396"/>
      <c r="Z76" s="396"/>
      <c r="AA76" s="396"/>
      <c r="AB76" s="396"/>
      <c r="AC76" s="397"/>
      <c r="AD76" s="395"/>
      <c r="AE76" s="396"/>
      <c r="AF76" s="396"/>
      <c r="AG76" s="396"/>
      <c r="AH76" s="396"/>
      <c r="AI76" s="396"/>
      <c r="AJ76" s="397"/>
      <c r="AK76" s="395"/>
      <c r="AL76" s="396"/>
      <c r="AM76" s="396"/>
      <c r="AN76" s="396"/>
      <c r="AO76" s="396"/>
      <c r="AP76" s="396"/>
      <c r="AQ76" s="397"/>
      <c r="AR76" s="395"/>
      <c r="AS76" s="396"/>
      <c r="AT76" s="396"/>
      <c r="AU76" s="396"/>
      <c r="AV76" s="396"/>
      <c r="AW76" s="396"/>
      <c r="AX76" s="397"/>
      <c r="AY76" s="395"/>
      <c r="AZ76" s="396"/>
      <c r="BA76" s="396"/>
      <c r="BB76" s="396"/>
      <c r="BC76" s="396"/>
      <c r="BD76" s="396"/>
      <c r="BE76" s="397"/>
      <c r="BF76" s="395"/>
      <c r="BG76" s="396"/>
      <c r="BH76" s="396"/>
      <c r="BI76" s="396"/>
      <c r="BJ76" s="396"/>
      <c r="BK76" s="396"/>
      <c r="BL76" s="397"/>
      <c r="BM76" s="353"/>
      <c r="BN76" s="354"/>
      <c r="BO76" s="354"/>
      <c r="BP76" s="354"/>
      <c r="BQ76" s="354"/>
      <c r="BR76" s="354"/>
      <c r="BS76" s="354"/>
      <c r="BT76" s="354"/>
      <c r="BU76" s="354"/>
      <c r="BV76" s="354"/>
      <c r="BW76" s="354"/>
      <c r="BX76" s="354"/>
      <c r="BY76" s="354"/>
      <c r="BZ76" s="354"/>
      <c r="CA76" s="354"/>
      <c r="CB76" s="354"/>
      <c r="CC76" s="354"/>
      <c r="CD76" s="354"/>
      <c r="CE76" s="354"/>
      <c r="CF76" s="354"/>
      <c r="CG76" s="354"/>
      <c r="CH76" s="354"/>
      <c r="CI76" s="354"/>
      <c r="CJ76" s="354"/>
      <c r="CK76" s="354"/>
      <c r="CL76" s="355"/>
      <c r="CM76" s="353"/>
      <c r="CN76" s="354"/>
      <c r="CO76" s="354"/>
      <c r="CP76" s="354"/>
      <c r="CQ76" s="354"/>
      <c r="CR76" s="354"/>
      <c r="CS76" s="354"/>
      <c r="CT76" s="354"/>
      <c r="CU76" s="354"/>
      <c r="CV76" s="354"/>
      <c r="CW76" s="354"/>
      <c r="CX76" s="354"/>
      <c r="CY76" s="354"/>
      <c r="CZ76" s="354"/>
      <c r="DA76" s="354"/>
      <c r="DB76" s="354"/>
      <c r="DC76" s="354"/>
      <c r="DD76" s="355"/>
      <c r="DE76" s="7"/>
    </row>
    <row r="77" spans="1:109" ht="15" customHeight="1">
      <c r="A77" s="6"/>
      <c r="B77" s="356"/>
      <c r="C77" s="357"/>
      <c r="D77" s="357"/>
      <c r="E77" s="357"/>
      <c r="F77" s="357"/>
      <c r="G77" s="357"/>
      <c r="H77" s="358"/>
      <c r="I77" s="356"/>
      <c r="J77" s="357"/>
      <c r="K77" s="357"/>
      <c r="L77" s="357"/>
      <c r="M77" s="357"/>
      <c r="N77" s="357"/>
      <c r="O77" s="358"/>
      <c r="P77" s="356"/>
      <c r="Q77" s="357"/>
      <c r="R77" s="357"/>
      <c r="S77" s="357"/>
      <c r="T77" s="357"/>
      <c r="U77" s="357"/>
      <c r="V77" s="358"/>
      <c r="W77" s="398"/>
      <c r="X77" s="399"/>
      <c r="Y77" s="399"/>
      <c r="Z77" s="399"/>
      <c r="AA77" s="399"/>
      <c r="AB77" s="399"/>
      <c r="AC77" s="400"/>
      <c r="AD77" s="398"/>
      <c r="AE77" s="399"/>
      <c r="AF77" s="399"/>
      <c r="AG77" s="399"/>
      <c r="AH77" s="399"/>
      <c r="AI77" s="399"/>
      <c r="AJ77" s="400"/>
      <c r="AK77" s="398"/>
      <c r="AL77" s="399"/>
      <c r="AM77" s="399"/>
      <c r="AN77" s="399"/>
      <c r="AO77" s="399"/>
      <c r="AP77" s="399"/>
      <c r="AQ77" s="400"/>
      <c r="AR77" s="398"/>
      <c r="AS77" s="399"/>
      <c r="AT77" s="399"/>
      <c r="AU77" s="399"/>
      <c r="AV77" s="399"/>
      <c r="AW77" s="399"/>
      <c r="AX77" s="400"/>
      <c r="AY77" s="398"/>
      <c r="AZ77" s="399"/>
      <c r="BA77" s="399"/>
      <c r="BB77" s="399"/>
      <c r="BC77" s="399"/>
      <c r="BD77" s="399"/>
      <c r="BE77" s="400"/>
      <c r="BF77" s="398"/>
      <c r="BG77" s="399"/>
      <c r="BH77" s="399"/>
      <c r="BI77" s="399"/>
      <c r="BJ77" s="399"/>
      <c r="BK77" s="399"/>
      <c r="BL77" s="400"/>
      <c r="BM77" s="356"/>
      <c r="BN77" s="357"/>
      <c r="BO77" s="357"/>
      <c r="BP77" s="357"/>
      <c r="BQ77" s="357"/>
      <c r="BR77" s="357"/>
      <c r="BS77" s="357"/>
      <c r="BT77" s="357"/>
      <c r="BU77" s="357"/>
      <c r="BV77" s="357"/>
      <c r="BW77" s="357"/>
      <c r="BX77" s="357"/>
      <c r="BY77" s="357"/>
      <c r="BZ77" s="357"/>
      <c r="CA77" s="357"/>
      <c r="CB77" s="357"/>
      <c r="CC77" s="357"/>
      <c r="CD77" s="357"/>
      <c r="CE77" s="357"/>
      <c r="CF77" s="357"/>
      <c r="CG77" s="357"/>
      <c r="CH77" s="357"/>
      <c r="CI77" s="357"/>
      <c r="CJ77" s="357"/>
      <c r="CK77" s="357"/>
      <c r="CL77" s="358"/>
      <c r="CM77" s="356"/>
      <c r="CN77" s="357"/>
      <c r="CO77" s="357"/>
      <c r="CP77" s="357"/>
      <c r="CQ77" s="357"/>
      <c r="CR77" s="357"/>
      <c r="CS77" s="357"/>
      <c r="CT77" s="357"/>
      <c r="CU77" s="357"/>
      <c r="CV77" s="357"/>
      <c r="CW77" s="357"/>
      <c r="CX77" s="357"/>
      <c r="CY77" s="357"/>
      <c r="CZ77" s="357"/>
      <c r="DA77" s="357"/>
      <c r="DB77" s="357"/>
      <c r="DC77" s="357"/>
      <c r="DD77" s="358"/>
      <c r="DE77" s="7"/>
    </row>
    <row r="78" spans="1:109" ht="15" customHeight="1">
      <c r="A78" s="3"/>
      <c r="B78" s="382"/>
      <c r="C78" s="383"/>
      <c r="D78" s="383"/>
      <c r="E78" s="383"/>
      <c r="F78" s="383"/>
      <c r="G78" s="383"/>
      <c r="H78" s="384"/>
      <c r="I78" s="382"/>
      <c r="J78" s="383"/>
      <c r="K78" s="383"/>
      <c r="L78" s="383"/>
      <c r="M78" s="383"/>
      <c r="N78" s="383"/>
      <c r="O78" s="384"/>
      <c r="P78" s="382"/>
      <c r="Q78" s="383"/>
      <c r="R78" s="383"/>
      <c r="S78" s="383"/>
      <c r="T78" s="383"/>
      <c r="U78" s="383"/>
      <c r="V78" s="384"/>
      <c r="W78" s="408"/>
      <c r="X78" s="409"/>
      <c r="Y78" s="409"/>
      <c r="Z78" s="409"/>
      <c r="AA78" s="409"/>
      <c r="AB78" s="409"/>
      <c r="AC78" s="410"/>
      <c r="AD78" s="408"/>
      <c r="AE78" s="409"/>
      <c r="AF78" s="409"/>
      <c r="AG78" s="409"/>
      <c r="AH78" s="409"/>
      <c r="AI78" s="409"/>
      <c r="AJ78" s="410"/>
      <c r="AK78" s="408"/>
      <c r="AL78" s="409"/>
      <c r="AM78" s="409"/>
      <c r="AN78" s="409"/>
      <c r="AO78" s="409"/>
      <c r="AP78" s="409"/>
      <c r="AQ78" s="410"/>
      <c r="AR78" s="408"/>
      <c r="AS78" s="409"/>
      <c r="AT78" s="409"/>
      <c r="AU78" s="409"/>
      <c r="AV78" s="409"/>
      <c r="AW78" s="409"/>
      <c r="AX78" s="410"/>
      <c r="AY78" s="408"/>
      <c r="AZ78" s="409"/>
      <c r="BA78" s="409"/>
      <c r="BB78" s="409"/>
      <c r="BC78" s="409"/>
      <c r="BD78" s="409"/>
      <c r="BE78" s="410"/>
      <c r="BF78" s="408"/>
      <c r="BG78" s="409"/>
      <c r="BH78" s="409"/>
      <c r="BI78" s="409"/>
      <c r="BJ78" s="409"/>
      <c r="BK78" s="409"/>
      <c r="BL78" s="410"/>
      <c r="BM78" s="382"/>
      <c r="BN78" s="383"/>
      <c r="BO78" s="383"/>
      <c r="BP78" s="383"/>
      <c r="BQ78" s="383"/>
      <c r="BR78" s="383"/>
      <c r="BS78" s="383"/>
      <c r="BT78" s="383"/>
      <c r="BU78" s="383"/>
      <c r="BV78" s="383"/>
      <c r="BW78" s="383"/>
      <c r="BX78" s="383"/>
      <c r="BY78" s="383"/>
      <c r="BZ78" s="383"/>
      <c r="CA78" s="383"/>
      <c r="CB78" s="383"/>
      <c r="CC78" s="383"/>
      <c r="CD78" s="383"/>
      <c r="CE78" s="383"/>
      <c r="CF78" s="383"/>
      <c r="CG78" s="383"/>
      <c r="CH78" s="383"/>
      <c r="CI78" s="383"/>
      <c r="CJ78" s="383"/>
      <c r="CK78" s="383"/>
      <c r="CL78" s="384"/>
      <c r="CM78" s="382"/>
      <c r="CN78" s="383"/>
      <c r="CO78" s="383"/>
      <c r="CP78" s="383"/>
      <c r="CQ78" s="383"/>
      <c r="CR78" s="383"/>
      <c r="CS78" s="383"/>
      <c r="CT78" s="383"/>
      <c r="CU78" s="383"/>
      <c r="CV78" s="383"/>
      <c r="CW78" s="383"/>
      <c r="CX78" s="383"/>
      <c r="CY78" s="383"/>
      <c r="CZ78" s="383"/>
      <c r="DA78" s="383"/>
      <c r="DB78" s="383"/>
      <c r="DC78" s="383"/>
      <c r="DD78" s="384"/>
      <c r="DE78" s="7"/>
    </row>
    <row r="79" spans="1:109" ht="15" customHeight="1">
      <c r="A79" s="6"/>
      <c r="B79" s="385"/>
      <c r="C79" s="386"/>
      <c r="D79" s="386"/>
      <c r="E79" s="386"/>
      <c r="F79" s="386"/>
      <c r="G79" s="386"/>
      <c r="H79" s="387"/>
      <c r="I79" s="385"/>
      <c r="J79" s="386"/>
      <c r="K79" s="386"/>
      <c r="L79" s="386"/>
      <c r="M79" s="386"/>
      <c r="N79" s="386"/>
      <c r="O79" s="387"/>
      <c r="P79" s="385"/>
      <c r="Q79" s="386"/>
      <c r="R79" s="386"/>
      <c r="S79" s="386"/>
      <c r="T79" s="386"/>
      <c r="U79" s="386"/>
      <c r="V79" s="387"/>
      <c r="W79" s="411"/>
      <c r="X79" s="412"/>
      <c r="Y79" s="412"/>
      <c r="Z79" s="412"/>
      <c r="AA79" s="412"/>
      <c r="AB79" s="412"/>
      <c r="AC79" s="413"/>
      <c r="AD79" s="411"/>
      <c r="AE79" s="412"/>
      <c r="AF79" s="412"/>
      <c r="AG79" s="412"/>
      <c r="AH79" s="412"/>
      <c r="AI79" s="412"/>
      <c r="AJ79" s="413"/>
      <c r="AK79" s="411"/>
      <c r="AL79" s="412"/>
      <c r="AM79" s="412"/>
      <c r="AN79" s="412"/>
      <c r="AO79" s="412"/>
      <c r="AP79" s="412"/>
      <c r="AQ79" s="413"/>
      <c r="AR79" s="411"/>
      <c r="AS79" s="412"/>
      <c r="AT79" s="412"/>
      <c r="AU79" s="412"/>
      <c r="AV79" s="412"/>
      <c r="AW79" s="412"/>
      <c r="AX79" s="413"/>
      <c r="AY79" s="411"/>
      <c r="AZ79" s="412"/>
      <c r="BA79" s="412"/>
      <c r="BB79" s="412"/>
      <c r="BC79" s="412"/>
      <c r="BD79" s="412"/>
      <c r="BE79" s="413"/>
      <c r="BF79" s="411"/>
      <c r="BG79" s="412"/>
      <c r="BH79" s="412"/>
      <c r="BI79" s="412"/>
      <c r="BJ79" s="412"/>
      <c r="BK79" s="412"/>
      <c r="BL79" s="413"/>
      <c r="BM79" s="385"/>
      <c r="BN79" s="386"/>
      <c r="BO79" s="386"/>
      <c r="BP79" s="386"/>
      <c r="BQ79" s="386"/>
      <c r="BR79" s="386"/>
      <c r="BS79" s="386"/>
      <c r="BT79" s="386"/>
      <c r="BU79" s="386"/>
      <c r="BV79" s="386"/>
      <c r="BW79" s="386"/>
      <c r="BX79" s="386"/>
      <c r="BY79" s="386"/>
      <c r="BZ79" s="386"/>
      <c r="CA79" s="386"/>
      <c r="CB79" s="386"/>
      <c r="CC79" s="386"/>
      <c r="CD79" s="386"/>
      <c r="CE79" s="386"/>
      <c r="CF79" s="386"/>
      <c r="CG79" s="386"/>
      <c r="CH79" s="386"/>
      <c r="CI79" s="386"/>
      <c r="CJ79" s="386"/>
      <c r="CK79" s="386"/>
      <c r="CL79" s="387"/>
      <c r="CM79" s="385"/>
      <c r="CN79" s="386"/>
      <c r="CO79" s="386"/>
      <c r="CP79" s="386"/>
      <c r="CQ79" s="386"/>
      <c r="CR79" s="386"/>
      <c r="CS79" s="386"/>
      <c r="CT79" s="386"/>
      <c r="CU79" s="386"/>
      <c r="CV79" s="386"/>
      <c r="CW79" s="386"/>
      <c r="CX79" s="386"/>
      <c r="CY79" s="386"/>
      <c r="CZ79" s="386"/>
      <c r="DA79" s="386"/>
      <c r="DB79" s="386"/>
      <c r="DC79" s="386"/>
      <c r="DD79" s="387"/>
      <c r="DE79" s="7"/>
    </row>
    <row r="80" spans="1:109" ht="15" customHeight="1">
      <c r="A80" s="8"/>
      <c r="B80" s="353"/>
      <c r="C80" s="354"/>
      <c r="D80" s="354"/>
      <c r="E80" s="354"/>
      <c r="F80" s="354"/>
      <c r="G80" s="354"/>
      <c r="H80" s="355"/>
      <c r="I80" s="352"/>
      <c r="J80" s="352"/>
      <c r="K80" s="352"/>
      <c r="L80" s="352"/>
      <c r="M80" s="352"/>
      <c r="N80" s="352"/>
      <c r="O80" s="352"/>
      <c r="P80" s="352"/>
      <c r="Q80" s="352"/>
      <c r="R80" s="352"/>
      <c r="S80" s="352"/>
      <c r="T80" s="352"/>
      <c r="U80" s="352"/>
      <c r="V80" s="352"/>
      <c r="W80" s="360"/>
      <c r="X80" s="360"/>
      <c r="Y80" s="360"/>
      <c r="Z80" s="360"/>
      <c r="AA80" s="360"/>
      <c r="AB80" s="360"/>
      <c r="AC80" s="360"/>
      <c r="AD80" s="360"/>
      <c r="AE80" s="360"/>
      <c r="AF80" s="360"/>
      <c r="AG80" s="360"/>
      <c r="AH80" s="360"/>
      <c r="AI80" s="360"/>
      <c r="AJ80" s="360"/>
      <c r="AK80" s="360"/>
      <c r="AL80" s="360"/>
      <c r="AM80" s="360"/>
      <c r="AN80" s="360"/>
      <c r="AO80" s="360"/>
      <c r="AP80" s="360"/>
      <c r="AQ80" s="360"/>
      <c r="AR80" s="360"/>
      <c r="AS80" s="360"/>
      <c r="AT80" s="360"/>
      <c r="AU80" s="360"/>
      <c r="AV80" s="360"/>
      <c r="AW80" s="360"/>
      <c r="AX80" s="360"/>
      <c r="AY80" s="360"/>
      <c r="AZ80" s="360"/>
      <c r="BA80" s="360"/>
      <c r="BB80" s="360"/>
      <c r="BC80" s="360"/>
      <c r="BD80" s="360"/>
      <c r="BE80" s="360"/>
      <c r="BF80" s="360"/>
      <c r="BG80" s="360"/>
      <c r="BH80" s="360"/>
      <c r="BI80" s="360"/>
      <c r="BJ80" s="360"/>
      <c r="BK80" s="360"/>
      <c r="BL80" s="360"/>
      <c r="BM80" s="352"/>
      <c r="BN80" s="352"/>
      <c r="BO80" s="352"/>
      <c r="BP80" s="352"/>
      <c r="BQ80" s="352"/>
      <c r="BR80" s="352"/>
      <c r="BS80" s="352"/>
      <c r="BT80" s="352"/>
      <c r="BU80" s="352"/>
      <c r="BV80" s="352"/>
      <c r="BW80" s="352"/>
      <c r="BX80" s="352"/>
      <c r="BY80" s="352"/>
      <c r="BZ80" s="352"/>
      <c r="CA80" s="352"/>
      <c r="CB80" s="352"/>
      <c r="CC80" s="352"/>
      <c r="CD80" s="352"/>
      <c r="CE80" s="352"/>
      <c r="CF80" s="352"/>
      <c r="CG80" s="352"/>
      <c r="CH80" s="352"/>
      <c r="CI80" s="352"/>
      <c r="CJ80" s="352"/>
      <c r="CK80" s="352"/>
      <c r="CL80" s="352"/>
      <c r="CM80" s="352"/>
      <c r="CN80" s="352"/>
      <c r="CO80" s="352"/>
      <c r="CP80" s="352"/>
      <c r="CQ80" s="352"/>
      <c r="CR80" s="352"/>
      <c r="CS80" s="352"/>
      <c r="CT80" s="352"/>
      <c r="CU80" s="352"/>
      <c r="CV80" s="352"/>
      <c r="CW80" s="352"/>
      <c r="CX80" s="352"/>
      <c r="CY80" s="352"/>
      <c r="CZ80" s="352"/>
      <c r="DA80" s="352"/>
      <c r="DB80" s="352"/>
      <c r="DC80" s="352"/>
      <c r="DD80" s="352"/>
      <c r="DE80" s="7"/>
    </row>
    <row r="81" spans="1:109" ht="15" customHeight="1">
      <c r="A81" s="8"/>
      <c r="B81" s="356"/>
      <c r="C81" s="357"/>
      <c r="D81" s="357"/>
      <c r="E81" s="357"/>
      <c r="F81" s="357"/>
      <c r="G81" s="357"/>
      <c r="H81" s="358"/>
      <c r="I81" s="352"/>
      <c r="J81" s="352"/>
      <c r="K81" s="352"/>
      <c r="L81" s="352"/>
      <c r="M81" s="352"/>
      <c r="N81" s="352"/>
      <c r="O81" s="352"/>
      <c r="P81" s="352"/>
      <c r="Q81" s="352"/>
      <c r="R81" s="352"/>
      <c r="S81" s="352"/>
      <c r="T81" s="352"/>
      <c r="U81" s="352"/>
      <c r="V81" s="352"/>
      <c r="W81" s="360"/>
      <c r="X81" s="360"/>
      <c r="Y81" s="360"/>
      <c r="Z81" s="360"/>
      <c r="AA81" s="360"/>
      <c r="AB81" s="360"/>
      <c r="AC81" s="360"/>
      <c r="AD81" s="360"/>
      <c r="AE81" s="360"/>
      <c r="AF81" s="360"/>
      <c r="AG81" s="360"/>
      <c r="AH81" s="360"/>
      <c r="AI81" s="360"/>
      <c r="AJ81" s="360"/>
      <c r="AK81" s="360"/>
      <c r="AL81" s="360"/>
      <c r="AM81" s="360"/>
      <c r="AN81" s="360"/>
      <c r="AO81" s="360"/>
      <c r="AP81" s="360"/>
      <c r="AQ81" s="360"/>
      <c r="AR81" s="360"/>
      <c r="AS81" s="360"/>
      <c r="AT81" s="360"/>
      <c r="AU81" s="360"/>
      <c r="AV81" s="360"/>
      <c r="AW81" s="360"/>
      <c r="AX81" s="360"/>
      <c r="AY81" s="360"/>
      <c r="AZ81" s="360"/>
      <c r="BA81" s="360"/>
      <c r="BB81" s="360"/>
      <c r="BC81" s="360"/>
      <c r="BD81" s="360"/>
      <c r="BE81" s="360"/>
      <c r="BF81" s="360"/>
      <c r="BG81" s="360"/>
      <c r="BH81" s="360"/>
      <c r="BI81" s="360"/>
      <c r="BJ81" s="360"/>
      <c r="BK81" s="360"/>
      <c r="BL81" s="360"/>
      <c r="BM81" s="352"/>
      <c r="BN81" s="352"/>
      <c r="BO81" s="352"/>
      <c r="BP81" s="352"/>
      <c r="BQ81" s="352"/>
      <c r="BR81" s="352"/>
      <c r="BS81" s="352"/>
      <c r="BT81" s="352"/>
      <c r="BU81" s="352"/>
      <c r="BV81" s="352"/>
      <c r="BW81" s="352"/>
      <c r="BX81" s="352"/>
      <c r="BY81" s="352"/>
      <c r="BZ81" s="352"/>
      <c r="CA81" s="352"/>
      <c r="CB81" s="352"/>
      <c r="CC81" s="352"/>
      <c r="CD81" s="352"/>
      <c r="CE81" s="352"/>
      <c r="CF81" s="352"/>
      <c r="CG81" s="352"/>
      <c r="CH81" s="352"/>
      <c r="CI81" s="352"/>
      <c r="CJ81" s="352"/>
      <c r="CK81" s="352"/>
      <c r="CL81" s="352"/>
      <c r="CM81" s="352"/>
      <c r="CN81" s="352"/>
      <c r="CO81" s="352"/>
      <c r="CP81" s="352"/>
      <c r="CQ81" s="352"/>
      <c r="CR81" s="352"/>
      <c r="CS81" s="352"/>
      <c r="CT81" s="352"/>
      <c r="CU81" s="352"/>
      <c r="CV81" s="352"/>
      <c r="CW81" s="352"/>
      <c r="CX81" s="352"/>
      <c r="CY81" s="352"/>
      <c r="CZ81" s="352"/>
      <c r="DA81" s="352"/>
      <c r="DB81" s="352"/>
      <c r="DC81" s="352"/>
      <c r="DD81" s="352"/>
      <c r="DE81" s="7"/>
    </row>
    <row r="82" spans="1:109" ht="15" customHeight="1">
      <c r="A82" s="3"/>
      <c r="B82" s="382"/>
      <c r="C82" s="383"/>
      <c r="D82" s="383"/>
      <c r="E82" s="383"/>
      <c r="F82" s="383"/>
      <c r="G82" s="383"/>
      <c r="H82" s="384"/>
      <c r="I82" s="351"/>
      <c r="J82" s="351"/>
      <c r="K82" s="351"/>
      <c r="L82" s="351"/>
      <c r="M82" s="351"/>
      <c r="N82" s="351"/>
      <c r="O82" s="351"/>
      <c r="P82" s="351"/>
      <c r="Q82" s="351"/>
      <c r="R82" s="351"/>
      <c r="S82" s="351"/>
      <c r="T82" s="351"/>
      <c r="U82" s="351"/>
      <c r="V82" s="351"/>
      <c r="W82" s="359"/>
      <c r="X82" s="359"/>
      <c r="Y82" s="359"/>
      <c r="Z82" s="359"/>
      <c r="AA82" s="359"/>
      <c r="AB82" s="359"/>
      <c r="AC82" s="359"/>
      <c r="AD82" s="359"/>
      <c r="AE82" s="359"/>
      <c r="AF82" s="359"/>
      <c r="AG82" s="359"/>
      <c r="AH82" s="359"/>
      <c r="AI82" s="359"/>
      <c r="AJ82" s="359"/>
      <c r="AK82" s="359"/>
      <c r="AL82" s="359"/>
      <c r="AM82" s="359"/>
      <c r="AN82" s="359"/>
      <c r="AO82" s="359"/>
      <c r="AP82" s="359"/>
      <c r="AQ82" s="359"/>
      <c r="AR82" s="359"/>
      <c r="AS82" s="359"/>
      <c r="AT82" s="359"/>
      <c r="AU82" s="359"/>
      <c r="AV82" s="359"/>
      <c r="AW82" s="359"/>
      <c r="AX82" s="359"/>
      <c r="AY82" s="359"/>
      <c r="AZ82" s="359"/>
      <c r="BA82" s="359"/>
      <c r="BB82" s="359"/>
      <c r="BC82" s="359"/>
      <c r="BD82" s="359"/>
      <c r="BE82" s="359"/>
      <c r="BF82" s="359"/>
      <c r="BG82" s="359"/>
      <c r="BH82" s="359"/>
      <c r="BI82" s="359"/>
      <c r="BJ82" s="359"/>
      <c r="BK82" s="359"/>
      <c r="BL82" s="359"/>
      <c r="BM82" s="351"/>
      <c r="BN82" s="351"/>
      <c r="BO82" s="351"/>
      <c r="BP82" s="351"/>
      <c r="BQ82" s="351"/>
      <c r="BR82" s="351"/>
      <c r="BS82" s="351"/>
      <c r="BT82" s="351"/>
      <c r="BU82" s="351"/>
      <c r="BV82" s="351"/>
      <c r="BW82" s="351"/>
      <c r="BX82" s="351"/>
      <c r="BY82" s="351"/>
      <c r="BZ82" s="351"/>
      <c r="CA82" s="351"/>
      <c r="CB82" s="351"/>
      <c r="CC82" s="351"/>
      <c r="CD82" s="351"/>
      <c r="CE82" s="351"/>
      <c r="CF82" s="351"/>
      <c r="CG82" s="351"/>
      <c r="CH82" s="351"/>
      <c r="CI82" s="351"/>
      <c r="CJ82" s="351"/>
      <c r="CK82" s="351"/>
      <c r="CL82" s="351"/>
      <c r="CM82" s="351"/>
      <c r="CN82" s="351"/>
      <c r="CO82" s="351"/>
      <c r="CP82" s="351"/>
      <c r="CQ82" s="351"/>
      <c r="CR82" s="351"/>
      <c r="CS82" s="351"/>
      <c r="CT82" s="351"/>
      <c r="CU82" s="351"/>
      <c r="CV82" s="351"/>
      <c r="CW82" s="351"/>
      <c r="CX82" s="351"/>
      <c r="CY82" s="351"/>
      <c r="CZ82" s="351"/>
      <c r="DA82" s="351"/>
      <c r="DB82" s="351"/>
      <c r="DC82" s="351"/>
      <c r="DD82" s="351"/>
      <c r="DE82" s="7"/>
    </row>
    <row r="83" spans="1:109" ht="15" customHeight="1">
      <c r="A83" s="3"/>
      <c r="B83" s="385"/>
      <c r="C83" s="386"/>
      <c r="D83" s="386"/>
      <c r="E83" s="386"/>
      <c r="F83" s="386"/>
      <c r="G83" s="386"/>
      <c r="H83" s="387"/>
      <c r="I83" s="351"/>
      <c r="J83" s="351"/>
      <c r="K83" s="351"/>
      <c r="L83" s="351"/>
      <c r="M83" s="351"/>
      <c r="N83" s="351"/>
      <c r="O83" s="351"/>
      <c r="P83" s="351"/>
      <c r="Q83" s="351"/>
      <c r="R83" s="351"/>
      <c r="S83" s="351"/>
      <c r="T83" s="351"/>
      <c r="U83" s="351"/>
      <c r="V83" s="351"/>
      <c r="W83" s="359"/>
      <c r="X83" s="359"/>
      <c r="Y83" s="359"/>
      <c r="Z83" s="359"/>
      <c r="AA83" s="359"/>
      <c r="AB83" s="359"/>
      <c r="AC83" s="359"/>
      <c r="AD83" s="359"/>
      <c r="AE83" s="359"/>
      <c r="AF83" s="359"/>
      <c r="AG83" s="359"/>
      <c r="AH83" s="359"/>
      <c r="AI83" s="359"/>
      <c r="AJ83" s="359"/>
      <c r="AK83" s="359"/>
      <c r="AL83" s="359"/>
      <c r="AM83" s="359"/>
      <c r="AN83" s="359"/>
      <c r="AO83" s="359"/>
      <c r="AP83" s="359"/>
      <c r="AQ83" s="359"/>
      <c r="AR83" s="359"/>
      <c r="AS83" s="359"/>
      <c r="AT83" s="359"/>
      <c r="AU83" s="359"/>
      <c r="AV83" s="359"/>
      <c r="AW83" s="359"/>
      <c r="AX83" s="359"/>
      <c r="AY83" s="359"/>
      <c r="AZ83" s="359"/>
      <c r="BA83" s="359"/>
      <c r="BB83" s="359"/>
      <c r="BC83" s="359"/>
      <c r="BD83" s="359"/>
      <c r="BE83" s="359"/>
      <c r="BF83" s="359"/>
      <c r="BG83" s="359"/>
      <c r="BH83" s="359"/>
      <c r="BI83" s="359"/>
      <c r="BJ83" s="359"/>
      <c r="BK83" s="359"/>
      <c r="BL83" s="359"/>
      <c r="BM83" s="351"/>
      <c r="BN83" s="351"/>
      <c r="BO83" s="351"/>
      <c r="BP83" s="351"/>
      <c r="BQ83" s="351"/>
      <c r="BR83" s="351"/>
      <c r="BS83" s="351"/>
      <c r="BT83" s="351"/>
      <c r="BU83" s="351"/>
      <c r="BV83" s="351"/>
      <c r="BW83" s="351"/>
      <c r="BX83" s="351"/>
      <c r="BY83" s="351"/>
      <c r="BZ83" s="351"/>
      <c r="CA83" s="351"/>
      <c r="CB83" s="351"/>
      <c r="CC83" s="351"/>
      <c r="CD83" s="351"/>
      <c r="CE83" s="351"/>
      <c r="CF83" s="351"/>
      <c r="CG83" s="351"/>
      <c r="CH83" s="351"/>
      <c r="CI83" s="351"/>
      <c r="CJ83" s="351"/>
      <c r="CK83" s="351"/>
      <c r="CL83" s="351"/>
      <c r="CM83" s="351"/>
      <c r="CN83" s="351"/>
      <c r="CO83" s="351"/>
      <c r="CP83" s="351"/>
      <c r="CQ83" s="351"/>
      <c r="CR83" s="351"/>
      <c r="CS83" s="351"/>
      <c r="CT83" s="351"/>
      <c r="CU83" s="351"/>
      <c r="CV83" s="351"/>
      <c r="CW83" s="351"/>
      <c r="CX83" s="351"/>
      <c r="CY83" s="351"/>
      <c r="CZ83" s="351"/>
      <c r="DA83" s="351"/>
      <c r="DB83" s="351"/>
      <c r="DC83" s="351"/>
      <c r="DD83" s="351"/>
      <c r="DE83" s="7"/>
    </row>
    <row r="84" spans="1:109" ht="15" customHeight="1">
      <c r="A84" s="3"/>
      <c r="B84" s="353"/>
      <c r="C84" s="354"/>
      <c r="D84" s="354"/>
      <c r="E84" s="354"/>
      <c r="F84" s="354"/>
      <c r="G84" s="354"/>
      <c r="H84" s="355"/>
      <c r="I84" s="352"/>
      <c r="J84" s="352"/>
      <c r="K84" s="352"/>
      <c r="L84" s="352"/>
      <c r="M84" s="352"/>
      <c r="N84" s="352"/>
      <c r="O84" s="352"/>
      <c r="P84" s="352"/>
      <c r="Q84" s="352"/>
      <c r="R84" s="352"/>
      <c r="S84" s="352"/>
      <c r="T84" s="352"/>
      <c r="U84" s="352"/>
      <c r="V84" s="352"/>
      <c r="W84" s="360"/>
      <c r="X84" s="360"/>
      <c r="Y84" s="360"/>
      <c r="Z84" s="360"/>
      <c r="AA84" s="360"/>
      <c r="AB84" s="360"/>
      <c r="AC84" s="360"/>
      <c r="AD84" s="360"/>
      <c r="AE84" s="360"/>
      <c r="AF84" s="360"/>
      <c r="AG84" s="360"/>
      <c r="AH84" s="360"/>
      <c r="AI84" s="360"/>
      <c r="AJ84" s="360"/>
      <c r="AK84" s="360"/>
      <c r="AL84" s="360"/>
      <c r="AM84" s="360"/>
      <c r="AN84" s="360"/>
      <c r="AO84" s="360"/>
      <c r="AP84" s="360"/>
      <c r="AQ84" s="360"/>
      <c r="AR84" s="360"/>
      <c r="AS84" s="360"/>
      <c r="AT84" s="360"/>
      <c r="AU84" s="360"/>
      <c r="AV84" s="360"/>
      <c r="AW84" s="360"/>
      <c r="AX84" s="360"/>
      <c r="AY84" s="360"/>
      <c r="AZ84" s="360"/>
      <c r="BA84" s="360"/>
      <c r="BB84" s="360"/>
      <c r="BC84" s="360"/>
      <c r="BD84" s="360"/>
      <c r="BE84" s="360"/>
      <c r="BF84" s="360"/>
      <c r="BG84" s="360"/>
      <c r="BH84" s="360"/>
      <c r="BI84" s="360"/>
      <c r="BJ84" s="360"/>
      <c r="BK84" s="360"/>
      <c r="BL84" s="360"/>
      <c r="BM84" s="416"/>
      <c r="BN84" s="352"/>
      <c r="BO84" s="352"/>
      <c r="BP84" s="352"/>
      <c r="BQ84" s="352"/>
      <c r="BR84" s="352"/>
      <c r="BS84" s="352"/>
      <c r="BT84" s="352"/>
      <c r="BU84" s="352"/>
      <c r="BV84" s="352"/>
      <c r="BW84" s="352"/>
      <c r="BX84" s="352"/>
      <c r="BY84" s="352"/>
      <c r="BZ84" s="352"/>
      <c r="CA84" s="352"/>
      <c r="CB84" s="352"/>
      <c r="CC84" s="352"/>
      <c r="CD84" s="352"/>
      <c r="CE84" s="352"/>
      <c r="CF84" s="352"/>
      <c r="CG84" s="352"/>
      <c r="CH84" s="352"/>
      <c r="CI84" s="352"/>
      <c r="CJ84" s="352"/>
      <c r="CK84" s="352"/>
      <c r="CL84" s="352"/>
      <c r="CM84" s="352"/>
      <c r="CN84" s="352"/>
      <c r="CO84" s="352"/>
      <c r="CP84" s="352"/>
      <c r="CQ84" s="352"/>
      <c r="CR84" s="352"/>
      <c r="CS84" s="352"/>
      <c r="CT84" s="352"/>
      <c r="CU84" s="352"/>
      <c r="CV84" s="352"/>
      <c r="CW84" s="352"/>
      <c r="CX84" s="352"/>
      <c r="CY84" s="352"/>
      <c r="CZ84" s="352"/>
      <c r="DA84" s="352"/>
      <c r="DB84" s="352"/>
      <c r="DC84" s="352"/>
      <c r="DD84" s="352"/>
      <c r="DE84" s="24"/>
    </row>
    <row r="85" spans="1:109" ht="15" customHeight="1">
      <c r="A85" s="3"/>
      <c r="B85" s="356"/>
      <c r="C85" s="357"/>
      <c r="D85" s="357"/>
      <c r="E85" s="357"/>
      <c r="F85" s="357"/>
      <c r="G85" s="357"/>
      <c r="H85" s="358"/>
      <c r="I85" s="352"/>
      <c r="J85" s="352"/>
      <c r="K85" s="352"/>
      <c r="L85" s="352"/>
      <c r="M85" s="352"/>
      <c r="N85" s="352"/>
      <c r="O85" s="352"/>
      <c r="P85" s="352"/>
      <c r="Q85" s="352"/>
      <c r="R85" s="352"/>
      <c r="S85" s="352"/>
      <c r="T85" s="352"/>
      <c r="U85" s="352"/>
      <c r="V85" s="352"/>
      <c r="W85" s="360"/>
      <c r="X85" s="360"/>
      <c r="Y85" s="360"/>
      <c r="Z85" s="360"/>
      <c r="AA85" s="360"/>
      <c r="AB85" s="360"/>
      <c r="AC85" s="360"/>
      <c r="AD85" s="360"/>
      <c r="AE85" s="360"/>
      <c r="AF85" s="360"/>
      <c r="AG85" s="360"/>
      <c r="AH85" s="360"/>
      <c r="AI85" s="360"/>
      <c r="AJ85" s="360"/>
      <c r="AK85" s="360"/>
      <c r="AL85" s="360"/>
      <c r="AM85" s="360"/>
      <c r="AN85" s="360"/>
      <c r="AO85" s="360"/>
      <c r="AP85" s="360"/>
      <c r="AQ85" s="360"/>
      <c r="AR85" s="360"/>
      <c r="AS85" s="360"/>
      <c r="AT85" s="360"/>
      <c r="AU85" s="360"/>
      <c r="AV85" s="360"/>
      <c r="AW85" s="360"/>
      <c r="AX85" s="360"/>
      <c r="AY85" s="360"/>
      <c r="AZ85" s="360"/>
      <c r="BA85" s="360"/>
      <c r="BB85" s="360"/>
      <c r="BC85" s="360"/>
      <c r="BD85" s="360"/>
      <c r="BE85" s="360"/>
      <c r="BF85" s="360"/>
      <c r="BG85" s="360"/>
      <c r="BH85" s="360"/>
      <c r="BI85" s="360"/>
      <c r="BJ85" s="360"/>
      <c r="BK85" s="360"/>
      <c r="BL85" s="360"/>
      <c r="BM85" s="352"/>
      <c r="BN85" s="352"/>
      <c r="BO85" s="352"/>
      <c r="BP85" s="352"/>
      <c r="BQ85" s="352"/>
      <c r="BR85" s="352"/>
      <c r="BS85" s="352"/>
      <c r="BT85" s="352"/>
      <c r="BU85" s="352"/>
      <c r="BV85" s="352"/>
      <c r="BW85" s="352"/>
      <c r="BX85" s="352"/>
      <c r="BY85" s="352"/>
      <c r="BZ85" s="352"/>
      <c r="CA85" s="352"/>
      <c r="CB85" s="352"/>
      <c r="CC85" s="352"/>
      <c r="CD85" s="352"/>
      <c r="CE85" s="352"/>
      <c r="CF85" s="352"/>
      <c r="CG85" s="352"/>
      <c r="CH85" s="352"/>
      <c r="CI85" s="352"/>
      <c r="CJ85" s="352"/>
      <c r="CK85" s="352"/>
      <c r="CL85" s="352"/>
      <c r="CM85" s="352"/>
      <c r="CN85" s="352"/>
      <c r="CO85" s="352"/>
      <c r="CP85" s="352"/>
      <c r="CQ85" s="352"/>
      <c r="CR85" s="352"/>
      <c r="CS85" s="352"/>
      <c r="CT85" s="352"/>
      <c r="CU85" s="352"/>
      <c r="CV85" s="352"/>
      <c r="CW85" s="352"/>
      <c r="CX85" s="352"/>
      <c r="CY85" s="352"/>
      <c r="CZ85" s="352"/>
      <c r="DA85" s="352"/>
      <c r="DB85" s="352"/>
      <c r="DC85" s="352"/>
      <c r="DD85" s="352"/>
      <c r="DE85" s="7"/>
    </row>
    <row r="86" spans="1:109" ht="15" customHeight="1">
      <c r="A86" s="8"/>
      <c r="B86" s="382"/>
      <c r="C86" s="383"/>
      <c r="D86" s="383"/>
      <c r="E86" s="383"/>
      <c r="F86" s="383"/>
      <c r="G86" s="383"/>
      <c r="H86" s="384"/>
      <c r="I86" s="351"/>
      <c r="J86" s="351"/>
      <c r="K86" s="351"/>
      <c r="L86" s="351"/>
      <c r="M86" s="351"/>
      <c r="N86" s="351"/>
      <c r="O86" s="351"/>
      <c r="P86" s="351"/>
      <c r="Q86" s="351"/>
      <c r="R86" s="351"/>
      <c r="S86" s="351"/>
      <c r="T86" s="351"/>
      <c r="U86" s="351"/>
      <c r="V86" s="351"/>
      <c r="W86" s="359"/>
      <c r="X86" s="359"/>
      <c r="Y86" s="359"/>
      <c r="Z86" s="359"/>
      <c r="AA86" s="359"/>
      <c r="AB86" s="359"/>
      <c r="AC86" s="359"/>
      <c r="AD86" s="359"/>
      <c r="AE86" s="359"/>
      <c r="AF86" s="359"/>
      <c r="AG86" s="359"/>
      <c r="AH86" s="359"/>
      <c r="AI86" s="359"/>
      <c r="AJ86" s="359"/>
      <c r="AK86" s="359"/>
      <c r="AL86" s="359"/>
      <c r="AM86" s="359"/>
      <c r="AN86" s="359"/>
      <c r="AO86" s="359"/>
      <c r="AP86" s="359"/>
      <c r="AQ86" s="359"/>
      <c r="AR86" s="359"/>
      <c r="AS86" s="359"/>
      <c r="AT86" s="359"/>
      <c r="AU86" s="359"/>
      <c r="AV86" s="359"/>
      <c r="AW86" s="359"/>
      <c r="AX86" s="359"/>
      <c r="AY86" s="359"/>
      <c r="AZ86" s="359"/>
      <c r="BA86" s="359"/>
      <c r="BB86" s="359"/>
      <c r="BC86" s="359"/>
      <c r="BD86" s="359"/>
      <c r="BE86" s="359"/>
      <c r="BF86" s="359"/>
      <c r="BG86" s="359"/>
      <c r="BH86" s="359"/>
      <c r="BI86" s="359"/>
      <c r="BJ86" s="359"/>
      <c r="BK86" s="359"/>
      <c r="BL86" s="359"/>
      <c r="BM86" s="351"/>
      <c r="BN86" s="351"/>
      <c r="BO86" s="351"/>
      <c r="BP86" s="351"/>
      <c r="BQ86" s="351"/>
      <c r="BR86" s="351"/>
      <c r="BS86" s="351"/>
      <c r="BT86" s="351"/>
      <c r="BU86" s="351"/>
      <c r="BV86" s="351"/>
      <c r="BW86" s="351"/>
      <c r="BX86" s="351"/>
      <c r="BY86" s="351"/>
      <c r="BZ86" s="351"/>
      <c r="CA86" s="351"/>
      <c r="CB86" s="351"/>
      <c r="CC86" s="351"/>
      <c r="CD86" s="351"/>
      <c r="CE86" s="351"/>
      <c r="CF86" s="351"/>
      <c r="CG86" s="351"/>
      <c r="CH86" s="351"/>
      <c r="CI86" s="351"/>
      <c r="CJ86" s="351"/>
      <c r="CK86" s="351"/>
      <c r="CL86" s="351"/>
      <c r="CM86" s="351"/>
      <c r="CN86" s="351"/>
      <c r="CO86" s="351"/>
      <c r="CP86" s="351"/>
      <c r="CQ86" s="351"/>
      <c r="CR86" s="351"/>
      <c r="CS86" s="351"/>
      <c r="CT86" s="351"/>
      <c r="CU86" s="351"/>
      <c r="CV86" s="351"/>
      <c r="CW86" s="351"/>
      <c r="CX86" s="351"/>
      <c r="CY86" s="351"/>
      <c r="CZ86" s="351"/>
      <c r="DA86" s="351"/>
      <c r="DB86" s="351"/>
      <c r="DC86" s="351"/>
      <c r="DD86" s="351"/>
      <c r="DE86" s="7"/>
    </row>
    <row r="87" spans="1:109" ht="15" customHeight="1">
      <c r="A87" s="6"/>
      <c r="B87" s="385"/>
      <c r="C87" s="386"/>
      <c r="D87" s="386"/>
      <c r="E87" s="386"/>
      <c r="F87" s="386"/>
      <c r="G87" s="386"/>
      <c r="H87" s="387"/>
      <c r="I87" s="351"/>
      <c r="J87" s="351"/>
      <c r="K87" s="351"/>
      <c r="L87" s="351"/>
      <c r="M87" s="351"/>
      <c r="N87" s="351"/>
      <c r="O87" s="351"/>
      <c r="P87" s="351"/>
      <c r="Q87" s="351"/>
      <c r="R87" s="351"/>
      <c r="S87" s="351"/>
      <c r="T87" s="351"/>
      <c r="U87" s="351"/>
      <c r="V87" s="351"/>
      <c r="W87" s="359"/>
      <c r="X87" s="359"/>
      <c r="Y87" s="359"/>
      <c r="Z87" s="359"/>
      <c r="AA87" s="359"/>
      <c r="AB87" s="359"/>
      <c r="AC87" s="359"/>
      <c r="AD87" s="359"/>
      <c r="AE87" s="359"/>
      <c r="AF87" s="359"/>
      <c r="AG87" s="359"/>
      <c r="AH87" s="359"/>
      <c r="AI87" s="359"/>
      <c r="AJ87" s="359"/>
      <c r="AK87" s="359"/>
      <c r="AL87" s="359"/>
      <c r="AM87" s="359"/>
      <c r="AN87" s="359"/>
      <c r="AO87" s="359"/>
      <c r="AP87" s="359"/>
      <c r="AQ87" s="359"/>
      <c r="AR87" s="359"/>
      <c r="AS87" s="359"/>
      <c r="AT87" s="359"/>
      <c r="AU87" s="359"/>
      <c r="AV87" s="359"/>
      <c r="AW87" s="359"/>
      <c r="AX87" s="359"/>
      <c r="AY87" s="359"/>
      <c r="AZ87" s="359"/>
      <c r="BA87" s="359"/>
      <c r="BB87" s="359"/>
      <c r="BC87" s="359"/>
      <c r="BD87" s="359"/>
      <c r="BE87" s="359"/>
      <c r="BF87" s="359"/>
      <c r="BG87" s="359"/>
      <c r="BH87" s="359"/>
      <c r="BI87" s="359"/>
      <c r="BJ87" s="359"/>
      <c r="BK87" s="359"/>
      <c r="BL87" s="359"/>
      <c r="BM87" s="351"/>
      <c r="BN87" s="351"/>
      <c r="BO87" s="351"/>
      <c r="BP87" s="351"/>
      <c r="BQ87" s="351"/>
      <c r="BR87" s="351"/>
      <c r="BS87" s="351"/>
      <c r="BT87" s="351"/>
      <c r="BU87" s="351"/>
      <c r="BV87" s="351"/>
      <c r="BW87" s="351"/>
      <c r="BX87" s="351"/>
      <c r="BY87" s="351"/>
      <c r="BZ87" s="351"/>
      <c r="CA87" s="351"/>
      <c r="CB87" s="351"/>
      <c r="CC87" s="351"/>
      <c r="CD87" s="351"/>
      <c r="CE87" s="351"/>
      <c r="CF87" s="351"/>
      <c r="CG87" s="351"/>
      <c r="CH87" s="351"/>
      <c r="CI87" s="351"/>
      <c r="CJ87" s="351"/>
      <c r="CK87" s="351"/>
      <c r="CL87" s="351"/>
      <c r="CM87" s="351"/>
      <c r="CN87" s="351"/>
      <c r="CO87" s="351"/>
      <c r="CP87" s="351"/>
      <c r="CQ87" s="351"/>
      <c r="CR87" s="351"/>
      <c r="CS87" s="351"/>
      <c r="CT87" s="351"/>
      <c r="CU87" s="351"/>
      <c r="CV87" s="351"/>
      <c r="CW87" s="351"/>
      <c r="CX87" s="351"/>
      <c r="CY87" s="351"/>
      <c r="CZ87" s="351"/>
      <c r="DA87" s="351"/>
      <c r="DB87" s="351"/>
      <c r="DC87" s="351"/>
      <c r="DD87" s="351"/>
      <c r="DE87" s="7"/>
    </row>
    <row r="88" spans="1:109" ht="15" customHeight="1">
      <c r="A88" s="3"/>
      <c r="B88" s="353"/>
      <c r="C88" s="354"/>
      <c r="D88" s="354"/>
      <c r="E88" s="354"/>
      <c r="F88" s="354"/>
      <c r="G88" s="354"/>
      <c r="H88" s="355"/>
      <c r="I88" s="352"/>
      <c r="J88" s="352"/>
      <c r="K88" s="352"/>
      <c r="L88" s="352"/>
      <c r="M88" s="352"/>
      <c r="N88" s="352"/>
      <c r="O88" s="352"/>
      <c r="P88" s="352"/>
      <c r="Q88" s="352"/>
      <c r="R88" s="352"/>
      <c r="S88" s="352"/>
      <c r="T88" s="352"/>
      <c r="U88" s="352"/>
      <c r="V88" s="352"/>
      <c r="W88" s="360"/>
      <c r="X88" s="360"/>
      <c r="Y88" s="360"/>
      <c r="Z88" s="360"/>
      <c r="AA88" s="360"/>
      <c r="AB88" s="360"/>
      <c r="AC88" s="360"/>
      <c r="AD88" s="360"/>
      <c r="AE88" s="360"/>
      <c r="AF88" s="360"/>
      <c r="AG88" s="360"/>
      <c r="AH88" s="360"/>
      <c r="AI88" s="360"/>
      <c r="AJ88" s="360"/>
      <c r="AK88" s="360"/>
      <c r="AL88" s="360"/>
      <c r="AM88" s="360"/>
      <c r="AN88" s="360"/>
      <c r="AO88" s="360"/>
      <c r="AP88" s="360"/>
      <c r="AQ88" s="360"/>
      <c r="AR88" s="360"/>
      <c r="AS88" s="360"/>
      <c r="AT88" s="360"/>
      <c r="AU88" s="360"/>
      <c r="AV88" s="360"/>
      <c r="AW88" s="360"/>
      <c r="AX88" s="360"/>
      <c r="AY88" s="360"/>
      <c r="AZ88" s="360"/>
      <c r="BA88" s="360"/>
      <c r="BB88" s="360"/>
      <c r="BC88" s="360"/>
      <c r="BD88" s="360"/>
      <c r="BE88" s="360"/>
      <c r="BF88" s="360"/>
      <c r="BG88" s="360"/>
      <c r="BH88" s="360"/>
      <c r="BI88" s="360"/>
      <c r="BJ88" s="360"/>
      <c r="BK88" s="360"/>
      <c r="BL88" s="360"/>
      <c r="BM88" s="352"/>
      <c r="BN88" s="352"/>
      <c r="BO88" s="352"/>
      <c r="BP88" s="352"/>
      <c r="BQ88" s="352"/>
      <c r="BR88" s="352"/>
      <c r="BS88" s="352"/>
      <c r="BT88" s="352"/>
      <c r="BU88" s="352"/>
      <c r="BV88" s="352"/>
      <c r="BW88" s="352"/>
      <c r="BX88" s="352"/>
      <c r="BY88" s="352"/>
      <c r="BZ88" s="352"/>
      <c r="CA88" s="352"/>
      <c r="CB88" s="352"/>
      <c r="CC88" s="352"/>
      <c r="CD88" s="352"/>
      <c r="CE88" s="352"/>
      <c r="CF88" s="352"/>
      <c r="CG88" s="352"/>
      <c r="CH88" s="352"/>
      <c r="CI88" s="352"/>
      <c r="CJ88" s="352"/>
      <c r="CK88" s="352"/>
      <c r="CL88" s="352"/>
      <c r="CM88" s="352"/>
      <c r="CN88" s="352"/>
      <c r="CO88" s="352"/>
      <c r="CP88" s="352"/>
      <c r="CQ88" s="352"/>
      <c r="CR88" s="352"/>
      <c r="CS88" s="352"/>
      <c r="CT88" s="352"/>
      <c r="CU88" s="352"/>
      <c r="CV88" s="352"/>
      <c r="CW88" s="352"/>
      <c r="CX88" s="352"/>
      <c r="CY88" s="352"/>
      <c r="CZ88" s="352"/>
      <c r="DA88" s="352"/>
      <c r="DB88" s="352"/>
      <c r="DC88" s="352"/>
      <c r="DD88" s="352"/>
      <c r="DE88" s="7"/>
    </row>
    <row r="89" spans="1:109" ht="15" customHeight="1">
      <c r="A89" s="6"/>
      <c r="B89" s="356"/>
      <c r="C89" s="357"/>
      <c r="D89" s="357"/>
      <c r="E89" s="357"/>
      <c r="F89" s="357"/>
      <c r="G89" s="357"/>
      <c r="H89" s="358"/>
      <c r="I89" s="352"/>
      <c r="J89" s="352"/>
      <c r="K89" s="352"/>
      <c r="L89" s="352"/>
      <c r="M89" s="352"/>
      <c r="N89" s="352"/>
      <c r="O89" s="352"/>
      <c r="P89" s="352"/>
      <c r="Q89" s="352"/>
      <c r="R89" s="352"/>
      <c r="S89" s="352"/>
      <c r="T89" s="352"/>
      <c r="U89" s="352"/>
      <c r="V89" s="352"/>
      <c r="W89" s="360"/>
      <c r="X89" s="360"/>
      <c r="Y89" s="360"/>
      <c r="Z89" s="360"/>
      <c r="AA89" s="360"/>
      <c r="AB89" s="360"/>
      <c r="AC89" s="360"/>
      <c r="AD89" s="360"/>
      <c r="AE89" s="360"/>
      <c r="AF89" s="360"/>
      <c r="AG89" s="360"/>
      <c r="AH89" s="360"/>
      <c r="AI89" s="360"/>
      <c r="AJ89" s="360"/>
      <c r="AK89" s="360"/>
      <c r="AL89" s="360"/>
      <c r="AM89" s="360"/>
      <c r="AN89" s="360"/>
      <c r="AO89" s="360"/>
      <c r="AP89" s="360"/>
      <c r="AQ89" s="360"/>
      <c r="AR89" s="360"/>
      <c r="AS89" s="360"/>
      <c r="AT89" s="360"/>
      <c r="AU89" s="360"/>
      <c r="AV89" s="360"/>
      <c r="AW89" s="360"/>
      <c r="AX89" s="360"/>
      <c r="AY89" s="360"/>
      <c r="AZ89" s="360"/>
      <c r="BA89" s="360"/>
      <c r="BB89" s="360"/>
      <c r="BC89" s="360"/>
      <c r="BD89" s="360"/>
      <c r="BE89" s="360"/>
      <c r="BF89" s="360"/>
      <c r="BG89" s="360"/>
      <c r="BH89" s="360"/>
      <c r="BI89" s="360"/>
      <c r="BJ89" s="360"/>
      <c r="BK89" s="360"/>
      <c r="BL89" s="360"/>
      <c r="BM89" s="352"/>
      <c r="BN89" s="352"/>
      <c r="BO89" s="352"/>
      <c r="BP89" s="352"/>
      <c r="BQ89" s="352"/>
      <c r="BR89" s="352"/>
      <c r="BS89" s="352"/>
      <c r="BT89" s="352"/>
      <c r="BU89" s="352"/>
      <c r="BV89" s="352"/>
      <c r="BW89" s="352"/>
      <c r="BX89" s="352"/>
      <c r="BY89" s="352"/>
      <c r="BZ89" s="352"/>
      <c r="CA89" s="352"/>
      <c r="CB89" s="352"/>
      <c r="CC89" s="352"/>
      <c r="CD89" s="352"/>
      <c r="CE89" s="352"/>
      <c r="CF89" s="352"/>
      <c r="CG89" s="352"/>
      <c r="CH89" s="352"/>
      <c r="CI89" s="352"/>
      <c r="CJ89" s="352"/>
      <c r="CK89" s="352"/>
      <c r="CL89" s="352"/>
      <c r="CM89" s="352"/>
      <c r="CN89" s="352"/>
      <c r="CO89" s="352"/>
      <c r="CP89" s="352"/>
      <c r="CQ89" s="352"/>
      <c r="CR89" s="352"/>
      <c r="CS89" s="352"/>
      <c r="CT89" s="352"/>
      <c r="CU89" s="352"/>
      <c r="CV89" s="352"/>
      <c r="CW89" s="352"/>
      <c r="CX89" s="352"/>
      <c r="CY89" s="352"/>
      <c r="CZ89" s="352"/>
      <c r="DA89" s="352"/>
      <c r="DB89" s="352"/>
      <c r="DC89" s="352"/>
      <c r="DD89" s="352"/>
      <c r="DE89" s="7"/>
    </row>
    <row r="90" spans="1:109" ht="15" customHeight="1">
      <c r="A90" s="6"/>
      <c r="B90" s="382"/>
      <c r="C90" s="383"/>
      <c r="D90" s="383"/>
      <c r="E90" s="383"/>
      <c r="F90" s="383"/>
      <c r="G90" s="383"/>
      <c r="H90" s="384"/>
      <c r="I90" s="351"/>
      <c r="J90" s="351"/>
      <c r="K90" s="351"/>
      <c r="L90" s="351"/>
      <c r="M90" s="351"/>
      <c r="N90" s="351"/>
      <c r="O90" s="351"/>
      <c r="P90" s="351"/>
      <c r="Q90" s="351"/>
      <c r="R90" s="351"/>
      <c r="S90" s="351"/>
      <c r="T90" s="351"/>
      <c r="U90" s="351"/>
      <c r="V90" s="351"/>
      <c r="W90" s="359"/>
      <c r="X90" s="359"/>
      <c r="Y90" s="359"/>
      <c r="Z90" s="359"/>
      <c r="AA90" s="359"/>
      <c r="AB90" s="359"/>
      <c r="AC90" s="359"/>
      <c r="AD90" s="359"/>
      <c r="AE90" s="359"/>
      <c r="AF90" s="359"/>
      <c r="AG90" s="359"/>
      <c r="AH90" s="359"/>
      <c r="AI90" s="359"/>
      <c r="AJ90" s="359"/>
      <c r="AK90" s="359"/>
      <c r="AL90" s="359"/>
      <c r="AM90" s="359"/>
      <c r="AN90" s="359"/>
      <c r="AO90" s="359"/>
      <c r="AP90" s="359"/>
      <c r="AQ90" s="359"/>
      <c r="AR90" s="359"/>
      <c r="AS90" s="359"/>
      <c r="AT90" s="359"/>
      <c r="AU90" s="359"/>
      <c r="AV90" s="359"/>
      <c r="AW90" s="359"/>
      <c r="AX90" s="359"/>
      <c r="AY90" s="359"/>
      <c r="AZ90" s="359"/>
      <c r="BA90" s="359"/>
      <c r="BB90" s="359"/>
      <c r="BC90" s="359"/>
      <c r="BD90" s="359"/>
      <c r="BE90" s="359"/>
      <c r="BF90" s="359"/>
      <c r="BG90" s="359"/>
      <c r="BH90" s="359"/>
      <c r="BI90" s="359"/>
      <c r="BJ90" s="359"/>
      <c r="BK90" s="359"/>
      <c r="BL90" s="359"/>
      <c r="BM90" s="351"/>
      <c r="BN90" s="351"/>
      <c r="BO90" s="351"/>
      <c r="BP90" s="351"/>
      <c r="BQ90" s="351"/>
      <c r="BR90" s="351"/>
      <c r="BS90" s="351"/>
      <c r="BT90" s="351"/>
      <c r="BU90" s="351"/>
      <c r="BV90" s="351"/>
      <c r="BW90" s="351"/>
      <c r="BX90" s="351"/>
      <c r="BY90" s="351"/>
      <c r="BZ90" s="351"/>
      <c r="CA90" s="351"/>
      <c r="CB90" s="351"/>
      <c r="CC90" s="351"/>
      <c r="CD90" s="351"/>
      <c r="CE90" s="351"/>
      <c r="CF90" s="351"/>
      <c r="CG90" s="351"/>
      <c r="CH90" s="351"/>
      <c r="CI90" s="351"/>
      <c r="CJ90" s="351"/>
      <c r="CK90" s="351"/>
      <c r="CL90" s="351"/>
      <c r="CM90" s="351"/>
      <c r="CN90" s="351"/>
      <c r="CO90" s="351"/>
      <c r="CP90" s="351"/>
      <c r="CQ90" s="351"/>
      <c r="CR90" s="351"/>
      <c r="CS90" s="351"/>
      <c r="CT90" s="351"/>
      <c r="CU90" s="351"/>
      <c r="CV90" s="351"/>
      <c r="CW90" s="351"/>
      <c r="CX90" s="351"/>
      <c r="CY90" s="351"/>
      <c r="CZ90" s="351"/>
      <c r="DA90" s="351"/>
      <c r="DB90" s="351"/>
      <c r="DC90" s="351"/>
      <c r="DD90" s="351"/>
      <c r="DE90" s="7"/>
    </row>
    <row r="91" spans="1:109" ht="15" customHeight="1">
      <c r="A91" s="3"/>
      <c r="B91" s="385"/>
      <c r="C91" s="386"/>
      <c r="D91" s="386"/>
      <c r="E91" s="386"/>
      <c r="F91" s="386"/>
      <c r="G91" s="386"/>
      <c r="H91" s="387"/>
      <c r="I91" s="351"/>
      <c r="J91" s="351"/>
      <c r="K91" s="351"/>
      <c r="L91" s="351"/>
      <c r="M91" s="351"/>
      <c r="N91" s="351"/>
      <c r="O91" s="351"/>
      <c r="P91" s="351"/>
      <c r="Q91" s="351"/>
      <c r="R91" s="351"/>
      <c r="S91" s="351"/>
      <c r="T91" s="351"/>
      <c r="U91" s="351"/>
      <c r="V91" s="351"/>
      <c r="W91" s="359"/>
      <c r="X91" s="359"/>
      <c r="Y91" s="359"/>
      <c r="Z91" s="359"/>
      <c r="AA91" s="359"/>
      <c r="AB91" s="359"/>
      <c r="AC91" s="359"/>
      <c r="AD91" s="359"/>
      <c r="AE91" s="359"/>
      <c r="AF91" s="359"/>
      <c r="AG91" s="359"/>
      <c r="AH91" s="359"/>
      <c r="AI91" s="359"/>
      <c r="AJ91" s="359"/>
      <c r="AK91" s="359"/>
      <c r="AL91" s="359"/>
      <c r="AM91" s="359"/>
      <c r="AN91" s="359"/>
      <c r="AO91" s="359"/>
      <c r="AP91" s="359"/>
      <c r="AQ91" s="359"/>
      <c r="AR91" s="359"/>
      <c r="AS91" s="359"/>
      <c r="AT91" s="359"/>
      <c r="AU91" s="359"/>
      <c r="AV91" s="359"/>
      <c r="AW91" s="359"/>
      <c r="AX91" s="359"/>
      <c r="AY91" s="359"/>
      <c r="AZ91" s="359"/>
      <c r="BA91" s="359"/>
      <c r="BB91" s="359"/>
      <c r="BC91" s="359"/>
      <c r="BD91" s="359"/>
      <c r="BE91" s="359"/>
      <c r="BF91" s="359"/>
      <c r="BG91" s="359"/>
      <c r="BH91" s="359"/>
      <c r="BI91" s="359"/>
      <c r="BJ91" s="359"/>
      <c r="BK91" s="359"/>
      <c r="BL91" s="359"/>
      <c r="BM91" s="351"/>
      <c r="BN91" s="351"/>
      <c r="BO91" s="351"/>
      <c r="BP91" s="351"/>
      <c r="BQ91" s="351"/>
      <c r="BR91" s="351"/>
      <c r="BS91" s="351"/>
      <c r="BT91" s="351"/>
      <c r="BU91" s="351"/>
      <c r="BV91" s="351"/>
      <c r="BW91" s="351"/>
      <c r="BX91" s="351"/>
      <c r="BY91" s="351"/>
      <c r="BZ91" s="351"/>
      <c r="CA91" s="351"/>
      <c r="CB91" s="351"/>
      <c r="CC91" s="351"/>
      <c r="CD91" s="351"/>
      <c r="CE91" s="351"/>
      <c r="CF91" s="351"/>
      <c r="CG91" s="351"/>
      <c r="CH91" s="351"/>
      <c r="CI91" s="351"/>
      <c r="CJ91" s="351"/>
      <c r="CK91" s="351"/>
      <c r="CL91" s="351"/>
      <c r="CM91" s="351"/>
      <c r="CN91" s="351"/>
      <c r="CO91" s="351"/>
      <c r="CP91" s="351"/>
      <c r="CQ91" s="351"/>
      <c r="CR91" s="351"/>
      <c r="CS91" s="351"/>
      <c r="CT91" s="351"/>
      <c r="CU91" s="351"/>
      <c r="CV91" s="351"/>
      <c r="CW91" s="351"/>
      <c r="CX91" s="351"/>
      <c r="CY91" s="351"/>
      <c r="CZ91" s="351"/>
      <c r="DA91" s="351"/>
      <c r="DB91" s="351"/>
      <c r="DC91" s="351"/>
      <c r="DD91" s="351"/>
      <c r="DE91" s="7"/>
    </row>
    <row r="92" spans="1:109" ht="15" customHeight="1">
      <c r="A92" s="6"/>
      <c r="B92" s="353"/>
      <c r="C92" s="354"/>
      <c r="D92" s="354"/>
      <c r="E92" s="354"/>
      <c r="F92" s="354"/>
      <c r="G92" s="354"/>
      <c r="H92" s="355"/>
      <c r="I92" s="352"/>
      <c r="J92" s="352"/>
      <c r="K92" s="352"/>
      <c r="L92" s="352"/>
      <c r="M92" s="352"/>
      <c r="N92" s="352"/>
      <c r="O92" s="352"/>
      <c r="P92" s="352"/>
      <c r="Q92" s="352"/>
      <c r="R92" s="352"/>
      <c r="S92" s="352"/>
      <c r="T92" s="352"/>
      <c r="U92" s="352"/>
      <c r="V92" s="352"/>
      <c r="W92" s="360"/>
      <c r="X92" s="360"/>
      <c r="Y92" s="360"/>
      <c r="Z92" s="360"/>
      <c r="AA92" s="360"/>
      <c r="AB92" s="360"/>
      <c r="AC92" s="360"/>
      <c r="AD92" s="360"/>
      <c r="AE92" s="360"/>
      <c r="AF92" s="360"/>
      <c r="AG92" s="360"/>
      <c r="AH92" s="360"/>
      <c r="AI92" s="360"/>
      <c r="AJ92" s="360"/>
      <c r="AK92" s="360"/>
      <c r="AL92" s="360"/>
      <c r="AM92" s="360"/>
      <c r="AN92" s="360"/>
      <c r="AO92" s="360"/>
      <c r="AP92" s="360"/>
      <c r="AQ92" s="360"/>
      <c r="AR92" s="360"/>
      <c r="AS92" s="360"/>
      <c r="AT92" s="360"/>
      <c r="AU92" s="360"/>
      <c r="AV92" s="360"/>
      <c r="AW92" s="360"/>
      <c r="AX92" s="360"/>
      <c r="AY92" s="360"/>
      <c r="AZ92" s="360"/>
      <c r="BA92" s="360"/>
      <c r="BB92" s="360"/>
      <c r="BC92" s="360"/>
      <c r="BD92" s="360"/>
      <c r="BE92" s="360"/>
      <c r="BF92" s="360"/>
      <c r="BG92" s="360"/>
      <c r="BH92" s="360"/>
      <c r="BI92" s="360"/>
      <c r="BJ92" s="360"/>
      <c r="BK92" s="360"/>
      <c r="BL92" s="360"/>
      <c r="BM92" s="352"/>
      <c r="BN92" s="352"/>
      <c r="BO92" s="352"/>
      <c r="BP92" s="352"/>
      <c r="BQ92" s="352"/>
      <c r="BR92" s="352"/>
      <c r="BS92" s="352"/>
      <c r="BT92" s="352"/>
      <c r="BU92" s="352"/>
      <c r="BV92" s="352"/>
      <c r="BW92" s="352"/>
      <c r="BX92" s="352"/>
      <c r="BY92" s="352"/>
      <c r="BZ92" s="352"/>
      <c r="CA92" s="352"/>
      <c r="CB92" s="352"/>
      <c r="CC92" s="352"/>
      <c r="CD92" s="352"/>
      <c r="CE92" s="352"/>
      <c r="CF92" s="352"/>
      <c r="CG92" s="352"/>
      <c r="CH92" s="352"/>
      <c r="CI92" s="352"/>
      <c r="CJ92" s="352"/>
      <c r="CK92" s="352"/>
      <c r="CL92" s="352"/>
      <c r="CM92" s="352"/>
      <c r="CN92" s="352"/>
      <c r="CO92" s="352"/>
      <c r="CP92" s="352"/>
      <c r="CQ92" s="352"/>
      <c r="CR92" s="352"/>
      <c r="CS92" s="352"/>
      <c r="CT92" s="352"/>
      <c r="CU92" s="352"/>
      <c r="CV92" s="352"/>
      <c r="CW92" s="352"/>
      <c r="CX92" s="352"/>
      <c r="CY92" s="352"/>
      <c r="CZ92" s="352"/>
      <c r="DA92" s="352"/>
      <c r="DB92" s="352"/>
      <c r="DC92" s="352"/>
      <c r="DD92" s="352"/>
      <c r="DE92" s="7"/>
    </row>
    <row r="93" spans="1:109" ht="15" customHeight="1">
      <c r="A93" s="8"/>
      <c r="B93" s="356"/>
      <c r="C93" s="357"/>
      <c r="D93" s="357"/>
      <c r="E93" s="357"/>
      <c r="F93" s="357"/>
      <c r="G93" s="357"/>
      <c r="H93" s="358"/>
      <c r="I93" s="352"/>
      <c r="J93" s="352"/>
      <c r="K93" s="352"/>
      <c r="L93" s="352"/>
      <c r="M93" s="352"/>
      <c r="N93" s="352"/>
      <c r="O93" s="352"/>
      <c r="P93" s="352"/>
      <c r="Q93" s="352"/>
      <c r="R93" s="352"/>
      <c r="S93" s="352"/>
      <c r="T93" s="352"/>
      <c r="U93" s="352"/>
      <c r="V93" s="352"/>
      <c r="W93" s="360"/>
      <c r="X93" s="360"/>
      <c r="Y93" s="360"/>
      <c r="Z93" s="360"/>
      <c r="AA93" s="360"/>
      <c r="AB93" s="360"/>
      <c r="AC93" s="360"/>
      <c r="AD93" s="360"/>
      <c r="AE93" s="360"/>
      <c r="AF93" s="360"/>
      <c r="AG93" s="360"/>
      <c r="AH93" s="360"/>
      <c r="AI93" s="360"/>
      <c r="AJ93" s="360"/>
      <c r="AK93" s="360"/>
      <c r="AL93" s="360"/>
      <c r="AM93" s="360"/>
      <c r="AN93" s="360"/>
      <c r="AO93" s="360"/>
      <c r="AP93" s="360"/>
      <c r="AQ93" s="360"/>
      <c r="AR93" s="360"/>
      <c r="AS93" s="360"/>
      <c r="AT93" s="360"/>
      <c r="AU93" s="360"/>
      <c r="AV93" s="360"/>
      <c r="AW93" s="360"/>
      <c r="AX93" s="360"/>
      <c r="AY93" s="360"/>
      <c r="AZ93" s="360"/>
      <c r="BA93" s="360"/>
      <c r="BB93" s="360"/>
      <c r="BC93" s="360"/>
      <c r="BD93" s="360"/>
      <c r="BE93" s="360"/>
      <c r="BF93" s="360"/>
      <c r="BG93" s="360"/>
      <c r="BH93" s="360"/>
      <c r="BI93" s="360"/>
      <c r="BJ93" s="360"/>
      <c r="BK93" s="360"/>
      <c r="BL93" s="360"/>
      <c r="BM93" s="352"/>
      <c r="BN93" s="352"/>
      <c r="BO93" s="352"/>
      <c r="BP93" s="352"/>
      <c r="BQ93" s="352"/>
      <c r="BR93" s="352"/>
      <c r="BS93" s="352"/>
      <c r="BT93" s="352"/>
      <c r="BU93" s="352"/>
      <c r="BV93" s="352"/>
      <c r="BW93" s="352"/>
      <c r="BX93" s="352"/>
      <c r="BY93" s="352"/>
      <c r="BZ93" s="352"/>
      <c r="CA93" s="352"/>
      <c r="CB93" s="352"/>
      <c r="CC93" s="352"/>
      <c r="CD93" s="352"/>
      <c r="CE93" s="352"/>
      <c r="CF93" s="352"/>
      <c r="CG93" s="352"/>
      <c r="CH93" s="352"/>
      <c r="CI93" s="352"/>
      <c r="CJ93" s="352"/>
      <c r="CK93" s="352"/>
      <c r="CL93" s="352"/>
      <c r="CM93" s="352"/>
      <c r="CN93" s="352"/>
      <c r="CO93" s="352"/>
      <c r="CP93" s="352"/>
      <c r="CQ93" s="352"/>
      <c r="CR93" s="352"/>
      <c r="CS93" s="352"/>
      <c r="CT93" s="352"/>
      <c r="CU93" s="352"/>
      <c r="CV93" s="352"/>
      <c r="CW93" s="352"/>
      <c r="CX93" s="352"/>
      <c r="CY93" s="352"/>
      <c r="CZ93" s="352"/>
      <c r="DA93" s="352"/>
      <c r="DB93" s="352"/>
      <c r="DC93" s="352"/>
      <c r="DD93" s="352"/>
      <c r="DE93" s="7"/>
    </row>
    <row r="94" spans="1:109" ht="15" customHeight="1">
      <c r="A94" s="8"/>
      <c r="B94" s="382"/>
      <c r="C94" s="383"/>
      <c r="D94" s="383"/>
      <c r="E94" s="383"/>
      <c r="F94" s="383"/>
      <c r="G94" s="383"/>
      <c r="H94" s="384"/>
      <c r="I94" s="351"/>
      <c r="J94" s="351"/>
      <c r="K94" s="351"/>
      <c r="L94" s="351"/>
      <c r="M94" s="351"/>
      <c r="N94" s="351"/>
      <c r="O94" s="351"/>
      <c r="P94" s="351"/>
      <c r="Q94" s="351"/>
      <c r="R94" s="351"/>
      <c r="S94" s="351"/>
      <c r="T94" s="351"/>
      <c r="U94" s="351"/>
      <c r="V94" s="351"/>
      <c r="W94" s="351"/>
      <c r="X94" s="351"/>
      <c r="Y94" s="351"/>
      <c r="Z94" s="351"/>
      <c r="AA94" s="351"/>
      <c r="AB94" s="351"/>
      <c r="AC94" s="351"/>
      <c r="AD94" s="417"/>
      <c r="AE94" s="351"/>
      <c r="AF94" s="351"/>
      <c r="AG94" s="351"/>
      <c r="AH94" s="351"/>
      <c r="AI94" s="351"/>
      <c r="AJ94" s="351"/>
      <c r="AK94" s="417"/>
      <c r="AL94" s="351"/>
      <c r="AM94" s="351"/>
      <c r="AN94" s="351"/>
      <c r="AO94" s="351"/>
      <c r="AP94" s="351"/>
      <c r="AQ94" s="351"/>
      <c r="AR94" s="351"/>
      <c r="AS94" s="351"/>
      <c r="AT94" s="351"/>
      <c r="AU94" s="351"/>
      <c r="AV94" s="351"/>
      <c r="AW94" s="351"/>
      <c r="AX94" s="351"/>
      <c r="AY94" s="351"/>
      <c r="AZ94" s="351"/>
      <c r="BA94" s="351"/>
      <c r="BB94" s="351"/>
      <c r="BC94" s="351"/>
      <c r="BD94" s="351"/>
      <c r="BE94" s="351"/>
      <c r="BF94" s="382"/>
      <c r="BG94" s="383"/>
      <c r="BH94" s="383"/>
      <c r="BI94" s="383"/>
      <c r="BJ94" s="383"/>
      <c r="BK94" s="383"/>
      <c r="BL94" s="384"/>
      <c r="BM94" s="382"/>
      <c r="BN94" s="383"/>
      <c r="BO94" s="383"/>
      <c r="BP94" s="383"/>
      <c r="BQ94" s="383"/>
      <c r="BR94" s="383"/>
      <c r="BS94" s="383"/>
      <c r="BT94" s="383"/>
      <c r="BU94" s="383"/>
      <c r="BV94" s="383"/>
      <c r="BW94" s="383"/>
      <c r="BX94" s="383"/>
      <c r="BY94" s="383"/>
      <c r="BZ94" s="383"/>
      <c r="CA94" s="383"/>
      <c r="CB94" s="383"/>
      <c r="CC94" s="383"/>
      <c r="CD94" s="383"/>
      <c r="CE94" s="383"/>
      <c r="CF94" s="383"/>
      <c r="CG94" s="383"/>
      <c r="CH94" s="383"/>
      <c r="CI94" s="383"/>
      <c r="CJ94" s="383"/>
      <c r="CK94" s="383"/>
      <c r="CL94" s="384"/>
      <c r="CM94" s="351"/>
      <c r="CN94" s="351"/>
      <c r="CO94" s="351"/>
      <c r="CP94" s="351"/>
      <c r="CQ94" s="351"/>
      <c r="CR94" s="351"/>
      <c r="CS94" s="351"/>
      <c r="CT94" s="351"/>
      <c r="CU94" s="351"/>
      <c r="CV94" s="351"/>
      <c r="CW94" s="351"/>
      <c r="CX94" s="351"/>
      <c r="CY94" s="351"/>
      <c r="CZ94" s="351"/>
      <c r="DA94" s="351"/>
      <c r="DB94" s="351"/>
      <c r="DC94" s="351"/>
      <c r="DD94" s="351"/>
      <c r="DE94" s="7"/>
    </row>
    <row r="95" spans="1:109" ht="15" customHeight="1">
      <c r="A95" s="3"/>
      <c r="B95" s="385"/>
      <c r="C95" s="386"/>
      <c r="D95" s="386"/>
      <c r="E95" s="386"/>
      <c r="F95" s="386"/>
      <c r="G95" s="386"/>
      <c r="H95" s="387"/>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85"/>
      <c r="BG95" s="386"/>
      <c r="BH95" s="386"/>
      <c r="BI95" s="386"/>
      <c r="BJ95" s="386"/>
      <c r="BK95" s="386"/>
      <c r="BL95" s="387"/>
      <c r="BM95" s="385"/>
      <c r="BN95" s="386"/>
      <c r="BO95" s="386"/>
      <c r="BP95" s="386"/>
      <c r="BQ95" s="386"/>
      <c r="BR95" s="386"/>
      <c r="BS95" s="386"/>
      <c r="BT95" s="386"/>
      <c r="BU95" s="386"/>
      <c r="BV95" s="386"/>
      <c r="BW95" s="386"/>
      <c r="BX95" s="386"/>
      <c r="BY95" s="386"/>
      <c r="BZ95" s="386"/>
      <c r="CA95" s="386"/>
      <c r="CB95" s="386"/>
      <c r="CC95" s="386"/>
      <c r="CD95" s="386"/>
      <c r="CE95" s="386"/>
      <c r="CF95" s="386"/>
      <c r="CG95" s="386"/>
      <c r="CH95" s="386"/>
      <c r="CI95" s="386"/>
      <c r="CJ95" s="386"/>
      <c r="CK95" s="386"/>
      <c r="CL95" s="387"/>
      <c r="CM95" s="351"/>
      <c r="CN95" s="351"/>
      <c r="CO95" s="351"/>
      <c r="CP95" s="351"/>
      <c r="CQ95" s="351"/>
      <c r="CR95" s="351"/>
      <c r="CS95" s="351"/>
      <c r="CT95" s="351"/>
      <c r="CU95" s="351"/>
      <c r="CV95" s="351"/>
      <c r="CW95" s="351"/>
      <c r="CX95" s="351"/>
      <c r="CY95" s="351"/>
      <c r="CZ95" s="351"/>
      <c r="DA95" s="351"/>
      <c r="DB95" s="351"/>
      <c r="DC95" s="351"/>
      <c r="DD95" s="351"/>
      <c r="DE95" s="7"/>
    </row>
    <row r="96" spans="1:109" ht="15" customHeight="1">
      <c r="A96" s="3"/>
      <c r="B96" s="352"/>
      <c r="C96" s="352"/>
      <c r="D96" s="352"/>
      <c r="E96" s="352"/>
      <c r="F96" s="352"/>
      <c r="G96" s="352"/>
      <c r="H96" s="352"/>
      <c r="I96" s="352"/>
      <c r="J96" s="352"/>
      <c r="K96" s="352"/>
      <c r="L96" s="352"/>
      <c r="M96" s="352"/>
      <c r="N96" s="352"/>
      <c r="O96" s="352"/>
      <c r="P96" s="352"/>
      <c r="Q96" s="352"/>
      <c r="R96" s="352"/>
      <c r="S96" s="352"/>
      <c r="T96" s="352"/>
      <c r="U96" s="352"/>
      <c r="V96" s="352"/>
      <c r="W96" s="352"/>
      <c r="X96" s="352"/>
      <c r="Y96" s="352"/>
      <c r="Z96" s="352"/>
      <c r="AA96" s="352"/>
      <c r="AB96" s="352"/>
      <c r="AC96" s="352"/>
      <c r="AD96" s="352"/>
      <c r="AE96" s="352"/>
      <c r="AF96" s="352"/>
      <c r="AG96" s="352"/>
      <c r="AH96" s="352"/>
      <c r="AI96" s="352"/>
      <c r="AJ96" s="352"/>
      <c r="AK96" s="352"/>
      <c r="AL96" s="352"/>
      <c r="AM96" s="352"/>
      <c r="AN96" s="352"/>
      <c r="AO96" s="352"/>
      <c r="AP96" s="352"/>
      <c r="AQ96" s="352"/>
      <c r="AR96" s="352"/>
      <c r="AS96" s="352"/>
      <c r="AT96" s="352"/>
      <c r="AU96" s="352"/>
      <c r="AV96" s="352"/>
      <c r="AW96" s="352"/>
      <c r="AX96" s="352"/>
      <c r="AY96" s="352"/>
      <c r="AZ96" s="352"/>
      <c r="BA96" s="352"/>
      <c r="BB96" s="352"/>
      <c r="BC96" s="352"/>
      <c r="BD96" s="352"/>
      <c r="BE96" s="352"/>
      <c r="BF96" s="352"/>
      <c r="BG96" s="352"/>
      <c r="BH96" s="352"/>
      <c r="BI96" s="352"/>
      <c r="BJ96" s="352"/>
      <c r="BK96" s="352"/>
      <c r="BL96" s="352"/>
      <c r="BM96" s="352"/>
      <c r="BN96" s="352"/>
      <c r="BO96" s="352"/>
      <c r="BP96" s="352"/>
      <c r="BQ96" s="352"/>
      <c r="BR96" s="352"/>
      <c r="BS96" s="352"/>
      <c r="BT96" s="352"/>
      <c r="BU96" s="352"/>
      <c r="BV96" s="352"/>
      <c r="BW96" s="352"/>
      <c r="BX96" s="352"/>
      <c r="BY96" s="352"/>
      <c r="BZ96" s="352"/>
      <c r="CA96" s="352"/>
      <c r="CB96" s="352"/>
      <c r="CC96" s="352"/>
      <c r="CD96" s="352"/>
      <c r="CE96" s="352"/>
      <c r="CF96" s="352"/>
      <c r="CG96" s="352"/>
      <c r="CH96" s="352"/>
      <c r="CI96" s="352"/>
      <c r="CJ96" s="352"/>
      <c r="CK96" s="352"/>
      <c r="CL96" s="352"/>
      <c r="CM96" s="352"/>
      <c r="CN96" s="352"/>
      <c r="CO96" s="352"/>
      <c r="CP96" s="352"/>
      <c r="CQ96" s="352"/>
      <c r="CR96" s="352"/>
      <c r="CS96" s="352"/>
      <c r="CT96" s="352"/>
      <c r="CU96" s="352"/>
      <c r="CV96" s="352"/>
      <c r="CW96" s="352"/>
      <c r="CX96" s="352"/>
      <c r="CY96" s="352"/>
      <c r="CZ96" s="352"/>
      <c r="DA96" s="352"/>
      <c r="DB96" s="352"/>
      <c r="DC96" s="352"/>
      <c r="DD96" s="352"/>
      <c r="DE96" s="7"/>
    </row>
    <row r="97" spans="1:109" ht="15" customHeight="1">
      <c r="A97" s="6"/>
      <c r="B97" s="352"/>
      <c r="C97" s="352"/>
      <c r="D97" s="352"/>
      <c r="E97" s="352"/>
      <c r="F97" s="352"/>
      <c r="G97" s="352"/>
      <c r="H97" s="352"/>
      <c r="I97" s="352"/>
      <c r="J97" s="352"/>
      <c r="K97" s="352"/>
      <c r="L97" s="352"/>
      <c r="M97" s="352"/>
      <c r="N97" s="352"/>
      <c r="O97" s="352"/>
      <c r="P97" s="352"/>
      <c r="Q97" s="352"/>
      <c r="R97" s="352"/>
      <c r="S97" s="352"/>
      <c r="T97" s="352"/>
      <c r="U97" s="352"/>
      <c r="V97" s="352"/>
      <c r="W97" s="352"/>
      <c r="X97" s="352"/>
      <c r="Y97" s="352"/>
      <c r="Z97" s="352"/>
      <c r="AA97" s="352"/>
      <c r="AB97" s="352"/>
      <c r="AC97" s="352"/>
      <c r="AD97" s="352"/>
      <c r="AE97" s="352"/>
      <c r="AF97" s="352"/>
      <c r="AG97" s="352"/>
      <c r="AH97" s="352"/>
      <c r="AI97" s="352"/>
      <c r="AJ97" s="352"/>
      <c r="AK97" s="352"/>
      <c r="AL97" s="352"/>
      <c r="AM97" s="352"/>
      <c r="AN97" s="352"/>
      <c r="AO97" s="352"/>
      <c r="AP97" s="352"/>
      <c r="AQ97" s="352"/>
      <c r="AR97" s="352"/>
      <c r="AS97" s="352"/>
      <c r="AT97" s="352"/>
      <c r="AU97" s="352"/>
      <c r="AV97" s="352"/>
      <c r="AW97" s="352"/>
      <c r="AX97" s="352"/>
      <c r="AY97" s="352"/>
      <c r="AZ97" s="352"/>
      <c r="BA97" s="352"/>
      <c r="BB97" s="352"/>
      <c r="BC97" s="352"/>
      <c r="BD97" s="352"/>
      <c r="BE97" s="352"/>
      <c r="BF97" s="352"/>
      <c r="BG97" s="352"/>
      <c r="BH97" s="352"/>
      <c r="BI97" s="352"/>
      <c r="BJ97" s="352"/>
      <c r="BK97" s="352"/>
      <c r="BL97" s="352"/>
      <c r="BM97" s="352"/>
      <c r="BN97" s="352"/>
      <c r="BO97" s="352"/>
      <c r="BP97" s="352"/>
      <c r="BQ97" s="352"/>
      <c r="BR97" s="352"/>
      <c r="BS97" s="352"/>
      <c r="BT97" s="352"/>
      <c r="BU97" s="352"/>
      <c r="BV97" s="352"/>
      <c r="BW97" s="352"/>
      <c r="BX97" s="352"/>
      <c r="BY97" s="352"/>
      <c r="BZ97" s="352"/>
      <c r="CA97" s="352"/>
      <c r="CB97" s="352"/>
      <c r="CC97" s="352"/>
      <c r="CD97" s="352"/>
      <c r="CE97" s="352"/>
      <c r="CF97" s="352"/>
      <c r="CG97" s="352"/>
      <c r="CH97" s="352"/>
      <c r="CI97" s="352"/>
      <c r="CJ97" s="352"/>
      <c r="CK97" s="352"/>
      <c r="CL97" s="352"/>
      <c r="CM97" s="352"/>
      <c r="CN97" s="352"/>
      <c r="CO97" s="352"/>
      <c r="CP97" s="352"/>
      <c r="CQ97" s="352"/>
      <c r="CR97" s="352"/>
      <c r="CS97" s="352"/>
      <c r="CT97" s="352"/>
      <c r="CU97" s="352"/>
      <c r="CV97" s="352"/>
      <c r="CW97" s="352"/>
      <c r="CX97" s="352"/>
      <c r="CY97" s="352"/>
      <c r="CZ97" s="352"/>
      <c r="DA97" s="352"/>
      <c r="DB97" s="352"/>
      <c r="DC97" s="352"/>
      <c r="DD97" s="352"/>
      <c r="DE97" s="7"/>
    </row>
    <row r="98" spans="1:109" ht="15" customHeight="1">
      <c r="A98" s="8"/>
      <c r="B98" s="382"/>
      <c r="C98" s="383"/>
      <c r="D98" s="383"/>
      <c r="E98" s="383"/>
      <c r="F98" s="383"/>
      <c r="G98" s="383"/>
      <c r="H98" s="384"/>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c r="BI98" s="351"/>
      <c r="BJ98" s="351"/>
      <c r="BK98" s="351"/>
      <c r="BL98" s="351"/>
      <c r="BM98" s="351"/>
      <c r="BN98" s="351"/>
      <c r="BO98" s="351"/>
      <c r="BP98" s="351"/>
      <c r="BQ98" s="351"/>
      <c r="BR98" s="351"/>
      <c r="BS98" s="351"/>
      <c r="BT98" s="351"/>
      <c r="BU98" s="351"/>
      <c r="BV98" s="351"/>
      <c r="BW98" s="351"/>
      <c r="BX98" s="351"/>
      <c r="BY98" s="351"/>
      <c r="BZ98" s="351"/>
      <c r="CA98" s="351"/>
      <c r="CB98" s="351"/>
      <c r="CC98" s="351"/>
      <c r="CD98" s="351"/>
      <c r="CE98" s="351"/>
      <c r="CF98" s="351"/>
      <c r="CG98" s="351"/>
      <c r="CH98" s="351"/>
      <c r="CI98" s="351"/>
      <c r="CJ98" s="351"/>
      <c r="CK98" s="351"/>
      <c r="CL98" s="351"/>
      <c r="CM98" s="351"/>
      <c r="CN98" s="351"/>
      <c r="CO98" s="351"/>
      <c r="CP98" s="351"/>
      <c r="CQ98" s="351"/>
      <c r="CR98" s="351"/>
      <c r="CS98" s="351"/>
      <c r="CT98" s="351"/>
      <c r="CU98" s="351"/>
      <c r="CV98" s="351"/>
      <c r="CW98" s="351"/>
      <c r="CX98" s="351"/>
      <c r="CY98" s="351"/>
      <c r="CZ98" s="351"/>
      <c r="DA98" s="351"/>
      <c r="DB98" s="351"/>
      <c r="DC98" s="351"/>
      <c r="DD98" s="351"/>
      <c r="DE98" s="7"/>
    </row>
    <row r="99" spans="1:109" ht="15" customHeight="1">
      <c r="A99" s="3"/>
      <c r="B99" s="385"/>
      <c r="C99" s="386"/>
      <c r="D99" s="386"/>
      <c r="E99" s="386"/>
      <c r="F99" s="386"/>
      <c r="G99" s="386"/>
      <c r="H99" s="387"/>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c r="BI99" s="351"/>
      <c r="BJ99" s="351"/>
      <c r="BK99" s="351"/>
      <c r="BL99" s="351"/>
      <c r="BM99" s="351"/>
      <c r="BN99" s="351"/>
      <c r="BO99" s="351"/>
      <c r="BP99" s="351"/>
      <c r="BQ99" s="351"/>
      <c r="BR99" s="351"/>
      <c r="BS99" s="351"/>
      <c r="BT99" s="351"/>
      <c r="BU99" s="351"/>
      <c r="BV99" s="351"/>
      <c r="BW99" s="351"/>
      <c r="BX99" s="351"/>
      <c r="BY99" s="351"/>
      <c r="BZ99" s="351"/>
      <c r="CA99" s="351"/>
      <c r="CB99" s="351"/>
      <c r="CC99" s="351"/>
      <c r="CD99" s="351"/>
      <c r="CE99" s="351"/>
      <c r="CF99" s="351"/>
      <c r="CG99" s="351"/>
      <c r="CH99" s="351"/>
      <c r="CI99" s="351"/>
      <c r="CJ99" s="351"/>
      <c r="CK99" s="351"/>
      <c r="CL99" s="351"/>
      <c r="CM99" s="351"/>
      <c r="CN99" s="351"/>
      <c r="CO99" s="351"/>
      <c r="CP99" s="351"/>
      <c r="CQ99" s="351"/>
      <c r="CR99" s="351"/>
      <c r="CS99" s="351"/>
      <c r="CT99" s="351"/>
      <c r="CU99" s="351"/>
      <c r="CV99" s="351"/>
      <c r="CW99" s="351"/>
      <c r="CX99" s="351"/>
      <c r="CY99" s="351"/>
      <c r="CZ99" s="351"/>
      <c r="DA99" s="351"/>
      <c r="DB99" s="351"/>
      <c r="DC99" s="351"/>
      <c r="DD99" s="351"/>
      <c r="DE99" s="7"/>
    </row>
    <row r="100" spans="1:109" ht="15" customHeight="1">
      <c r="A100" s="3"/>
      <c r="B100" s="353"/>
      <c r="C100" s="354"/>
      <c r="D100" s="354"/>
      <c r="E100" s="354"/>
      <c r="F100" s="354"/>
      <c r="G100" s="354"/>
      <c r="H100" s="355"/>
      <c r="I100" s="352"/>
      <c r="J100" s="352"/>
      <c r="K100" s="352"/>
      <c r="L100" s="352"/>
      <c r="M100" s="352"/>
      <c r="N100" s="352"/>
      <c r="O100" s="352"/>
      <c r="P100" s="352"/>
      <c r="Q100" s="352"/>
      <c r="R100" s="352"/>
      <c r="S100" s="352"/>
      <c r="T100" s="352"/>
      <c r="U100" s="352"/>
      <c r="V100" s="352"/>
      <c r="W100" s="352"/>
      <c r="X100" s="352"/>
      <c r="Y100" s="352"/>
      <c r="Z100" s="352"/>
      <c r="AA100" s="352"/>
      <c r="AB100" s="352"/>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c r="AW100" s="352"/>
      <c r="AX100" s="352"/>
      <c r="AY100" s="352"/>
      <c r="AZ100" s="352"/>
      <c r="BA100" s="352"/>
      <c r="BB100" s="352"/>
      <c r="BC100" s="352"/>
      <c r="BD100" s="352"/>
      <c r="BE100" s="352"/>
      <c r="BF100" s="352"/>
      <c r="BG100" s="352"/>
      <c r="BH100" s="352"/>
      <c r="BI100" s="352"/>
      <c r="BJ100" s="352"/>
      <c r="BK100" s="352"/>
      <c r="BL100" s="352"/>
      <c r="BM100" s="352"/>
      <c r="BN100" s="352"/>
      <c r="BO100" s="352"/>
      <c r="BP100" s="352"/>
      <c r="BQ100" s="352"/>
      <c r="BR100" s="352"/>
      <c r="BS100" s="352"/>
      <c r="BT100" s="352"/>
      <c r="BU100" s="352"/>
      <c r="BV100" s="352"/>
      <c r="BW100" s="352"/>
      <c r="BX100" s="352"/>
      <c r="BY100" s="352"/>
      <c r="BZ100" s="352"/>
      <c r="CA100" s="352"/>
      <c r="CB100" s="352"/>
      <c r="CC100" s="352"/>
      <c r="CD100" s="352"/>
      <c r="CE100" s="352"/>
      <c r="CF100" s="352"/>
      <c r="CG100" s="352"/>
      <c r="CH100" s="352"/>
      <c r="CI100" s="352"/>
      <c r="CJ100" s="352"/>
      <c r="CK100" s="352"/>
      <c r="CL100" s="352"/>
      <c r="CM100" s="352"/>
      <c r="CN100" s="352"/>
      <c r="CO100" s="352"/>
      <c r="CP100" s="352"/>
      <c r="CQ100" s="352"/>
      <c r="CR100" s="352"/>
      <c r="CS100" s="352"/>
      <c r="CT100" s="352"/>
      <c r="CU100" s="352"/>
      <c r="CV100" s="352"/>
      <c r="CW100" s="352"/>
      <c r="CX100" s="352"/>
      <c r="CY100" s="352"/>
      <c r="CZ100" s="352"/>
      <c r="DA100" s="352"/>
      <c r="DB100" s="352"/>
      <c r="DC100" s="352"/>
      <c r="DD100" s="352"/>
      <c r="DE100" s="7"/>
    </row>
    <row r="101" spans="1:109" ht="15" customHeight="1">
      <c r="A101" s="3"/>
      <c r="B101" s="356"/>
      <c r="C101" s="357"/>
      <c r="D101" s="357"/>
      <c r="E101" s="357"/>
      <c r="F101" s="357"/>
      <c r="G101" s="357"/>
      <c r="H101" s="358"/>
      <c r="I101" s="352"/>
      <c r="J101" s="352"/>
      <c r="K101" s="352"/>
      <c r="L101" s="352"/>
      <c r="M101" s="352"/>
      <c r="N101" s="352"/>
      <c r="O101" s="352"/>
      <c r="P101" s="352"/>
      <c r="Q101" s="352"/>
      <c r="R101" s="352"/>
      <c r="S101" s="352"/>
      <c r="T101" s="352"/>
      <c r="U101" s="352"/>
      <c r="V101" s="352"/>
      <c r="W101" s="352"/>
      <c r="X101" s="352"/>
      <c r="Y101" s="352"/>
      <c r="Z101" s="352"/>
      <c r="AA101" s="352"/>
      <c r="AB101" s="352"/>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c r="AW101" s="352"/>
      <c r="AX101" s="352"/>
      <c r="AY101" s="352"/>
      <c r="AZ101" s="352"/>
      <c r="BA101" s="352"/>
      <c r="BB101" s="352"/>
      <c r="BC101" s="352"/>
      <c r="BD101" s="352"/>
      <c r="BE101" s="352"/>
      <c r="BF101" s="352"/>
      <c r="BG101" s="352"/>
      <c r="BH101" s="352"/>
      <c r="BI101" s="352"/>
      <c r="BJ101" s="352"/>
      <c r="BK101" s="352"/>
      <c r="BL101" s="352"/>
      <c r="BM101" s="352"/>
      <c r="BN101" s="352"/>
      <c r="BO101" s="352"/>
      <c r="BP101" s="352"/>
      <c r="BQ101" s="352"/>
      <c r="BR101" s="352"/>
      <c r="BS101" s="352"/>
      <c r="BT101" s="352"/>
      <c r="BU101" s="352"/>
      <c r="BV101" s="352"/>
      <c r="BW101" s="352"/>
      <c r="BX101" s="352"/>
      <c r="BY101" s="352"/>
      <c r="BZ101" s="352"/>
      <c r="CA101" s="352"/>
      <c r="CB101" s="352"/>
      <c r="CC101" s="352"/>
      <c r="CD101" s="352"/>
      <c r="CE101" s="352"/>
      <c r="CF101" s="352"/>
      <c r="CG101" s="352"/>
      <c r="CH101" s="352"/>
      <c r="CI101" s="352"/>
      <c r="CJ101" s="352"/>
      <c r="CK101" s="352"/>
      <c r="CL101" s="352"/>
      <c r="CM101" s="352"/>
      <c r="CN101" s="352"/>
      <c r="CO101" s="352"/>
      <c r="CP101" s="352"/>
      <c r="CQ101" s="352"/>
      <c r="CR101" s="352"/>
      <c r="CS101" s="352"/>
      <c r="CT101" s="352"/>
      <c r="CU101" s="352"/>
      <c r="CV101" s="352"/>
      <c r="CW101" s="352"/>
      <c r="CX101" s="352"/>
      <c r="CY101" s="352"/>
      <c r="CZ101" s="352"/>
      <c r="DA101" s="352"/>
      <c r="DB101" s="352"/>
      <c r="DC101" s="352"/>
      <c r="DD101" s="352"/>
      <c r="DE101" s="7"/>
    </row>
    <row r="102" spans="1:109" ht="15" customHeight="1">
      <c r="A102" s="6"/>
      <c r="B102" s="382"/>
      <c r="C102" s="383"/>
      <c r="D102" s="383"/>
      <c r="E102" s="383"/>
      <c r="F102" s="383"/>
      <c r="G102" s="383"/>
      <c r="H102" s="384"/>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c r="BI102" s="351"/>
      <c r="BJ102" s="351"/>
      <c r="BK102" s="351"/>
      <c r="BL102" s="351"/>
      <c r="BM102" s="351"/>
      <c r="BN102" s="351"/>
      <c r="BO102" s="351"/>
      <c r="BP102" s="351"/>
      <c r="BQ102" s="351"/>
      <c r="BR102" s="351"/>
      <c r="BS102" s="351"/>
      <c r="BT102" s="351"/>
      <c r="BU102" s="351"/>
      <c r="BV102" s="351"/>
      <c r="BW102" s="351"/>
      <c r="BX102" s="351"/>
      <c r="BY102" s="351"/>
      <c r="BZ102" s="351"/>
      <c r="CA102" s="351"/>
      <c r="CB102" s="351"/>
      <c r="CC102" s="351"/>
      <c r="CD102" s="351"/>
      <c r="CE102" s="351"/>
      <c r="CF102" s="351"/>
      <c r="CG102" s="351"/>
      <c r="CH102" s="351"/>
      <c r="CI102" s="351"/>
      <c r="CJ102" s="351"/>
      <c r="CK102" s="351"/>
      <c r="CL102" s="351"/>
      <c r="CM102" s="351"/>
      <c r="CN102" s="351"/>
      <c r="CO102" s="351"/>
      <c r="CP102" s="351"/>
      <c r="CQ102" s="351"/>
      <c r="CR102" s="351"/>
      <c r="CS102" s="351"/>
      <c r="CT102" s="351"/>
      <c r="CU102" s="351"/>
      <c r="CV102" s="351"/>
      <c r="CW102" s="351"/>
      <c r="CX102" s="351"/>
      <c r="CY102" s="351"/>
      <c r="CZ102" s="351"/>
      <c r="DA102" s="351"/>
      <c r="DB102" s="351"/>
      <c r="DC102" s="351"/>
      <c r="DD102" s="351"/>
      <c r="DE102" s="7"/>
    </row>
    <row r="103" spans="1:109" ht="15" customHeight="1">
      <c r="A103" s="8"/>
      <c r="B103" s="385"/>
      <c r="C103" s="386"/>
      <c r="D103" s="386"/>
      <c r="E103" s="386"/>
      <c r="F103" s="386"/>
      <c r="G103" s="386"/>
      <c r="H103" s="387"/>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c r="BI103" s="351"/>
      <c r="BJ103" s="351"/>
      <c r="BK103" s="351"/>
      <c r="BL103" s="351"/>
      <c r="BM103" s="351"/>
      <c r="BN103" s="351"/>
      <c r="BO103" s="351"/>
      <c r="BP103" s="351"/>
      <c r="BQ103" s="351"/>
      <c r="BR103" s="351"/>
      <c r="BS103" s="351"/>
      <c r="BT103" s="351"/>
      <c r="BU103" s="351"/>
      <c r="BV103" s="351"/>
      <c r="BW103" s="351"/>
      <c r="BX103" s="351"/>
      <c r="BY103" s="351"/>
      <c r="BZ103" s="351"/>
      <c r="CA103" s="351"/>
      <c r="CB103" s="351"/>
      <c r="CC103" s="351"/>
      <c r="CD103" s="351"/>
      <c r="CE103" s="351"/>
      <c r="CF103" s="351"/>
      <c r="CG103" s="351"/>
      <c r="CH103" s="351"/>
      <c r="CI103" s="351"/>
      <c r="CJ103" s="351"/>
      <c r="CK103" s="351"/>
      <c r="CL103" s="351"/>
      <c r="CM103" s="351"/>
      <c r="CN103" s="351"/>
      <c r="CO103" s="351"/>
      <c r="CP103" s="351"/>
      <c r="CQ103" s="351"/>
      <c r="CR103" s="351"/>
      <c r="CS103" s="351"/>
      <c r="CT103" s="351"/>
      <c r="CU103" s="351"/>
      <c r="CV103" s="351"/>
      <c r="CW103" s="351"/>
      <c r="CX103" s="351"/>
      <c r="CY103" s="351"/>
      <c r="CZ103" s="351"/>
      <c r="DA103" s="351"/>
      <c r="DB103" s="351"/>
      <c r="DC103" s="351"/>
      <c r="DD103" s="351"/>
      <c r="DE103" s="7"/>
    </row>
    <row r="104" spans="1:109" ht="15" customHeight="1">
      <c r="A104" s="8"/>
      <c r="B104" s="353"/>
      <c r="C104" s="354"/>
      <c r="D104" s="354"/>
      <c r="E104" s="354"/>
      <c r="F104" s="354"/>
      <c r="G104" s="354"/>
      <c r="H104" s="355"/>
      <c r="I104" s="352"/>
      <c r="J104" s="352"/>
      <c r="K104" s="352"/>
      <c r="L104" s="352"/>
      <c r="M104" s="352"/>
      <c r="N104" s="352"/>
      <c r="O104" s="352"/>
      <c r="P104" s="352"/>
      <c r="Q104" s="352"/>
      <c r="R104" s="352"/>
      <c r="S104" s="352"/>
      <c r="T104" s="352"/>
      <c r="U104" s="352"/>
      <c r="V104" s="352"/>
      <c r="W104" s="352"/>
      <c r="X104" s="352"/>
      <c r="Y104" s="352"/>
      <c r="Z104" s="352"/>
      <c r="AA104" s="352"/>
      <c r="AB104" s="352"/>
      <c r="AC104" s="352"/>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c r="AX104" s="352"/>
      <c r="AY104" s="352"/>
      <c r="AZ104" s="352"/>
      <c r="BA104" s="352"/>
      <c r="BB104" s="352"/>
      <c r="BC104" s="352"/>
      <c r="BD104" s="352"/>
      <c r="BE104" s="352"/>
      <c r="BF104" s="352"/>
      <c r="BG104" s="352"/>
      <c r="BH104" s="352"/>
      <c r="BI104" s="352"/>
      <c r="BJ104" s="352"/>
      <c r="BK104" s="352"/>
      <c r="BL104" s="352"/>
      <c r="BM104" s="352"/>
      <c r="BN104" s="352"/>
      <c r="BO104" s="352"/>
      <c r="BP104" s="352"/>
      <c r="BQ104" s="352"/>
      <c r="BR104" s="352"/>
      <c r="BS104" s="352"/>
      <c r="BT104" s="352"/>
      <c r="BU104" s="352"/>
      <c r="BV104" s="352"/>
      <c r="BW104" s="352"/>
      <c r="BX104" s="352"/>
      <c r="BY104" s="352"/>
      <c r="BZ104" s="352"/>
      <c r="CA104" s="352"/>
      <c r="CB104" s="352"/>
      <c r="CC104" s="352"/>
      <c r="CD104" s="352"/>
      <c r="CE104" s="352"/>
      <c r="CF104" s="352"/>
      <c r="CG104" s="352"/>
      <c r="CH104" s="352"/>
      <c r="CI104" s="352"/>
      <c r="CJ104" s="352"/>
      <c r="CK104" s="352"/>
      <c r="CL104" s="352"/>
      <c r="CM104" s="352"/>
      <c r="CN104" s="352"/>
      <c r="CO104" s="352"/>
      <c r="CP104" s="352"/>
      <c r="CQ104" s="352"/>
      <c r="CR104" s="352"/>
      <c r="CS104" s="352"/>
      <c r="CT104" s="352"/>
      <c r="CU104" s="352"/>
      <c r="CV104" s="352"/>
      <c r="CW104" s="352"/>
      <c r="CX104" s="352"/>
      <c r="CY104" s="352"/>
      <c r="CZ104" s="352"/>
      <c r="DA104" s="352"/>
      <c r="DB104" s="352"/>
      <c r="DC104" s="352"/>
      <c r="DD104" s="352"/>
      <c r="DE104" s="7"/>
    </row>
    <row r="105" spans="1:109" ht="15" customHeight="1">
      <c r="A105" s="8"/>
      <c r="B105" s="356"/>
      <c r="C105" s="357"/>
      <c r="D105" s="357"/>
      <c r="E105" s="357"/>
      <c r="F105" s="357"/>
      <c r="G105" s="357"/>
      <c r="H105" s="358"/>
      <c r="I105" s="352"/>
      <c r="J105" s="352"/>
      <c r="K105" s="352"/>
      <c r="L105" s="352"/>
      <c r="M105" s="352"/>
      <c r="N105" s="352"/>
      <c r="O105" s="352"/>
      <c r="P105" s="352"/>
      <c r="Q105" s="352"/>
      <c r="R105" s="352"/>
      <c r="S105" s="352"/>
      <c r="T105" s="352"/>
      <c r="U105" s="352"/>
      <c r="V105" s="352"/>
      <c r="W105" s="352"/>
      <c r="X105" s="352"/>
      <c r="Y105" s="352"/>
      <c r="Z105" s="352"/>
      <c r="AA105" s="352"/>
      <c r="AB105" s="352"/>
      <c r="AC105" s="352"/>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c r="AX105" s="352"/>
      <c r="AY105" s="352"/>
      <c r="AZ105" s="352"/>
      <c r="BA105" s="352"/>
      <c r="BB105" s="352"/>
      <c r="BC105" s="352"/>
      <c r="BD105" s="352"/>
      <c r="BE105" s="352"/>
      <c r="BF105" s="352"/>
      <c r="BG105" s="352"/>
      <c r="BH105" s="352"/>
      <c r="BI105" s="352"/>
      <c r="BJ105" s="352"/>
      <c r="BK105" s="352"/>
      <c r="BL105" s="352"/>
      <c r="BM105" s="352"/>
      <c r="BN105" s="352"/>
      <c r="BO105" s="352"/>
      <c r="BP105" s="352"/>
      <c r="BQ105" s="352"/>
      <c r="BR105" s="352"/>
      <c r="BS105" s="352"/>
      <c r="BT105" s="352"/>
      <c r="BU105" s="352"/>
      <c r="BV105" s="352"/>
      <c r="BW105" s="352"/>
      <c r="BX105" s="352"/>
      <c r="BY105" s="352"/>
      <c r="BZ105" s="352"/>
      <c r="CA105" s="352"/>
      <c r="CB105" s="352"/>
      <c r="CC105" s="352"/>
      <c r="CD105" s="352"/>
      <c r="CE105" s="352"/>
      <c r="CF105" s="352"/>
      <c r="CG105" s="352"/>
      <c r="CH105" s="352"/>
      <c r="CI105" s="352"/>
      <c r="CJ105" s="352"/>
      <c r="CK105" s="352"/>
      <c r="CL105" s="352"/>
      <c r="CM105" s="352"/>
      <c r="CN105" s="352"/>
      <c r="CO105" s="352"/>
      <c r="CP105" s="352"/>
      <c r="CQ105" s="352"/>
      <c r="CR105" s="352"/>
      <c r="CS105" s="352"/>
      <c r="CT105" s="352"/>
      <c r="CU105" s="352"/>
      <c r="CV105" s="352"/>
      <c r="CW105" s="352"/>
      <c r="CX105" s="352"/>
      <c r="CY105" s="352"/>
      <c r="CZ105" s="352"/>
      <c r="DA105" s="352"/>
      <c r="DB105" s="352"/>
      <c r="DC105" s="352"/>
      <c r="DD105" s="352"/>
      <c r="DE105" s="7"/>
    </row>
    <row r="106" spans="1:109" ht="15" customHeight="1">
      <c r="A106" s="3"/>
      <c r="B106" s="382"/>
      <c r="C106" s="383"/>
      <c r="D106" s="383"/>
      <c r="E106" s="383"/>
      <c r="F106" s="383"/>
      <c r="G106" s="383"/>
      <c r="H106" s="384"/>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c r="BI106" s="351"/>
      <c r="BJ106" s="351"/>
      <c r="BK106" s="351"/>
      <c r="BL106" s="351"/>
      <c r="BM106" s="351"/>
      <c r="BN106" s="351"/>
      <c r="BO106" s="351"/>
      <c r="BP106" s="351"/>
      <c r="BQ106" s="351"/>
      <c r="BR106" s="351"/>
      <c r="BS106" s="351"/>
      <c r="BT106" s="351"/>
      <c r="BU106" s="351"/>
      <c r="BV106" s="351"/>
      <c r="BW106" s="351"/>
      <c r="BX106" s="351"/>
      <c r="BY106" s="351"/>
      <c r="BZ106" s="351"/>
      <c r="CA106" s="351"/>
      <c r="CB106" s="351"/>
      <c r="CC106" s="351"/>
      <c r="CD106" s="351"/>
      <c r="CE106" s="351"/>
      <c r="CF106" s="351"/>
      <c r="CG106" s="351"/>
      <c r="CH106" s="351"/>
      <c r="CI106" s="351"/>
      <c r="CJ106" s="351"/>
      <c r="CK106" s="351"/>
      <c r="CL106" s="351"/>
      <c r="CM106" s="351"/>
      <c r="CN106" s="351"/>
      <c r="CO106" s="351"/>
      <c r="CP106" s="351"/>
      <c r="CQ106" s="351"/>
      <c r="CR106" s="351"/>
      <c r="CS106" s="351"/>
      <c r="CT106" s="351"/>
      <c r="CU106" s="351"/>
      <c r="CV106" s="351"/>
      <c r="CW106" s="351"/>
      <c r="CX106" s="351"/>
      <c r="CY106" s="351"/>
      <c r="CZ106" s="351"/>
      <c r="DA106" s="351"/>
      <c r="DB106" s="351"/>
      <c r="DC106" s="351"/>
      <c r="DD106" s="351"/>
      <c r="DE106" s="7"/>
    </row>
    <row r="107" spans="1:109" ht="15" customHeight="1">
      <c r="A107" s="3"/>
      <c r="B107" s="385"/>
      <c r="C107" s="386"/>
      <c r="D107" s="386"/>
      <c r="E107" s="386"/>
      <c r="F107" s="386"/>
      <c r="G107" s="386"/>
      <c r="H107" s="387"/>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c r="BI107" s="351"/>
      <c r="BJ107" s="351"/>
      <c r="BK107" s="351"/>
      <c r="BL107" s="351"/>
      <c r="BM107" s="351"/>
      <c r="BN107" s="351"/>
      <c r="BO107" s="351"/>
      <c r="BP107" s="351"/>
      <c r="BQ107" s="351"/>
      <c r="BR107" s="351"/>
      <c r="BS107" s="351"/>
      <c r="BT107" s="351"/>
      <c r="BU107" s="351"/>
      <c r="BV107" s="351"/>
      <c r="BW107" s="351"/>
      <c r="BX107" s="351"/>
      <c r="BY107" s="351"/>
      <c r="BZ107" s="351"/>
      <c r="CA107" s="351"/>
      <c r="CB107" s="351"/>
      <c r="CC107" s="351"/>
      <c r="CD107" s="351"/>
      <c r="CE107" s="351"/>
      <c r="CF107" s="351"/>
      <c r="CG107" s="351"/>
      <c r="CH107" s="351"/>
      <c r="CI107" s="351"/>
      <c r="CJ107" s="351"/>
      <c r="CK107" s="351"/>
      <c r="CL107" s="351"/>
      <c r="CM107" s="351"/>
      <c r="CN107" s="351"/>
      <c r="CO107" s="351"/>
      <c r="CP107" s="351"/>
      <c r="CQ107" s="351"/>
      <c r="CR107" s="351"/>
      <c r="CS107" s="351"/>
      <c r="CT107" s="351"/>
      <c r="CU107" s="351"/>
      <c r="CV107" s="351"/>
      <c r="CW107" s="351"/>
      <c r="CX107" s="351"/>
      <c r="CY107" s="351"/>
      <c r="CZ107" s="351"/>
      <c r="DA107" s="351"/>
      <c r="DB107" s="351"/>
      <c r="DC107" s="351"/>
      <c r="DD107" s="351"/>
      <c r="DE107" s="7"/>
    </row>
    <row r="108" spans="1:109" ht="15" customHeight="1">
      <c r="A108" s="3"/>
      <c r="B108" s="353"/>
      <c r="C108" s="354"/>
      <c r="D108" s="354"/>
      <c r="E108" s="354"/>
      <c r="F108" s="354"/>
      <c r="G108" s="354"/>
      <c r="H108" s="355"/>
      <c r="I108" s="352"/>
      <c r="J108" s="352"/>
      <c r="K108" s="352"/>
      <c r="L108" s="352"/>
      <c r="M108" s="352"/>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c r="AI108" s="352"/>
      <c r="AJ108" s="352"/>
      <c r="AK108" s="352"/>
      <c r="AL108" s="352"/>
      <c r="AM108" s="352"/>
      <c r="AN108" s="352"/>
      <c r="AO108" s="352"/>
      <c r="AP108" s="352"/>
      <c r="AQ108" s="352"/>
      <c r="AR108" s="352"/>
      <c r="AS108" s="352"/>
      <c r="AT108" s="352"/>
      <c r="AU108" s="352"/>
      <c r="AV108" s="352"/>
      <c r="AW108" s="352"/>
      <c r="AX108" s="352"/>
      <c r="AY108" s="352"/>
      <c r="AZ108" s="352"/>
      <c r="BA108" s="352"/>
      <c r="BB108" s="352"/>
      <c r="BC108" s="352"/>
      <c r="BD108" s="352"/>
      <c r="BE108" s="352"/>
      <c r="BF108" s="352"/>
      <c r="BG108" s="352"/>
      <c r="BH108" s="352"/>
      <c r="BI108" s="352"/>
      <c r="BJ108" s="352"/>
      <c r="BK108" s="352"/>
      <c r="BL108" s="352"/>
      <c r="BM108" s="352"/>
      <c r="BN108" s="352"/>
      <c r="BO108" s="352"/>
      <c r="BP108" s="352"/>
      <c r="BQ108" s="352"/>
      <c r="BR108" s="352"/>
      <c r="BS108" s="352"/>
      <c r="BT108" s="352"/>
      <c r="BU108" s="352"/>
      <c r="BV108" s="352"/>
      <c r="BW108" s="352"/>
      <c r="BX108" s="352"/>
      <c r="BY108" s="352"/>
      <c r="BZ108" s="352"/>
      <c r="CA108" s="352"/>
      <c r="CB108" s="352"/>
      <c r="CC108" s="352"/>
      <c r="CD108" s="352"/>
      <c r="CE108" s="352"/>
      <c r="CF108" s="352"/>
      <c r="CG108" s="352"/>
      <c r="CH108" s="352"/>
      <c r="CI108" s="352"/>
      <c r="CJ108" s="352"/>
      <c r="CK108" s="352"/>
      <c r="CL108" s="352"/>
      <c r="CM108" s="352"/>
      <c r="CN108" s="352"/>
      <c r="CO108" s="352"/>
      <c r="CP108" s="352"/>
      <c r="CQ108" s="352"/>
      <c r="CR108" s="352"/>
      <c r="CS108" s="352"/>
      <c r="CT108" s="352"/>
      <c r="CU108" s="352"/>
      <c r="CV108" s="352"/>
      <c r="CW108" s="352"/>
      <c r="CX108" s="352"/>
      <c r="CY108" s="352"/>
      <c r="CZ108" s="352"/>
      <c r="DA108" s="352"/>
      <c r="DB108" s="352"/>
      <c r="DC108" s="352"/>
      <c r="DD108" s="352"/>
      <c r="DE108" s="24"/>
    </row>
    <row r="109" spans="1:109" ht="15" customHeight="1">
      <c r="A109" s="3"/>
      <c r="B109" s="356"/>
      <c r="C109" s="357"/>
      <c r="D109" s="357"/>
      <c r="E109" s="357"/>
      <c r="F109" s="357"/>
      <c r="G109" s="357"/>
      <c r="H109" s="358"/>
      <c r="I109" s="352"/>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c r="AF109" s="352"/>
      <c r="AG109" s="352"/>
      <c r="AH109" s="352"/>
      <c r="AI109" s="352"/>
      <c r="AJ109" s="352"/>
      <c r="AK109" s="352"/>
      <c r="AL109" s="352"/>
      <c r="AM109" s="352"/>
      <c r="AN109" s="352"/>
      <c r="AO109" s="352"/>
      <c r="AP109" s="352"/>
      <c r="AQ109" s="352"/>
      <c r="AR109" s="352"/>
      <c r="AS109" s="352"/>
      <c r="AT109" s="352"/>
      <c r="AU109" s="352"/>
      <c r="AV109" s="352"/>
      <c r="AW109" s="352"/>
      <c r="AX109" s="352"/>
      <c r="AY109" s="352"/>
      <c r="AZ109" s="352"/>
      <c r="BA109" s="352"/>
      <c r="BB109" s="352"/>
      <c r="BC109" s="352"/>
      <c r="BD109" s="352"/>
      <c r="BE109" s="352"/>
      <c r="BF109" s="352"/>
      <c r="BG109" s="352"/>
      <c r="BH109" s="352"/>
      <c r="BI109" s="352"/>
      <c r="BJ109" s="352"/>
      <c r="BK109" s="352"/>
      <c r="BL109" s="352"/>
      <c r="BM109" s="352"/>
      <c r="BN109" s="352"/>
      <c r="BO109" s="352"/>
      <c r="BP109" s="352"/>
      <c r="BQ109" s="352"/>
      <c r="BR109" s="352"/>
      <c r="BS109" s="352"/>
      <c r="BT109" s="352"/>
      <c r="BU109" s="352"/>
      <c r="BV109" s="352"/>
      <c r="BW109" s="352"/>
      <c r="BX109" s="352"/>
      <c r="BY109" s="352"/>
      <c r="BZ109" s="352"/>
      <c r="CA109" s="352"/>
      <c r="CB109" s="352"/>
      <c r="CC109" s="352"/>
      <c r="CD109" s="352"/>
      <c r="CE109" s="352"/>
      <c r="CF109" s="352"/>
      <c r="CG109" s="352"/>
      <c r="CH109" s="352"/>
      <c r="CI109" s="352"/>
      <c r="CJ109" s="352"/>
      <c r="CK109" s="352"/>
      <c r="CL109" s="352"/>
      <c r="CM109" s="352"/>
      <c r="CN109" s="352"/>
      <c r="CO109" s="352"/>
      <c r="CP109" s="352"/>
      <c r="CQ109" s="352"/>
      <c r="CR109" s="352"/>
      <c r="CS109" s="352"/>
      <c r="CT109" s="352"/>
      <c r="CU109" s="352"/>
      <c r="CV109" s="352"/>
      <c r="CW109" s="352"/>
      <c r="CX109" s="352"/>
      <c r="CY109" s="352"/>
      <c r="CZ109" s="352"/>
      <c r="DA109" s="352"/>
      <c r="DB109" s="352"/>
      <c r="DC109" s="352"/>
      <c r="DD109" s="352"/>
      <c r="DE109" s="7"/>
    </row>
    <row r="110" spans="1:109" ht="15" customHeight="1">
      <c r="A110" s="3"/>
      <c r="B110" s="382"/>
      <c r="C110" s="383"/>
      <c r="D110" s="383"/>
      <c r="E110" s="383"/>
      <c r="F110" s="383"/>
      <c r="G110" s="383"/>
      <c r="H110" s="384"/>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c r="BI110" s="351"/>
      <c r="BJ110" s="351"/>
      <c r="BK110" s="351"/>
      <c r="BL110" s="351"/>
      <c r="BM110" s="351"/>
      <c r="BN110" s="351"/>
      <c r="BO110" s="351"/>
      <c r="BP110" s="351"/>
      <c r="BQ110" s="351"/>
      <c r="BR110" s="351"/>
      <c r="BS110" s="351"/>
      <c r="BT110" s="351"/>
      <c r="BU110" s="351"/>
      <c r="BV110" s="351"/>
      <c r="BW110" s="351"/>
      <c r="BX110" s="351"/>
      <c r="BY110" s="351"/>
      <c r="BZ110" s="351"/>
      <c r="CA110" s="351"/>
      <c r="CB110" s="351"/>
      <c r="CC110" s="351"/>
      <c r="CD110" s="351"/>
      <c r="CE110" s="351"/>
      <c r="CF110" s="351"/>
      <c r="CG110" s="351"/>
      <c r="CH110" s="351"/>
      <c r="CI110" s="351"/>
      <c r="CJ110" s="351"/>
      <c r="CK110" s="351"/>
      <c r="CL110" s="351"/>
      <c r="CM110" s="351"/>
      <c r="CN110" s="351"/>
      <c r="CO110" s="351"/>
      <c r="CP110" s="351"/>
      <c r="CQ110" s="351"/>
      <c r="CR110" s="351"/>
      <c r="CS110" s="351"/>
      <c r="CT110" s="351"/>
      <c r="CU110" s="351"/>
      <c r="CV110" s="351"/>
      <c r="CW110" s="351"/>
      <c r="CX110" s="351"/>
      <c r="CY110" s="351"/>
      <c r="CZ110" s="351"/>
      <c r="DA110" s="351"/>
      <c r="DB110" s="351"/>
      <c r="DC110" s="351"/>
      <c r="DD110" s="351"/>
      <c r="DE110" s="7"/>
    </row>
    <row r="111" spans="1:109" ht="15" customHeight="1">
      <c r="A111" s="6"/>
      <c r="B111" s="385"/>
      <c r="C111" s="386"/>
      <c r="D111" s="386"/>
      <c r="E111" s="386"/>
      <c r="F111" s="386"/>
      <c r="G111" s="386"/>
      <c r="H111" s="387"/>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351"/>
      <c r="BD111" s="351"/>
      <c r="BE111" s="351"/>
      <c r="BF111" s="351"/>
      <c r="BG111" s="351"/>
      <c r="BH111" s="351"/>
      <c r="BI111" s="351"/>
      <c r="BJ111" s="351"/>
      <c r="BK111" s="351"/>
      <c r="BL111" s="351"/>
      <c r="BM111" s="351"/>
      <c r="BN111" s="351"/>
      <c r="BO111" s="351"/>
      <c r="BP111" s="351"/>
      <c r="BQ111" s="351"/>
      <c r="BR111" s="351"/>
      <c r="BS111" s="351"/>
      <c r="BT111" s="351"/>
      <c r="BU111" s="351"/>
      <c r="BV111" s="351"/>
      <c r="BW111" s="351"/>
      <c r="BX111" s="351"/>
      <c r="BY111" s="351"/>
      <c r="BZ111" s="351"/>
      <c r="CA111" s="351"/>
      <c r="CB111" s="351"/>
      <c r="CC111" s="351"/>
      <c r="CD111" s="351"/>
      <c r="CE111" s="351"/>
      <c r="CF111" s="351"/>
      <c r="CG111" s="351"/>
      <c r="CH111" s="351"/>
      <c r="CI111" s="351"/>
      <c r="CJ111" s="351"/>
      <c r="CK111" s="351"/>
      <c r="CL111" s="351"/>
      <c r="CM111" s="351"/>
      <c r="CN111" s="351"/>
      <c r="CO111" s="351"/>
      <c r="CP111" s="351"/>
      <c r="CQ111" s="351"/>
      <c r="CR111" s="351"/>
      <c r="CS111" s="351"/>
      <c r="CT111" s="351"/>
      <c r="CU111" s="351"/>
      <c r="CV111" s="351"/>
      <c r="CW111" s="351"/>
      <c r="CX111" s="351"/>
      <c r="CY111" s="351"/>
      <c r="CZ111" s="351"/>
      <c r="DA111" s="351"/>
      <c r="DB111" s="351"/>
      <c r="DC111" s="351"/>
      <c r="DD111" s="351"/>
      <c r="DE111" s="7"/>
    </row>
    <row r="112" spans="1:109" ht="15" customHeight="1">
      <c r="A112" s="8"/>
      <c r="B112" s="418"/>
      <c r="C112" s="419"/>
      <c r="D112" s="419"/>
      <c r="E112" s="419"/>
      <c r="F112" s="419"/>
      <c r="G112" s="419"/>
      <c r="H112" s="420"/>
      <c r="I112" s="414"/>
      <c r="J112" s="414"/>
      <c r="K112" s="414"/>
      <c r="L112" s="414"/>
      <c r="M112" s="414"/>
      <c r="N112" s="414"/>
      <c r="O112" s="414"/>
      <c r="P112" s="414"/>
      <c r="Q112" s="414"/>
      <c r="R112" s="414"/>
      <c r="S112" s="414"/>
      <c r="T112" s="414"/>
      <c r="U112" s="414"/>
      <c r="V112" s="414"/>
      <c r="W112" s="414"/>
      <c r="X112" s="414"/>
      <c r="Y112" s="414"/>
      <c r="Z112" s="414"/>
      <c r="AA112" s="414"/>
      <c r="AB112" s="414"/>
      <c r="AC112" s="414"/>
      <c r="AD112" s="414"/>
      <c r="AE112" s="414"/>
      <c r="AF112" s="414"/>
      <c r="AG112" s="414"/>
      <c r="AH112" s="414"/>
      <c r="AI112" s="414"/>
      <c r="AJ112" s="414"/>
      <c r="AK112" s="414"/>
      <c r="AL112" s="414"/>
      <c r="AM112" s="414"/>
      <c r="AN112" s="414"/>
      <c r="AO112" s="414"/>
      <c r="AP112" s="414"/>
      <c r="AQ112" s="414"/>
      <c r="AR112" s="414"/>
      <c r="AS112" s="414"/>
      <c r="AT112" s="414"/>
      <c r="AU112" s="414"/>
      <c r="AV112" s="414"/>
      <c r="AW112" s="414"/>
      <c r="AX112" s="414"/>
      <c r="AY112" s="414"/>
      <c r="AZ112" s="414"/>
      <c r="BA112" s="414"/>
      <c r="BB112" s="414"/>
      <c r="BC112" s="414"/>
      <c r="BD112" s="414"/>
      <c r="BE112" s="414"/>
      <c r="BF112" s="414"/>
      <c r="BG112" s="414"/>
      <c r="BH112" s="414"/>
      <c r="BI112" s="414"/>
      <c r="BJ112" s="414"/>
      <c r="BK112" s="414"/>
      <c r="BL112" s="414"/>
      <c r="BM112" s="414"/>
      <c r="BN112" s="414"/>
      <c r="BO112" s="414"/>
      <c r="BP112" s="414"/>
      <c r="BQ112" s="414"/>
      <c r="BR112" s="414"/>
      <c r="BS112" s="414"/>
      <c r="BT112" s="414"/>
      <c r="BU112" s="414"/>
      <c r="BV112" s="414"/>
      <c r="BW112" s="414"/>
      <c r="BX112" s="414"/>
      <c r="BY112" s="414"/>
      <c r="BZ112" s="414"/>
      <c r="CA112" s="414"/>
      <c r="CB112" s="414"/>
      <c r="CC112" s="414"/>
      <c r="CD112" s="414"/>
      <c r="CE112" s="414"/>
      <c r="CF112" s="414"/>
      <c r="CG112" s="414"/>
      <c r="CH112" s="414"/>
      <c r="CI112" s="414"/>
      <c r="CJ112" s="414"/>
      <c r="CK112" s="414"/>
      <c r="CL112" s="414"/>
      <c r="CM112" s="414"/>
      <c r="CN112" s="414"/>
      <c r="CO112" s="414"/>
      <c r="CP112" s="414"/>
      <c r="CQ112" s="414"/>
      <c r="CR112" s="414"/>
      <c r="CS112" s="414"/>
      <c r="CT112" s="414"/>
      <c r="CU112" s="414"/>
      <c r="CV112" s="414"/>
      <c r="CW112" s="414"/>
      <c r="CX112" s="414"/>
      <c r="CY112" s="414"/>
      <c r="CZ112" s="414"/>
      <c r="DA112" s="414"/>
      <c r="DB112" s="414"/>
      <c r="DC112" s="414"/>
      <c r="DD112" s="414"/>
      <c r="DE112" s="7"/>
    </row>
    <row r="113" spans="1:109" ht="15" customHeight="1">
      <c r="A113" s="8"/>
      <c r="B113" s="421"/>
      <c r="C113" s="422"/>
      <c r="D113" s="422"/>
      <c r="E113" s="422"/>
      <c r="F113" s="422"/>
      <c r="G113" s="422"/>
      <c r="H113" s="423"/>
      <c r="I113" s="414"/>
      <c r="J113" s="414"/>
      <c r="K113" s="414"/>
      <c r="L113" s="414"/>
      <c r="M113" s="414"/>
      <c r="N113" s="414"/>
      <c r="O113" s="414"/>
      <c r="P113" s="414"/>
      <c r="Q113" s="414"/>
      <c r="R113" s="414"/>
      <c r="S113" s="414"/>
      <c r="T113" s="414"/>
      <c r="U113" s="414"/>
      <c r="V113" s="414"/>
      <c r="W113" s="414"/>
      <c r="X113" s="414"/>
      <c r="Y113" s="414"/>
      <c r="Z113" s="414"/>
      <c r="AA113" s="414"/>
      <c r="AB113" s="414"/>
      <c r="AC113" s="414"/>
      <c r="AD113" s="414"/>
      <c r="AE113" s="414"/>
      <c r="AF113" s="414"/>
      <c r="AG113" s="414"/>
      <c r="AH113" s="414"/>
      <c r="AI113" s="414"/>
      <c r="AJ113" s="414"/>
      <c r="AK113" s="414"/>
      <c r="AL113" s="414"/>
      <c r="AM113" s="414"/>
      <c r="AN113" s="414"/>
      <c r="AO113" s="414"/>
      <c r="AP113" s="414"/>
      <c r="AQ113" s="414"/>
      <c r="AR113" s="414"/>
      <c r="AS113" s="414"/>
      <c r="AT113" s="414"/>
      <c r="AU113" s="414"/>
      <c r="AV113" s="414"/>
      <c r="AW113" s="414"/>
      <c r="AX113" s="414"/>
      <c r="AY113" s="414"/>
      <c r="AZ113" s="414"/>
      <c r="BA113" s="414"/>
      <c r="BB113" s="414"/>
      <c r="BC113" s="414"/>
      <c r="BD113" s="414"/>
      <c r="BE113" s="414"/>
      <c r="BF113" s="414"/>
      <c r="BG113" s="414"/>
      <c r="BH113" s="414"/>
      <c r="BI113" s="414"/>
      <c r="BJ113" s="414"/>
      <c r="BK113" s="414"/>
      <c r="BL113" s="414"/>
      <c r="BM113" s="414"/>
      <c r="BN113" s="414"/>
      <c r="BO113" s="414"/>
      <c r="BP113" s="414"/>
      <c r="BQ113" s="414"/>
      <c r="BR113" s="414"/>
      <c r="BS113" s="414"/>
      <c r="BT113" s="414"/>
      <c r="BU113" s="414"/>
      <c r="BV113" s="414"/>
      <c r="BW113" s="414"/>
      <c r="BX113" s="414"/>
      <c r="BY113" s="414"/>
      <c r="BZ113" s="414"/>
      <c r="CA113" s="414"/>
      <c r="CB113" s="414"/>
      <c r="CC113" s="414"/>
      <c r="CD113" s="414"/>
      <c r="CE113" s="414"/>
      <c r="CF113" s="414"/>
      <c r="CG113" s="414"/>
      <c r="CH113" s="414"/>
      <c r="CI113" s="414"/>
      <c r="CJ113" s="414"/>
      <c r="CK113" s="414"/>
      <c r="CL113" s="414"/>
      <c r="CM113" s="414"/>
      <c r="CN113" s="414"/>
      <c r="CO113" s="414"/>
      <c r="CP113" s="414"/>
      <c r="CQ113" s="414"/>
      <c r="CR113" s="414"/>
      <c r="CS113" s="414"/>
      <c r="CT113" s="414"/>
      <c r="CU113" s="414"/>
      <c r="CV113" s="414"/>
      <c r="CW113" s="414"/>
      <c r="CX113" s="414"/>
      <c r="CY113" s="414"/>
      <c r="CZ113" s="414"/>
      <c r="DA113" s="414"/>
      <c r="DB113" s="414"/>
      <c r="DC113" s="414"/>
      <c r="DD113" s="414"/>
      <c r="DE113" s="7"/>
    </row>
    <row r="114" spans="1:109" ht="15" customHeight="1" thickBot="1">
      <c r="A114" s="25"/>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4"/>
    </row>
    <row r="115" spans="1:109" ht="15" customHeight="1">
      <c r="A115" s="3"/>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109" ht="15" customHeight="1">
      <c r="A116" s="8" t="s">
        <v>41</v>
      </c>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109" ht="15" customHeight="1">
      <c r="A117" s="17" t="s">
        <v>42</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CJ117" s="9"/>
      <c r="CK117" s="9"/>
      <c r="CL117" s="9"/>
      <c r="CM117" s="9"/>
      <c r="CN117" s="10"/>
      <c r="CO117" s="10"/>
      <c r="CP117" s="10"/>
      <c r="CQ117" s="10"/>
      <c r="CR117" s="10"/>
      <c r="CS117" s="10"/>
      <c r="CT117" s="10"/>
      <c r="CU117" s="10"/>
      <c r="CV117" s="10"/>
      <c r="CW117" s="10"/>
      <c r="CX117" s="10"/>
      <c r="CY117" s="10"/>
      <c r="CZ117" s="10"/>
      <c r="DA117" s="10"/>
      <c r="DB117" s="10"/>
      <c r="DC117" s="10"/>
      <c r="DD117" s="10"/>
      <c r="DE117" s="10"/>
    </row>
    <row r="118" spans="1:109" ht="15" customHeight="1">
      <c r="A118" s="15" t="s">
        <v>43</v>
      </c>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15"/>
      <c r="AV118" s="15"/>
    </row>
    <row r="119" spans="1:109" ht="15" customHeight="1">
      <c r="A119" s="1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W119" s="16"/>
      <c r="AX119" s="16"/>
      <c r="AY119" s="16"/>
      <c r="AZ119" s="16"/>
      <c r="BA119" s="16"/>
      <c r="BB119" s="16"/>
      <c r="BC119" s="16"/>
      <c r="BD119" s="16"/>
      <c r="BE119" s="16"/>
      <c r="BF119" s="16"/>
      <c r="BG119" s="16"/>
      <c r="BH119" s="16"/>
      <c r="BI119" s="16"/>
      <c r="BJ119" s="16"/>
      <c r="BK119" s="16"/>
      <c r="BL119" s="16"/>
      <c r="BM119" s="16"/>
    </row>
    <row r="120" spans="1:109" ht="15" customHeight="1">
      <c r="A120" s="1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15"/>
      <c r="AV120" s="17"/>
    </row>
    <row r="121" spans="1:109" ht="1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5"/>
      <c r="AV121" s="5"/>
      <c r="AW121" s="5"/>
      <c r="AX121" s="5"/>
      <c r="AY121" s="5"/>
      <c r="AZ121" s="5"/>
      <c r="BA121" s="5"/>
      <c r="BB121" s="5"/>
      <c r="BC121" s="5"/>
      <c r="BD121" s="5"/>
      <c r="BE121" s="5"/>
      <c r="BF121" s="5"/>
      <c r="BG121" s="5"/>
      <c r="BH121" s="5"/>
      <c r="BI121" s="5"/>
      <c r="BJ121" s="5"/>
      <c r="BK121" s="5"/>
      <c r="BL121" s="5"/>
      <c r="BM121" s="5"/>
    </row>
    <row r="122" spans="1:109" ht="15" customHeight="1">
      <c r="A122" s="17"/>
      <c r="B122" s="16"/>
      <c r="C122" s="16"/>
      <c r="D122" s="16"/>
      <c r="E122" s="5"/>
      <c r="F122" s="5"/>
      <c r="G122" s="5"/>
      <c r="H122" s="5"/>
      <c r="I122" s="5"/>
      <c r="J122" s="5"/>
      <c r="K122" s="5"/>
      <c r="L122" s="5"/>
      <c r="M122" s="5"/>
      <c r="N122" s="5"/>
      <c r="O122" s="5"/>
      <c r="P122" s="5"/>
      <c r="Q122" s="16"/>
      <c r="R122" s="16"/>
      <c r="S122" s="16"/>
      <c r="T122" s="16"/>
      <c r="U122" s="16"/>
      <c r="V122" s="16"/>
      <c r="W122" s="16"/>
      <c r="X122" s="21"/>
      <c r="Y122" s="21"/>
      <c r="Z122" s="21"/>
      <c r="AA122" s="21"/>
      <c r="AE122" s="16"/>
      <c r="AF122" s="16"/>
      <c r="AG122" s="16"/>
      <c r="AH122" s="16"/>
      <c r="AI122" s="16"/>
      <c r="AJ122" s="16"/>
      <c r="AK122" s="16"/>
      <c r="AL122" s="16"/>
      <c r="AM122" s="16"/>
      <c r="AN122" s="16"/>
      <c r="AO122" s="16"/>
      <c r="AP122" s="16"/>
      <c r="AQ122" s="16"/>
      <c r="AR122" s="16"/>
      <c r="AS122" s="16"/>
      <c r="AU122" s="16"/>
      <c r="AV122" s="16"/>
      <c r="AW122" s="16"/>
      <c r="AX122" s="16"/>
      <c r="AY122" s="16"/>
      <c r="AZ122" s="16"/>
      <c r="BA122" s="16"/>
      <c r="BB122" s="16"/>
      <c r="BC122" s="16"/>
      <c r="BD122" s="16"/>
      <c r="BE122" s="16"/>
      <c r="BF122" s="16"/>
      <c r="BG122" s="16"/>
      <c r="BH122" s="16"/>
      <c r="BI122" s="16"/>
      <c r="BJ122" s="16"/>
      <c r="BK122" s="16"/>
      <c r="BL122" s="16"/>
      <c r="BM122" s="16"/>
      <c r="BN122" s="16"/>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109" ht="15" customHeight="1">
      <c r="A123" s="17"/>
      <c r="AU123" s="22"/>
      <c r="AV123" s="22"/>
      <c r="AW123" s="19"/>
      <c r="AX123" s="19"/>
      <c r="AY123" s="22"/>
      <c r="AZ123" s="22"/>
      <c r="BA123" s="19"/>
      <c r="BB123" s="19"/>
      <c r="BC123" s="5"/>
      <c r="BD123" s="5"/>
      <c r="BE123" s="5"/>
      <c r="BF123" s="5"/>
      <c r="BG123" s="5"/>
      <c r="BH123" s="5"/>
      <c r="BI123" s="5"/>
      <c r="BJ123" s="5"/>
      <c r="BK123" s="5"/>
      <c r="BL123" s="5"/>
      <c r="BM123" s="5"/>
      <c r="BN123" s="5"/>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109" ht="15" customHeight="1">
      <c r="A124" s="15"/>
      <c r="B124" s="16"/>
      <c r="C124" s="16"/>
      <c r="D124" s="16"/>
      <c r="E124" s="16"/>
      <c r="F124" s="16"/>
      <c r="G124" s="16"/>
      <c r="H124" s="16"/>
      <c r="I124" s="16"/>
      <c r="J124" s="16"/>
      <c r="K124" s="16"/>
      <c r="L124" s="16"/>
      <c r="M124" s="16"/>
      <c r="N124" s="16"/>
      <c r="O124" s="16"/>
      <c r="P124" s="16"/>
      <c r="Q124" s="16"/>
      <c r="R124" s="16"/>
      <c r="S124" s="16"/>
      <c r="T124" s="5"/>
      <c r="U124" s="5"/>
      <c r="V124" s="5"/>
      <c r="W124" s="5"/>
      <c r="X124" s="5"/>
      <c r="Y124" s="5"/>
      <c r="Z124" s="5"/>
      <c r="AA124" s="5"/>
      <c r="AB124" s="5"/>
      <c r="AC124" s="5"/>
      <c r="AD124" s="5"/>
      <c r="AE124" s="5"/>
      <c r="AF124" s="5"/>
      <c r="AG124" s="5"/>
      <c r="AH124" s="5"/>
      <c r="AI124" s="16"/>
      <c r="AJ124" s="16"/>
      <c r="AK124" s="16"/>
      <c r="AL124" s="16"/>
      <c r="AM124" s="16"/>
      <c r="AN124" s="16"/>
      <c r="AO124" s="5"/>
      <c r="AP124" s="5"/>
      <c r="AQ124" s="5"/>
      <c r="AR124" s="5"/>
      <c r="AS124" s="5"/>
      <c r="AT124" s="5"/>
      <c r="AU124" s="18"/>
      <c r="AV124" s="18"/>
      <c r="AW124" s="18"/>
      <c r="AX124" s="18"/>
      <c r="AY124" s="18"/>
      <c r="AZ124" s="5"/>
      <c r="BA124" s="5"/>
      <c r="BB124" s="5"/>
      <c r="BC124" s="5"/>
      <c r="BD124" s="5"/>
      <c r="BE124" s="5"/>
      <c r="BF124" s="5"/>
      <c r="BG124" s="5"/>
      <c r="BH124" s="5"/>
      <c r="BI124" s="5"/>
      <c r="BJ124" s="5"/>
      <c r="BK124" s="5"/>
      <c r="BL124" s="5"/>
      <c r="BM124" s="5"/>
      <c r="BN124" s="5"/>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109" ht="1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9"/>
      <c r="AV125" s="19"/>
      <c r="AW125" s="19"/>
      <c r="AX125" s="19"/>
      <c r="AY125" s="19"/>
      <c r="AZ125" s="19"/>
      <c r="BA125" s="19"/>
      <c r="BB125" s="19"/>
      <c r="BC125" s="19"/>
      <c r="BD125" s="19"/>
      <c r="BE125" s="19"/>
      <c r="BF125" s="19"/>
      <c r="BG125" s="19"/>
      <c r="BH125" s="19"/>
      <c r="BI125" s="19"/>
      <c r="BJ125" s="19"/>
      <c r="BK125" s="19"/>
      <c r="BL125" s="19"/>
      <c r="BM125" s="19"/>
      <c r="BN125" s="19"/>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109" ht="1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18"/>
      <c r="AN126" s="18"/>
      <c r="AO126" s="18"/>
      <c r="AP126" s="19"/>
      <c r="AQ126" s="19"/>
      <c r="AR126" s="19"/>
      <c r="AS126" s="19"/>
      <c r="AT126" s="19"/>
      <c r="AU126" s="20"/>
      <c r="AV126" s="20"/>
      <c r="AW126" s="20"/>
      <c r="AX126" s="20"/>
      <c r="AY126" s="20"/>
      <c r="AZ126" s="20"/>
      <c r="BA126" s="20"/>
      <c r="BB126" s="20"/>
      <c r="BC126" s="20"/>
      <c r="BD126" s="20"/>
      <c r="BE126" s="20"/>
      <c r="BF126" s="20"/>
      <c r="BG126" s="20"/>
      <c r="BH126" s="20"/>
      <c r="BI126" s="20"/>
      <c r="BJ126" s="20"/>
      <c r="BK126" s="20"/>
      <c r="BL126" s="20"/>
      <c r="BM126" s="20"/>
      <c r="BN126" s="20"/>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109" ht="1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18"/>
      <c r="AN127" s="18"/>
      <c r="AO127" s="18"/>
      <c r="AP127" s="18"/>
      <c r="AQ127" s="18"/>
      <c r="AR127" s="18"/>
      <c r="AS127" s="18"/>
      <c r="AT127" s="18"/>
      <c r="AU127" s="20"/>
      <c r="AV127" s="20"/>
      <c r="AW127" s="20"/>
      <c r="AX127" s="20"/>
      <c r="AY127" s="20"/>
      <c r="AZ127" s="20"/>
      <c r="BA127" s="20"/>
      <c r="BB127" s="20"/>
      <c r="BC127" s="20"/>
      <c r="BD127" s="20"/>
      <c r="BE127" s="20"/>
      <c r="BF127" s="20"/>
      <c r="BG127" s="20"/>
      <c r="BH127" s="20"/>
      <c r="BI127" s="20"/>
      <c r="BJ127" s="20"/>
      <c r="BK127" s="20"/>
      <c r="BL127" s="20"/>
      <c r="BM127" s="20"/>
      <c r="BN127" s="20"/>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109" ht="1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20"/>
      <c r="AV128" s="20"/>
      <c r="AW128" s="20"/>
      <c r="AX128" s="20"/>
      <c r="AY128" s="20"/>
      <c r="AZ128" s="20"/>
      <c r="BA128" s="20"/>
      <c r="BB128" s="20"/>
      <c r="BC128" s="20"/>
      <c r="BD128" s="20"/>
      <c r="BE128" s="20"/>
      <c r="BF128" s="20"/>
      <c r="BG128" s="20"/>
      <c r="BH128" s="20"/>
      <c r="BI128" s="20"/>
      <c r="BJ128" s="20"/>
      <c r="BK128" s="20"/>
      <c r="BL128" s="20"/>
      <c r="BM128" s="20"/>
      <c r="BN128" s="20"/>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87" ht="1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11"/>
      <c r="BP129" s="11"/>
      <c r="BQ129" s="11"/>
      <c r="BR129" s="11"/>
      <c r="BS129" s="11"/>
      <c r="BT129" s="11"/>
      <c r="BU129" s="11"/>
      <c r="BV129" s="11"/>
      <c r="BW129" s="11"/>
      <c r="BX129" s="11"/>
      <c r="BY129" s="11"/>
      <c r="BZ129" s="11"/>
      <c r="CA129" s="11"/>
      <c r="CB129" s="11"/>
      <c r="CC129" s="11"/>
      <c r="CD129" s="11"/>
      <c r="CE129" s="11"/>
      <c r="CF129" s="11"/>
      <c r="CG129" s="11"/>
      <c r="CH129" s="11"/>
      <c r="CI129" s="11"/>
    </row>
    <row r="130" spans="1:87" ht="1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11"/>
      <c r="BP130" s="11"/>
      <c r="BQ130" s="11"/>
      <c r="BR130" s="11"/>
      <c r="BS130" s="11"/>
      <c r="BT130" s="11"/>
      <c r="BU130" s="11"/>
      <c r="BV130" s="11"/>
      <c r="BW130" s="11"/>
      <c r="BX130" s="11"/>
      <c r="BY130" s="11"/>
      <c r="BZ130" s="11"/>
      <c r="CA130" s="11"/>
      <c r="CB130" s="11"/>
      <c r="CC130" s="11"/>
      <c r="CD130" s="11"/>
      <c r="CE130" s="11"/>
      <c r="CF130" s="11"/>
      <c r="CG130" s="11"/>
      <c r="CH130" s="11"/>
      <c r="CI130" s="11"/>
    </row>
    <row r="131" spans="1:87" ht="1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11"/>
      <c r="BP131" s="11"/>
      <c r="BQ131" s="11"/>
      <c r="BR131" s="11"/>
      <c r="BS131" s="11"/>
      <c r="BT131" s="11"/>
      <c r="BU131" s="11"/>
      <c r="BV131" s="11"/>
      <c r="BW131" s="11"/>
      <c r="BX131" s="11"/>
      <c r="BY131" s="11"/>
      <c r="BZ131" s="11"/>
      <c r="CA131" s="11"/>
      <c r="CB131" s="11"/>
      <c r="CC131" s="11"/>
      <c r="CD131" s="11"/>
      <c r="CE131" s="11"/>
      <c r="CF131" s="11"/>
      <c r="CG131" s="11"/>
      <c r="CH131" s="11"/>
      <c r="CI131" s="11"/>
    </row>
    <row r="132" spans="1:87" ht="1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11"/>
      <c r="BP132" s="11"/>
      <c r="BQ132" s="11"/>
      <c r="BR132" s="11"/>
      <c r="BS132" s="11"/>
      <c r="BT132" s="11"/>
      <c r="BU132" s="11"/>
      <c r="BV132" s="11"/>
      <c r="BW132" s="11"/>
      <c r="BX132" s="11"/>
      <c r="BY132" s="11"/>
      <c r="BZ132" s="11"/>
      <c r="CA132" s="11"/>
      <c r="CB132" s="11"/>
      <c r="CC132" s="11"/>
      <c r="CD132" s="11"/>
      <c r="CE132" s="11"/>
      <c r="CF132" s="11"/>
      <c r="CG132" s="11"/>
      <c r="CH132" s="11"/>
      <c r="CI132" s="11"/>
    </row>
    <row r="133" spans="1:87" ht="1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BM133" s="12"/>
      <c r="BN133" s="12"/>
    </row>
    <row r="134" spans="1:87" ht="1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row>
    <row r="135" spans="1:87" ht="1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row>
  </sheetData>
  <sheetProtection formatCells="0"/>
  <mergeCells count="530">
    <mergeCell ref="A1:CU6"/>
    <mergeCell ref="CV1:DE6"/>
    <mergeCell ref="A7:CO8"/>
    <mergeCell ref="CP7:DE8"/>
    <mergeCell ref="A9:R9"/>
    <mergeCell ref="S9:AD9"/>
    <mergeCell ref="AE9:AR9"/>
    <mergeCell ref="AS9:BF9"/>
    <mergeCell ref="BG9:CM11"/>
    <mergeCell ref="CN9:CP9"/>
    <mergeCell ref="A11:R11"/>
    <mergeCell ref="S11:AD11"/>
    <mergeCell ref="AE11:AR11"/>
    <mergeCell ref="AS11:BF11"/>
    <mergeCell ref="CN11:CP11"/>
    <mergeCell ref="CQ11:DE11"/>
    <mergeCell ref="CQ9:DE9"/>
    <mergeCell ref="A10:R10"/>
    <mergeCell ref="S10:AD10"/>
    <mergeCell ref="AE10:AR10"/>
    <mergeCell ref="AS10:BF10"/>
    <mergeCell ref="CN10:CP10"/>
    <mergeCell ref="CQ10:DE10"/>
    <mergeCell ref="AL14:AT14"/>
    <mergeCell ref="AU14:BC14"/>
    <mergeCell ref="BD14:BL14"/>
    <mergeCell ref="BM14:CM14"/>
    <mergeCell ref="CN14:CV14"/>
    <mergeCell ref="A12:DE12"/>
    <mergeCell ref="A13:J13"/>
    <mergeCell ref="K13:S13"/>
    <mergeCell ref="T13:AB13"/>
    <mergeCell ref="AC13:AK13"/>
    <mergeCell ref="AL13:AT13"/>
    <mergeCell ref="AU13:BC13"/>
    <mergeCell ref="BD13:BL13"/>
    <mergeCell ref="BM13:CM13"/>
    <mergeCell ref="CN13:CV13"/>
    <mergeCell ref="CW13:DE13"/>
    <mergeCell ref="B23:H24"/>
    <mergeCell ref="I23:O24"/>
    <mergeCell ref="P23:V24"/>
    <mergeCell ref="W23:AC24"/>
    <mergeCell ref="AD23:AJ24"/>
    <mergeCell ref="AK23:AQ24"/>
    <mergeCell ref="AR23:AX24"/>
    <mergeCell ref="CW14:DE14"/>
    <mergeCell ref="A15:DE15"/>
    <mergeCell ref="B17:H18"/>
    <mergeCell ref="I17:O18"/>
    <mergeCell ref="P17:V18"/>
    <mergeCell ref="W17:AC18"/>
    <mergeCell ref="AD17:AJ18"/>
    <mergeCell ref="AK17:AQ18"/>
    <mergeCell ref="AR17:AX18"/>
    <mergeCell ref="AY17:BE18"/>
    <mergeCell ref="BF17:BL18"/>
    <mergeCell ref="BM17:CL18"/>
    <mergeCell ref="CM17:DD18"/>
    <mergeCell ref="A14:J14"/>
    <mergeCell ref="K14:S14"/>
    <mergeCell ref="T14:AB14"/>
    <mergeCell ref="AC14:AK14"/>
    <mergeCell ref="AY19:BE20"/>
    <mergeCell ref="BF19:BL20"/>
    <mergeCell ref="BM19:CL20"/>
    <mergeCell ref="CM19:DD20"/>
    <mergeCell ref="B21:H22"/>
    <mergeCell ref="I21:O22"/>
    <mergeCell ref="P21:V22"/>
    <mergeCell ref="W21:AC22"/>
    <mergeCell ref="AD21:AJ22"/>
    <mergeCell ref="AK21:AQ22"/>
    <mergeCell ref="B19:H20"/>
    <mergeCell ref="I19:O20"/>
    <mergeCell ref="P19:V20"/>
    <mergeCell ref="W19:AC20"/>
    <mergeCell ref="AD19:AJ20"/>
    <mergeCell ref="AK19:AQ20"/>
    <mergeCell ref="AR19:AX20"/>
    <mergeCell ref="AY23:BE24"/>
    <mergeCell ref="BF23:BL24"/>
    <mergeCell ref="BM23:CL24"/>
    <mergeCell ref="CM23:DD24"/>
    <mergeCell ref="AR21:AX22"/>
    <mergeCell ref="AY21:BE22"/>
    <mergeCell ref="BF21:BL22"/>
    <mergeCell ref="BM21:CL22"/>
    <mergeCell ref="CM21:DD22"/>
    <mergeCell ref="B27:H28"/>
    <mergeCell ref="I27:O28"/>
    <mergeCell ref="P27:V28"/>
    <mergeCell ref="W27:AC28"/>
    <mergeCell ref="AD27:AJ28"/>
    <mergeCell ref="B25:H26"/>
    <mergeCell ref="I25:O26"/>
    <mergeCell ref="P25:V26"/>
    <mergeCell ref="W25:AC26"/>
    <mergeCell ref="AD25:AJ26"/>
    <mergeCell ref="AK27:AQ28"/>
    <mergeCell ref="AR27:AX28"/>
    <mergeCell ref="AY27:BE28"/>
    <mergeCell ref="BF27:BL28"/>
    <mergeCell ref="BM27:CL28"/>
    <mergeCell ref="CM27:DD28"/>
    <mergeCell ref="AR25:AX26"/>
    <mergeCell ref="AY25:BE26"/>
    <mergeCell ref="BF25:BL26"/>
    <mergeCell ref="BM25:CL26"/>
    <mergeCell ref="CM25:DD26"/>
    <mergeCell ref="AK25:AQ26"/>
    <mergeCell ref="B31:H32"/>
    <mergeCell ref="I31:O32"/>
    <mergeCell ref="P31:V32"/>
    <mergeCell ref="W31:AC32"/>
    <mergeCell ref="AD31:AJ32"/>
    <mergeCell ref="B29:H30"/>
    <mergeCell ref="I29:O30"/>
    <mergeCell ref="P29:V30"/>
    <mergeCell ref="W29:AC30"/>
    <mergeCell ref="AD29:AJ30"/>
    <mergeCell ref="AK31:AQ32"/>
    <mergeCell ref="AR31:AX32"/>
    <mergeCell ref="AY31:BE32"/>
    <mergeCell ref="BF31:BL32"/>
    <mergeCell ref="BM31:CL32"/>
    <mergeCell ref="CM31:DD32"/>
    <mergeCell ref="AR29:AX30"/>
    <mergeCell ref="AY29:BE30"/>
    <mergeCell ref="BF29:BL30"/>
    <mergeCell ref="BM29:CL30"/>
    <mergeCell ref="CM29:DD30"/>
    <mergeCell ref="AK29:AQ30"/>
    <mergeCell ref="B35:H36"/>
    <mergeCell ref="I35:O36"/>
    <mergeCell ref="P35:V36"/>
    <mergeCell ref="W35:AC36"/>
    <mergeCell ref="AD35:AJ36"/>
    <mergeCell ref="B33:H34"/>
    <mergeCell ref="I33:O34"/>
    <mergeCell ref="P33:V34"/>
    <mergeCell ref="W33:AC34"/>
    <mergeCell ref="AD33:AJ34"/>
    <mergeCell ref="AK35:AQ36"/>
    <mergeCell ref="AR35:AX36"/>
    <mergeCell ref="AY35:BE36"/>
    <mergeCell ref="BF35:BL36"/>
    <mergeCell ref="BM35:CL36"/>
    <mergeCell ref="CM35:DD36"/>
    <mergeCell ref="AR33:AX34"/>
    <mergeCell ref="AY33:BE34"/>
    <mergeCell ref="BF33:BL34"/>
    <mergeCell ref="BM33:CL34"/>
    <mergeCell ref="CM33:DD34"/>
    <mergeCell ref="AK33:AQ34"/>
    <mergeCell ref="B39:H40"/>
    <mergeCell ref="I39:O40"/>
    <mergeCell ref="P39:V40"/>
    <mergeCell ref="W39:AC40"/>
    <mergeCell ref="AD39:AJ40"/>
    <mergeCell ref="B37:H38"/>
    <mergeCell ref="I37:O38"/>
    <mergeCell ref="P37:V38"/>
    <mergeCell ref="W37:AC38"/>
    <mergeCell ref="AD37:AJ38"/>
    <mergeCell ref="AK39:AQ40"/>
    <mergeCell ref="AR39:AX40"/>
    <mergeCell ref="AY39:BE40"/>
    <mergeCell ref="BF39:BL40"/>
    <mergeCell ref="BM39:CL40"/>
    <mergeCell ref="CM39:DD40"/>
    <mergeCell ref="AR37:AX38"/>
    <mergeCell ref="AY37:BE38"/>
    <mergeCell ref="BF37:BL38"/>
    <mergeCell ref="BM37:CL38"/>
    <mergeCell ref="CM37:DD38"/>
    <mergeCell ref="AK37:AQ38"/>
    <mergeCell ref="B43:H44"/>
    <mergeCell ref="I43:O44"/>
    <mergeCell ref="P43:V44"/>
    <mergeCell ref="W43:AC44"/>
    <mergeCell ref="AD43:AJ44"/>
    <mergeCell ref="B41:H42"/>
    <mergeCell ref="I41:O42"/>
    <mergeCell ref="P41:V42"/>
    <mergeCell ref="W41:AC42"/>
    <mergeCell ref="AD41:AJ42"/>
    <mergeCell ref="AK43:AQ44"/>
    <mergeCell ref="AR43:AX44"/>
    <mergeCell ref="AY43:BE44"/>
    <mergeCell ref="BF43:BL44"/>
    <mergeCell ref="BM43:CL44"/>
    <mergeCell ref="CM43:DD44"/>
    <mergeCell ref="AR41:AX42"/>
    <mergeCell ref="AY41:BE42"/>
    <mergeCell ref="BF41:BL42"/>
    <mergeCell ref="BM41:CL42"/>
    <mergeCell ref="CM41:DD42"/>
    <mergeCell ref="AK41:AQ42"/>
    <mergeCell ref="B47:H48"/>
    <mergeCell ref="I47:O48"/>
    <mergeCell ref="P47:V48"/>
    <mergeCell ref="W47:AC48"/>
    <mergeCell ref="AD47:AJ48"/>
    <mergeCell ref="B45:H46"/>
    <mergeCell ref="I45:O46"/>
    <mergeCell ref="P45:V46"/>
    <mergeCell ref="W45:AC46"/>
    <mergeCell ref="AD45:AJ46"/>
    <mergeCell ref="AK47:AQ48"/>
    <mergeCell ref="AR47:AX48"/>
    <mergeCell ref="AY47:BE48"/>
    <mergeCell ref="BF47:BL48"/>
    <mergeCell ref="BM47:CL48"/>
    <mergeCell ref="CM47:DD48"/>
    <mergeCell ref="AR45:AX46"/>
    <mergeCell ref="AY45:BE46"/>
    <mergeCell ref="BF45:BL46"/>
    <mergeCell ref="BM45:CL46"/>
    <mergeCell ref="CM45:DD46"/>
    <mergeCell ref="AK45:AQ46"/>
    <mergeCell ref="B51:H52"/>
    <mergeCell ref="I51:O52"/>
    <mergeCell ref="P51:V52"/>
    <mergeCell ref="W51:AC52"/>
    <mergeCell ref="AD51:AJ52"/>
    <mergeCell ref="B49:H50"/>
    <mergeCell ref="I49:O50"/>
    <mergeCell ref="P49:V50"/>
    <mergeCell ref="W49:AC50"/>
    <mergeCell ref="AD49:AJ50"/>
    <mergeCell ref="AK51:AQ52"/>
    <mergeCell ref="AR51:AX52"/>
    <mergeCell ref="AY51:BE52"/>
    <mergeCell ref="BF51:BL52"/>
    <mergeCell ref="BM51:CL52"/>
    <mergeCell ref="CM51:DD52"/>
    <mergeCell ref="AR49:AX50"/>
    <mergeCell ref="AY49:BE50"/>
    <mergeCell ref="BF49:BL50"/>
    <mergeCell ref="BM49:CL50"/>
    <mergeCell ref="CM49:DD50"/>
    <mergeCell ref="AK49:AQ50"/>
    <mergeCell ref="B55:H56"/>
    <mergeCell ref="I55:O56"/>
    <mergeCell ref="P55:V56"/>
    <mergeCell ref="W55:AC56"/>
    <mergeCell ref="AD55:AJ56"/>
    <mergeCell ref="B53:H54"/>
    <mergeCell ref="I53:O54"/>
    <mergeCell ref="P53:V54"/>
    <mergeCell ref="W53:AC54"/>
    <mergeCell ref="AD53:AJ54"/>
    <mergeCell ref="AK55:AQ56"/>
    <mergeCell ref="AR55:AX56"/>
    <mergeCell ref="AY55:BE56"/>
    <mergeCell ref="BF55:BL56"/>
    <mergeCell ref="BM55:CL56"/>
    <mergeCell ref="CM55:DD56"/>
    <mergeCell ref="AR53:AX54"/>
    <mergeCell ref="AY53:BE54"/>
    <mergeCell ref="BF53:BL54"/>
    <mergeCell ref="BM53:CL54"/>
    <mergeCell ref="CM53:DD54"/>
    <mergeCell ref="AK53:AQ54"/>
    <mergeCell ref="A58:CU63"/>
    <mergeCell ref="CV58:DE63"/>
    <mergeCell ref="A64:CO65"/>
    <mergeCell ref="CP64:DE65"/>
    <mergeCell ref="A66:R66"/>
    <mergeCell ref="S66:AD66"/>
    <mergeCell ref="AE66:AR66"/>
    <mergeCell ref="AS66:BF66"/>
    <mergeCell ref="BG66:CM68"/>
    <mergeCell ref="CN66:CP66"/>
    <mergeCell ref="A68:R68"/>
    <mergeCell ref="S68:AD68"/>
    <mergeCell ref="AE68:AR68"/>
    <mergeCell ref="AS68:BF68"/>
    <mergeCell ref="CN68:CP68"/>
    <mergeCell ref="CQ68:DE68"/>
    <mergeCell ref="CQ66:DE66"/>
    <mergeCell ref="A67:R67"/>
    <mergeCell ref="S67:AD67"/>
    <mergeCell ref="AE67:AR67"/>
    <mergeCell ref="AS67:BF67"/>
    <mergeCell ref="CN67:CP67"/>
    <mergeCell ref="CQ67:DE67"/>
    <mergeCell ref="AL71:AT71"/>
    <mergeCell ref="AU71:BC71"/>
    <mergeCell ref="BD71:BL71"/>
    <mergeCell ref="BM71:CM71"/>
    <mergeCell ref="CN71:CV71"/>
    <mergeCell ref="A69:DE69"/>
    <mergeCell ref="A70:J70"/>
    <mergeCell ref="K70:S70"/>
    <mergeCell ref="T70:AB70"/>
    <mergeCell ref="AC70:AK70"/>
    <mergeCell ref="AL70:AT70"/>
    <mergeCell ref="AU70:BC70"/>
    <mergeCell ref="BD70:BL70"/>
    <mergeCell ref="BM70:CM70"/>
    <mergeCell ref="CN70:CV70"/>
    <mergeCell ref="CW70:DE70"/>
    <mergeCell ref="B80:H81"/>
    <mergeCell ref="I80:O81"/>
    <mergeCell ref="P80:V81"/>
    <mergeCell ref="W80:AC81"/>
    <mergeCell ref="AD80:AJ81"/>
    <mergeCell ref="AK80:AQ81"/>
    <mergeCell ref="AR80:AX81"/>
    <mergeCell ref="CW71:DE71"/>
    <mergeCell ref="A72:DE72"/>
    <mergeCell ref="B74:H75"/>
    <mergeCell ref="I74:O75"/>
    <mergeCell ref="P74:V75"/>
    <mergeCell ref="W74:AC75"/>
    <mergeCell ref="AD74:AJ75"/>
    <mergeCell ref="AK74:AQ75"/>
    <mergeCell ref="AR74:AX75"/>
    <mergeCell ref="AY74:BE75"/>
    <mergeCell ref="BF74:BL75"/>
    <mergeCell ref="BM74:CL75"/>
    <mergeCell ref="CM74:DD75"/>
    <mergeCell ref="A71:J71"/>
    <mergeCell ref="K71:S71"/>
    <mergeCell ref="T71:AB71"/>
    <mergeCell ref="AC71:AK71"/>
    <mergeCell ref="AY76:BE77"/>
    <mergeCell ref="BF76:BL77"/>
    <mergeCell ref="BM76:CL77"/>
    <mergeCell ref="CM76:DD77"/>
    <mergeCell ref="B78:H79"/>
    <mergeCell ref="I78:O79"/>
    <mergeCell ref="P78:V79"/>
    <mergeCell ref="W78:AC79"/>
    <mergeCell ref="AD78:AJ79"/>
    <mergeCell ref="AK78:AQ79"/>
    <mergeCell ref="B76:H77"/>
    <mergeCell ref="I76:O77"/>
    <mergeCell ref="P76:V77"/>
    <mergeCell ref="W76:AC77"/>
    <mergeCell ref="AD76:AJ77"/>
    <mergeCell ref="AK76:AQ77"/>
    <mergeCell ref="AR76:AX77"/>
    <mergeCell ref="AY80:BE81"/>
    <mergeCell ref="BF80:BL81"/>
    <mergeCell ref="BM80:CL81"/>
    <mergeCell ref="CM80:DD81"/>
    <mergeCell ref="AR78:AX79"/>
    <mergeCell ref="AY78:BE79"/>
    <mergeCell ref="BF78:BL79"/>
    <mergeCell ref="BM78:CL79"/>
    <mergeCell ref="CM78:DD79"/>
    <mergeCell ref="B84:H85"/>
    <mergeCell ref="I84:O85"/>
    <mergeCell ref="P84:V85"/>
    <mergeCell ref="W84:AC85"/>
    <mergeCell ref="AD84:AJ85"/>
    <mergeCell ref="B82:H83"/>
    <mergeCell ref="I82:O83"/>
    <mergeCell ref="P82:V83"/>
    <mergeCell ref="W82:AC83"/>
    <mergeCell ref="AD82:AJ83"/>
    <mergeCell ref="AK84:AQ85"/>
    <mergeCell ref="AR84:AX85"/>
    <mergeCell ref="AY84:BE85"/>
    <mergeCell ref="BF84:BL85"/>
    <mergeCell ref="BM84:CL85"/>
    <mergeCell ref="CM84:DD85"/>
    <mergeCell ref="AR82:AX83"/>
    <mergeCell ref="AY82:BE83"/>
    <mergeCell ref="BF82:BL83"/>
    <mergeCell ref="BM82:CL83"/>
    <mergeCell ref="CM82:DD83"/>
    <mergeCell ref="AK82:AQ83"/>
    <mergeCell ref="B88:H89"/>
    <mergeCell ref="I88:O89"/>
    <mergeCell ref="P88:V89"/>
    <mergeCell ref="W88:AC89"/>
    <mergeCell ref="AD88:AJ89"/>
    <mergeCell ref="B86:H87"/>
    <mergeCell ref="I86:O87"/>
    <mergeCell ref="P86:V87"/>
    <mergeCell ref="W86:AC87"/>
    <mergeCell ref="AD86:AJ87"/>
    <mergeCell ref="AK88:AQ89"/>
    <mergeCell ref="AR88:AX89"/>
    <mergeCell ref="AY88:BE89"/>
    <mergeCell ref="BF88:BL89"/>
    <mergeCell ref="BM88:CL89"/>
    <mergeCell ref="CM88:DD89"/>
    <mergeCell ref="AR86:AX87"/>
    <mergeCell ref="AY86:BE87"/>
    <mergeCell ref="BF86:BL87"/>
    <mergeCell ref="BM86:CL87"/>
    <mergeCell ref="CM86:DD87"/>
    <mergeCell ref="AK86:AQ87"/>
    <mergeCell ref="B92:H93"/>
    <mergeCell ref="I92:O93"/>
    <mergeCell ref="P92:V93"/>
    <mergeCell ref="W92:AC93"/>
    <mergeCell ref="AD92:AJ93"/>
    <mergeCell ref="B90:H91"/>
    <mergeCell ref="I90:O91"/>
    <mergeCell ref="P90:V91"/>
    <mergeCell ref="W90:AC91"/>
    <mergeCell ref="AD90:AJ91"/>
    <mergeCell ref="AK92:AQ93"/>
    <mergeCell ref="AR92:AX93"/>
    <mergeCell ref="AY92:BE93"/>
    <mergeCell ref="BF92:BL93"/>
    <mergeCell ref="BM92:CL93"/>
    <mergeCell ref="CM92:DD93"/>
    <mergeCell ref="AR90:AX91"/>
    <mergeCell ref="AY90:BE91"/>
    <mergeCell ref="BF90:BL91"/>
    <mergeCell ref="BM90:CL91"/>
    <mergeCell ref="CM90:DD91"/>
    <mergeCell ref="AK90:AQ91"/>
    <mergeCell ref="B96:H97"/>
    <mergeCell ref="I96:O97"/>
    <mergeCell ref="P96:V97"/>
    <mergeCell ref="W96:AC97"/>
    <mergeCell ref="AD96:AJ97"/>
    <mergeCell ref="B94:H95"/>
    <mergeCell ref="I94:O95"/>
    <mergeCell ref="P94:V95"/>
    <mergeCell ref="W94:AC95"/>
    <mergeCell ref="AD94:AJ95"/>
    <mergeCell ref="AK96:AQ97"/>
    <mergeCell ref="AR96:AX97"/>
    <mergeCell ref="AY96:BE97"/>
    <mergeCell ref="BF96:BL97"/>
    <mergeCell ref="BM96:CL97"/>
    <mergeCell ref="CM96:DD97"/>
    <mergeCell ref="AR94:AX95"/>
    <mergeCell ref="AY94:BE95"/>
    <mergeCell ref="BF94:BL95"/>
    <mergeCell ref="BM94:CL95"/>
    <mergeCell ref="CM94:DD95"/>
    <mergeCell ref="AK94:AQ95"/>
    <mergeCell ref="B100:H101"/>
    <mergeCell ref="I100:O101"/>
    <mergeCell ref="P100:V101"/>
    <mergeCell ref="W100:AC101"/>
    <mergeCell ref="AD100:AJ101"/>
    <mergeCell ref="B98:H99"/>
    <mergeCell ref="I98:O99"/>
    <mergeCell ref="P98:V99"/>
    <mergeCell ref="W98:AC99"/>
    <mergeCell ref="AD98:AJ99"/>
    <mergeCell ref="AK100:AQ101"/>
    <mergeCell ref="AR100:AX101"/>
    <mergeCell ref="AY100:BE101"/>
    <mergeCell ref="BF100:BL101"/>
    <mergeCell ref="BM100:CL101"/>
    <mergeCell ref="CM100:DD101"/>
    <mergeCell ref="AR98:AX99"/>
    <mergeCell ref="AY98:BE99"/>
    <mergeCell ref="BF98:BL99"/>
    <mergeCell ref="BM98:CL99"/>
    <mergeCell ref="CM98:DD99"/>
    <mergeCell ref="AK98:AQ99"/>
    <mergeCell ref="B104:H105"/>
    <mergeCell ref="I104:O105"/>
    <mergeCell ref="P104:V105"/>
    <mergeCell ref="W104:AC105"/>
    <mergeCell ref="AD104:AJ105"/>
    <mergeCell ref="B102:H103"/>
    <mergeCell ref="I102:O103"/>
    <mergeCell ref="P102:V103"/>
    <mergeCell ref="W102:AC103"/>
    <mergeCell ref="AD102:AJ103"/>
    <mergeCell ref="AK104:AQ105"/>
    <mergeCell ref="AR104:AX105"/>
    <mergeCell ref="AY104:BE105"/>
    <mergeCell ref="BF104:BL105"/>
    <mergeCell ref="BM104:CL105"/>
    <mergeCell ref="CM104:DD105"/>
    <mergeCell ref="AR102:AX103"/>
    <mergeCell ref="AY102:BE103"/>
    <mergeCell ref="BF102:BL103"/>
    <mergeCell ref="BM102:CL103"/>
    <mergeCell ref="CM102:DD103"/>
    <mergeCell ref="AK102:AQ103"/>
    <mergeCell ref="B108:H109"/>
    <mergeCell ref="I108:O109"/>
    <mergeCell ref="P108:V109"/>
    <mergeCell ref="W108:AC109"/>
    <mergeCell ref="AD108:AJ109"/>
    <mergeCell ref="B106:H107"/>
    <mergeCell ref="I106:O107"/>
    <mergeCell ref="P106:V107"/>
    <mergeCell ref="W106:AC107"/>
    <mergeCell ref="AD106:AJ107"/>
    <mergeCell ref="AK108:AQ109"/>
    <mergeCell ref="AR108:AX109"/>
    <mergeCell ref="AY108:BE109"/>
    <mergeCell ref="BF108:BL109"/>
    <mergeCell ref="BM108:CL109"/>
    <mergeCell ref="CM108:DD109"/>
    <mergeCell ref="AR106:AX107"/>
    <mergeCell ref="AY106:BE107"/>
    <mergeCell ref="BF106:BL107"/>
    <mergeCell ref="BM106:CL107"/>
    <mergeCell ref="CM106:DD107"/>
    <mergeCell ref="AK106:AQ107"/>
    <mergeCell ref="B112:H113"/>
    <mergeCell ref="I112:O113"/>
    <mergeCell ref="P112:V113"/>
    <mergeCell ref="W112:AC113"/>
    <mergeCell ref="AD112:AJ113"/>
    <mergeCell ref="B110:H111"/>
    <mergeCell ref="I110:O111"/>
    <mergeCell ref="P110:V111"/>
    <mergeCell ref="W110:AC111"/>
    <mergeCell ref="AD110:AJ111"/>
    <mergeCell ref="AK112:AQ113"/>
    <mergeCell ref="AR112:AX113"/>
    <mergeCell ref="AY112:BE113"/>
    <mergeCell ref="BF112:BL113"/>
    <mergeCell ref="BM112:CL113"/>
    <mergeCell ref="CM112:DD113"/>
    <mergeCell ref="AR110:AX111"/>
    <mergeCell ref="AY110:BE111"/>
    <mergeCell ref="BF110:BL111"/>
    <mergeCell ref="BM110:CL111"/>
    <mergeCell ref="CM110:DD111"/>
    <mergeCell ref="AK110:AQ111"/>
  </mergeCells>
  <hyperlinks>
    <hyperlink ref="CV1" r:id="rId1" display="www.aes-ab.com" xr:uid="{6B4682A4-6A3D-4809-9FE8-AC2BCA568AC7}"/>
    <hyperlink ref="CV1:DE6" r:id="rId2" display="http://www.resapower.com/" xr:uid="{D1C3ABE6-55E6-4F99-832F-F661AB649FD4}"/>
    <hyperlink ref="CV58" r:id="rId3" display="www.aes-ab.com" xr:uid="{6ECAC598-3BBD-4495-A700-820A0757A053}"/>
    <hyperlink ref="CV58:DE63" r:id="rId4" display="http://www.resapower.com/" xr:uid="{3372B988-A8B8-41D8-9A76-A24B7648BB4E}"/>
  </hyperlinks>
  <printOptions horizontalCentered="1" verticalCentered="1"/>
  <pageMargins left="0.19685039370078741" right="0.19685039370078741" top="0.59055118110236227" bottom="0.59055118110236227" header="0.59055118110236227" footer="0.19685039370078741"/>
  <pageSetup scale="63" fitToHeight="0" orientation="landscape" r:id="rId5"/>
  <headerFooter alignWithMargins="0">
    <oddHeader xml:space="preserve">&amp;R
</oddHeader>
    <oddFooter>&amp;L&amp;F&amp;RPage &amp;P</oddFooter>
  </headerFooter>
  <rowBreaks count="1" manualBreakCount="1">
    <brk id="57" max="108" man="1"/>
  </rowBreaks>
  <drawing r:id="rId6"/>
  <legacyDrawing r:id="rId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85231-8ACC-4AA3-AA39-EBBA63CBEABB}">
  <sheetPr codeName="Sheet9">
    <pageSetUpPr fitToPage="1"/>
  </sheetPr>
  <dimension ref="A1:EI241"/>
  <sheetViews>
    <sheetView view="pageBreakPreview" zoomScale="97" zoomScaleNormal="54" zoomScaleSheetLayoutView="55" workbookViewId="0">
      <selection activeCell="BF102" sqref="BF102:BL103"/>
    </sheetView>
  </sheetViews>
  <sheetFormatPr defaultColWidth="2.42578125" defaultRowHeight="15" customHeight="1"/>
  <cols>
    <col min="1" max="18" width="2.42578125" style="1"/>
    <col min="19" max="19" width="2.42578125" style="1" customWidth="1"/>
    <col min="20" max="66" width="2.42578125" style="1"/>
    <col min="67" max="86" width="0" style="1" hidden="1" customWidth="1"/>
    <col min="87" max="16384" width="2.42578125" style="1"/>
  </cols>
  <sheetData>
    <row r="1" spans="1:139" ht="15" customHeight="1">
      <c r="A1" s="388"/>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389"/>
      <c r="CO1" s="389"/>
      <c r="CP1" s="389"/>
      <c r="CQ1" s="389"/>
      <c r="CR1" s="389"/>
      <c r="CS1" s="389"/>
      <c r="CT1" s="389"/>
      <c r="CU1" s="389"/>
      <c r="CV1" s="361" t="s">
        <v>1</v>
      </c>
      <c r="CW1" s="361"/>
      <c r="CX1" s="361"/>
      <c r="CY1" s="361"/>
      <c r="CZ1" s="361"/>
      <c r="DA1" s="361"/>
      <c r="DB1" s="361"/>
      <c r="DC1" s="361"/>
      <c r="DD1" s="361"/>
      <c r="DE1" s="362"/>
    </row>
    <row r="2" spans="1:139" ht="15" customHeight="1">
      <c r="A2" s="390"/>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c r="BN2" s="391"/>
      <c r="BO2" s="391"/>
      <c r="BP2" s="391"/>
      <c r="BQ2" s="391"/>
      <c r="BR2" s="391"/>
      <c r="BS2" s="391"/>
      <c r="BT2" s="391"/>
      <c r="BU2" s="391"/>
      <c r="BV2" s="391"/>
      <c r="BW2" s="391"/>
      <c r="BX2" s="391"/>
      <c r="BY2" s="391"/>
      <c r="BZ2" s="391"/>
      <c r="CA2" s="391"/>
      <c r="CB2" s="391"/>
      <c r="CC2" s="391"/>
      <c r="CD2" s="391"/>
      <c r="CE2" s="391"/>
      <c r="CF2" s="391"/>
      <c r="CG2" s="391"/>
      <c r="CH2" s="391"/>
      <c r="CI2" s="391"/>
      <c r="CJ2" s="391"/>
      <c r="CK2" s="391"/>
      <c r="CL2" s="391"/>
      <c r="CM2" s="391"/>
      <c r="CN2" s="391"/>
      <c r="CO2" s="391"/>
      <c r="CP2" s="391"/>
      <c r="CQ2" s="391"/>
      <c r="CR2" s="391"/>
      <c r="CS2" s="391"/>
      <c r="CT2" s="391"/>
      <c r="CU2" s="391"/>
      <c r="CV2" s="363"/>
      <c r="CW2" s="363"/>
      <c r="CX2" s="363"/>
      <c r="CY2" s="363"/>
      <c r="CZ2" s="363"/>
      <c r="DA2" s="363"/>
      <c r="DB2" s="363"/>
      <c r="DC2" s="363"/>
      <c r="DD2" s="363"/>
      <c r="DE2" s="364"/>
    </row>
    <row r="3" spans="1:139" ht="15" customHeight="1">
      <c r="A3" s="390"/>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1"/>
      <c r="BP3" s="391"/>
      <c r="BQ3" s="391"/>
      <c r="BR3" s="391"/>
      <c r="BS3" s="391"/>
      <c r="BT3" s="391"/>
      <c r="BU3" s="391"/>
      <c r="BV3" s="391"/>
      <c r="BW3" s="391"/>
      <c r="BX3" s="391"/>
      <c r="BY3" s="391"/>
      <c r="BZ3" s="391"/>
      <c r="CA3" s="391"/>
      <c r="CB3" s="391"/>
      <c r="CC3" s="391"/>
      <c r="CD3" s="391"/>
      <c r="CE3" s="391"/>
      <c r="CF3" s="391"/>
      <c r="CG3" s="391"/>
      <c r="CH3" s="391"/>
      <c r="CI3" s="391"/>
      <c r="CJ3" s="391"/>
      <c r="CK3" s="391"/>
      <c r="CL3" s="391"/>
      <c r="CM3" s="391"/>
      <c r="CN3" s="391"/>
      <c r="CO3" s="391"/>
      <c r="CP3" s="391"/>
      <c r="CQ3" s="391"/>
      <c r="CR3" s="391"/>
      <c r="CS3" s="391"/>
      <c r="CT3" s="391"/>
      <c r="CU3" s="391"/>
      <c r="CV3" s="363"/>
      <c r="CW3" s="363"/>
      <c r="CX3" s="363"/>
      <c r="CY3" s="363"/>
      <c r="CZ3" s="363"/>
      <c r="DA3" s="363"/>
      <c r="DB3" s="363"/>
      <c r="DC3" s="363"/>
      <c r="DD3" s="363"/>
      <c r="DE3" s="364"/>
    </row>
    <row r="4" spans="1:139" ht="15" customHeight="1">
      <c r="A4" s="390"/>
      <c r="B4" s="391"/>
      <c r="C4" s="391"/>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63"/>
      <c r="CW4" s="363"/>
      <c r="CX4" s="363"/>
      <c r="CY4" s="363"/>
      <c r="CZ4" s="363"/>
      <c r="DA4" s="363"/>
      <c r="DB4" s="363"/>
      <c r="DC4" s="363"/>
      <c r="DD4" s="363"/>
      <c r="DE4" s="364"/>
    </row>
    <row r="5" spans="1:139" ht="15" customHeight="1">
      <c r="A5" s="390"/>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c r="BY5" s="391"/>
      <c r="BZ5" s="391"/>
      <c r="CA5" s="391"/>
      <c r="CB5" s="391"/>
      <c r="CC5" s="391"/>
      <c r="CD5" s="391"/>
      <c r="CE5" s="391"/>
      <c r="CF5" s="391"/>
      <c r="CG5" s="391"/>
      <c r="CH5" s="391"/>
      <c r="CI5" s="391"/>
      <c r="CJ5" s="391"/>
      <c r="CK5" s="391"/>
      <c r="CL5" s="391"/>
      <c r="CM5" s="391"/>
      <c r="CN5" s="391"/>
      <c r="CO5" s="391"/>
      <c r="CP5" s="391"/>
      <c r="CQ5" s="391"/>
      <c r="CR5" s="391"/>
      <c r="CS5" s="391"/>
      <c r="CT5" s="391"/>
      <c r="CU5" s="391"/>
      <c r="CV5" s="363"/>
      <c r="CW5" s="363"/>
      <c r="CX5" s="363"/>
      <c r="CY5" s="363"/>
      <c r="CZ5" s="363"/>
      <c r="DA5" s="363"/>
      <c r="DB5" s="363"/>
      <c r="DC5" s="363"/>
      <c r="DD5" s="363"/>
      <c r="DE5" s="364"/>
    </row>
    <row r="6" spans="1:139" ht="15" customHeight="1" thickBot="1">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65"/>
      <c r="CW6" s="365"/>
      <c r="CX6" s="365"/>
      <c r="CY6" s="365"/>
      <c r="CZ6" s="365"/>
      <c r="DA6" s="365"/>
      <c r="DB6" s="365"/>
      <c r="DC6" s="365"/>
      <c r="DD6" s="365"/>
      <c r="DE6" s="366"/>
    </row>
    <row r="7" spans="1:139" ht="15" customHeight="1">
      <c r="A7" s="392" t="s">
        <v>112</v>
      </c>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c r="BL7" s="393"/>
      <c r="BM7" s="393"/>
      <c r="BN7" s="393"/>
      <c r="BO7" s="393"/>
      <c r="BP7" s="393"/>
      <c r="BQ7" s="393"/>
      <c r="BR7" s="393"/>
      <c r="BS7" s="393"/>
      <c r="BT7" s="393"/>
      <c r="BU7" s="393"/>
      <c r="BV7" s="393"/>
      <c r="BW7" s="393"/>
      <c r="BX7" s="393"/>
      <c r="BY7" s="393"/>
      <c r="BZ7" s="393"/>
      <c r="CA7" s="393"/>
      <c r="CB7" s="393"/>
      <c r="CC7" s="393"/>
      <c r="CD7" s="393"/>
      <c r="CE7" s="393"/>
      <c r="CF7" s="393"/>
      <c r="CG7" s="393"/>
      <c r="CH7" s="393"/>
      <c r="CI7" s="393"/>
      <c r="CJ7" s="393"/>
      <c r="CK7" s="393"/>
      <c r="CL7" s="393"/>
      <c r="CM7" s="393"/>
      <c r="CN7" s="393"/>
      <c r="CO7" s="393"/>
      <c r="CP7" s="367" t="s">
        <v>3</v>
      </c>
      <c r="CQ7" s="367"/>
      <c r="CR7" s="367"/>
      <c r="CS7" s="367"/>
      <c r="CT7" s="367"/>
      <c r="CU7" s="367"/>
      <c r="CV7" s="367"/>
      <c r="CW7" s="367"/>
      <c r="CX7" s="367"/>
      <c r="CY7" s="367"/>
      <c r="CZ7" s="367"/>
      <c r="DA7" s="367"/>
      <c r="DB7" s="367"/>
      <c r="DC7" s="367"/>
      <c r="DD7" s="367"/>
      <c r="DE7" s="368"/>
    </row>
    <row r="8" spans="1:139" ht="15" customHeight="1">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c r="BL8" s="393"/>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67"/>
      <c r="CQ8" s="367"/>
      <c r="CR8" s="367"/>
      <c r="CS8" s="367"/>
      <c r="CT8" s="367"/>
      <c r="CU8" s="367"/>
      <c r="CV8" s="367"/>
      <c r="CW8" s="367"/>
      <c r="CX8" s="367"/>
      <c r="CY8" s="367"/>
      <c r="CZ8" s="367"/>
      <c r="DA8" s="367"/>
      <c r="DB8" s="367"/>
      <c r="DC8" s="367"/>
      <c r="DD8" s="367"/>
      <c r="DE8" s="368"/>
    </row>
    <row r="9" spans="1:139" ht="15" customHeight="1">
      <c r="A9" s="375" t="s">
        <v>4</v>
      </c>
      <c r="B9" s="369"/>
      <c r="C9" s="369"/>
      <c r="D9" s="369"/>
      <c r="E9" s="369"/>
      <c r="F9" s="369"/>
      <c r="G9" s="369"/>
      <c r="H9" s="369"/>
      <c r="I9" s="369"/>
      <c r="J9" s="369"/>
      <c r="K9" s="369"/>
      <c r="L9" s="369"/>
      <c r="M9" s="369"/>
      <c r="N9" s="369"/>
      <c r="O9" s="369"/>
      <c r="P9" s="369"/>
      <c r="Q9" s="369"/>
      <c r="R9" s="369"/>
      <c r="S9" s="370">
        <v>559082</v>
      </c>
      <c r="T9" s="370"/>
      <c r="U9" s="370"/>
      <c r="V9" s="370"/>
      <c r="W9" s="370"/>
      <c r="X9" s="370"/>
      <c r="Y9" s="370"/>
      <c r="Z9" s="370"/>
      <c r="AA9" s="370"/>
      <c r="AB9" s="370"/>
      <c r="AC9" s="370"/>
      <c r="AD9" s="370"/>
      <c r="AE9" s="369" t="s">
        <v>5</v>
      </c>
      <c r="AF9" s="369"/>
      <c r="AG9" s="369"/>
      <c r="AH9" s="369"/>
      <c r="AI9" s="369"/>
      <c r="AJ9" s="369"/>
      <c r="AK9" s="369"/>
      <c r="AL9" s="369"/>
      <c r="AM9" s="369"/>
      <c r="AN9" s="369"/>
      <c r="AO9" s="369"/>
      <c r="AP9" s="369"/>
      <c r="AQ9" s="369"/>
      <c r="AR9" s="369"/>
      <c r="AS9" s="394">
        <v>45678</v>
      </c>
      <c r="AT9" s="394"/>
      <c r="AU9" s="394"/>
      <c r="AV9" s="394"/>
      <c r="AW9" s="394"/>
      <c r="AX9" s="394"/>
      <c r="AY9" s="394"/>
      <c r="AZ9" s="394"/>
      <c r="BA9" s="394"/>
      <c r="BB9" s="394"/>
      <c r="BC9" s="394"/>
      <c r="BD9" s="394"/>
      <c r="BE9" s="394"/>
      <c r="BF9" s="394"/>
      <c r="BG9" s="369" t="s">
        <v>6</v>
      </c>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71" t="s">
        <v>7</v>
      </c>
      <c r="CO9" s="371"/>
      <c r="CP9" s="371"/>
      <c r="CQ9" s="372" t="s">
        <v>8</v>
      </c>
      <c r="CR9" s="372"/>
      <c r="CS9" s="372"/>
      <c r="CT9" s="372"/>
      <c r="CU9" s="372"/>
      <c r="CV9" s="372"/>
      <c r="CW9" s="372"/>
      <c r="CX9" s="372"/>
      <c r="CY9" s="372"/>
      <c r="CZ9" s="372"/>
      <c r="DA9" s="372"/>
      <c r="DB9" s="372"/>
      <c r="DC9" s="372"/>
      <c r="DD9" s="372"/>
      <c r="DE9" s="373"/>
    </row>
    <row r="10" spans="1:139" ht="15" customHeight="1">
      <c r="A10" s="375" t="s">
        <v>9</v>
      </c>
      <c r="B10" s="369"/>
      <c r="C10" s="369"/>
      <c r="D10" s="369"/>
      <c r="E10" s="369"/>
      <c r="F10" s="369"/>
      <c r="G10" s="369"/>
      <c r="H10" s="369"/>
      <c r="I10" s="369"/>
      <c r="J10" s="369"/>
      <c r="K10" s="369"/>
      <c r="L10" s="369"/>
      <c r="M10" s="369"/>
      <c r="N10" s="369"/>
      <c r="O10" s="369"/>
      <c r="P10" s="369"/>
      <c r="Q10" s="369"/>
      <c r="R10" s="369"/>
      <c r="S10" s="370" t="s">
        <v>10</v>
      </c>
      <c r="T10" s="370"/>
      <c r="U10" s="370"/>
      <c r="V10" s="370"/>
      <c r="W10" s="370"/>
      <c r="X10" s="370"/>
      <c r="Y10" s="370"/>
      <c r="Z10" s="370"/>
      <c r="AA10" s="370"/>
      <c r="AB10" s="370"/>
      <c r="AC10" s="370"/>
      <c r="AD10" s="370"/>
      <c r="AE10" s="369" t="s">
        <v>11</v>
      </c>
      <c r="AF10" s="369"/>
      <c r="AG10" s="369"/>
      <c r="AH10" s="369"/>
      <c r="AI10" s="369"/>
      <c r="AJ10" s="369"/>
      <c r="AK10" s="369"/>
      <c r="AL10" s="369"/>
      <c r="AM10" s="369"/>
      <c r="AN10" s="369"/>
      <c r="AO10" s="369"/>
      <c r="AP10" s="369"/>
      <c r="AQ10" s="369"/>
      <c r="AR10" s="369"/>
      <c r="AS10" s="370" t="s">
        <v>12</v>
      </c>
      <c r="AT10" s="370"/>
      <c r="AU10" s="370"/>
      <c r="AV10" s="370"/>
      <c r="AW10" s="370"/>
      <c r="AX10" s="370"/>
      <c r="AY10" s="370"/>
      <c r="AZ10" s="370"/>
      <c r="BA10" s="370"/>
      <c r="BB10" s="370"/>
      <c r="BC10" s="370"/>
      <c r="BD10" s="370"/>
      <c r="BE10" s="370"/>
      <c r="BF10" s="370"/>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71"/>
      <c r="CO10" s="371"/>
      <c r="CP10" s="371"/>
      <c r="CQ10" s="372" t="s">
        <v>13</v>
      </c>
      <c r="CR10" s="372"/>
      <c r="CS10" s="372"/>
      <c r="CT10" s="372"/>
      <c r="CU10" s="372"/>
      <c r="CV10" s="372"/>
      <c r="CW10" s="372"/>
      <c r="CX10" s="372"/>
      <c r="CY10" s="372"/>
      <c r="CZ10" s="372"/>
      <c r="DA10" s="372"/>
      <c r="DB10" s="372"/>
      <c r="DC10" s="372"/>
      <c r="DD10" s="372"/>
      <c r="DE10" s="373"/>
    </row>
    <row r="11" spans="1:139" ht="15" customHeight="1">
      <c r="A11" s="375" t="s">
        <v>14</v>
      </c>
      <c r="B11" s="369"/>
      <c r="C11" s="369"/>
      <c r="D11" s="369"/>
      <c r="E11" s="369"/>
      <c r="F11" s="369"/>
      <c r="G11" s="369"/>
      <c r="H11" s="369"/>
      <c r="I11" s="369"/>
      <c r="J11" s="369"/>
      <c r="K11" s="369"/>
      <c r="L11" s="369"/>
      <c r="M11" s="369"/>
      <c r="N11" s="369"/>
      <c r="O11" s="369"/>
      <c r="P11" s="369"/>
      <c r="Q11" s="369"/>
      <c r="R11" s="369"/>
      <c r="S11" s="370" t="s">
        <v>15</v>
      </c>
      <c r="T11" s="370"/>
      <c r="U11" s="370"/>
      <c r="V11" s="370"/>
      <c r="W11" s="370"/>
      <c r="X11" s="370"/>
      <c r="Y11" s="370"/>
      <c r="Z11" s="370"/>
      <c r="AA11" s="370"/>
      <c r="AB11" s="370"/>
      <c r="AC11" s="370"/>
      <c r="AD11" s="370"/>
      <c r="AE11" s="369" t="s">
        <v>16</v>
      </c>
      <c r="AF11" s="369"/>
      <c r="AG11" s="369"/>
      <c r="AH11" s="369"/>
      <c r="AI11" s="369"/>
      <c r="AJ11" s="369"/>
      <c r="AK11" s="369"/>
      <c r="AL11" s="369"/>
      <c r="AM11" s="369"/>
      <c r="AN11" s="369"/>
      <c r="AO11" s="369"/>
      <c r="AP11" s="369"/>
      <c r="AQ11" s="369"/>
      <c r="AR11" s="369"/>
      <c r="AS11" s="370" t="s">
        <v>17</v>
      </c>
      <c r="AT11" s="370"/>
      <c r="AU11" s="370"/>
      <c r="AV11" s="370"/>
      <c r="AW11" s="370"/>
      <c r="AX11" s="370"/>
      <c r="AY11" s="370"/>
      <c r="AZ11" s="370"/>
      <c r="BA11" s="370"/>
      <c r="BB11" s="370"/>
      <c r="BC11" s="370"/>
      <c r="BD11" s="370"/>
      <c r="BE11" s="370"/>
      <c r="BF11" s="370"/>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71"/>
      <c r="CO11" s="371"/>
      <c r="CP11" s="371"/>
      <c r="CQ11" s="372" t="s">
        <v>18</v>
      </c>
      <c r="CR11" s="372"/>
      <c r="CS11" s="372"/>
      <c r="CT11" s="372"/>
      <c r="CU11" s="372"/>
      <c r="CV11" s="372"/>
      <c r="CW11" s="372"/>
      <c r="CX11" s="372"/>
      <c r="CY11" s="372"/>
      <c r="CZ11" s="372"/>
      <c r="DA11" s="372"/>
      <c r="DB11" s="372"/>
      <c r="DC11" s="372"/>
      <c r="DD11" s="372"/>
      <c r="DE11" s="373"/>
    </row>
    <row r="12" spans="1:139" ht="15" customHeight="1">
      <c r="A12" s="446" t="s">
        <v>84</v>
      </c>
      <c r="B12" s="447"/>
      <c r="C12" s="447"/>
      <c r="D12" s="447"/>
      <c r="E12" s="447"/>
      <c r="F12" s="447"/>
      <c r="G12" s="447"/>
      <c r="H12" s="447"/>
      <c r="I12" s="447"/>
      <c r="J12" s="447"/>
      <c r="K12" s="447"/>
      <c r="L12" s="447"/>
      <c r="M12" s="447"/>
      <c r="N12" s="447"/>
      <c r="O12" s="447"/>
      <c r="P12" s="447"/>
      <c r="Q12" s="447"/>
      <c r="R12" s="447"/>
      <c r="S12" s="447"/>
      <c r="T12" s="447"/>
      <c r="U12" s="447"/>
      <c r="V12" s="447"/>
      <c r="W12" s="447"/>
      <c r="X12" s="447"/>
      <c r="Y12" s="447"/>
      <c r="Z12" s="447"/>
      <c r="AA12" s="447"/>
      <c r="AB12" s="447"/>
      <c r="AC12" s="447"/>
      <c r="AD12" s="447"/>
      <c r="AE12" s="447"/>
      <c r="AF12" s="447"/>
      <c r="AG12" s="447"/>
      <c r="AH12" s="447"/>
      <c r="AI12" s="447"/>
      <c r="AJ12" s="447"/>
      <c r="AK12" s="447"/>
      <c r="AL12" s="447"/>
      <c r="AM12" s="447"/>
      <c r="AN12" s="447"/>
      <c r="AO12" s="447"/>
      <c r="AP12" s="447"/>
      <c r="AQ12" s="447"/>
      <c r="AR12" s="447"/>
      <c r="AS12" s="447"/>
      <c r="AT12" s="447"/>
      <c r="AU12" s="447"/>
      <c r="AV12" s="447"/>
      <c r="AW12" s="447"/>
      <c r="AX12" s="447"/>
      <c r="AY12" s="447"/>
      <c r="AZ12" s="447"/>
      <c r="BA12" s="447"/>
      <c r="BB12" s="447"/>
      <c r="BC12" s="447"/>
      <c r="BD12" s="447"/>
      <c r="BE12" s="447"/>
      <c r="BF12" s="447"/>
      <c r="BG12" s="447"/>
      <c r="BH12" s="447"/>
      <c r="BI12" s="447"/>
      <c r="BJ12" s="447"/>
      <c r="BK12" s="447"/>
      <c r="BL12" s="447"/>
      <c r="BM12" s="447"/>
      <c r="BN12" s="447"/>
      <c r="BO12" s="447"/>
      <c r="BP12" s="447"/>
      <c r="BQ12" s="447"/>
      <c r="BR12" s="447"/>
      <c r="BS12" s="447"/>
      <c r="BT12" s="447"/>
      <c r="BU12" s="447"/>
      <c r="BV12" s="447"/>
      <c r="BW12" s="447"/>
      <c r="BX12" s="447"/>
      <c r="BY12" s="447"/>
      <c r="BZ12" s="447"/>
      <c r="CA12" s="447"/>
      <c r="CB12" s="447"/>
      <c r="CC12" s="447"/>
      <c r="CD12" s="447"/>
      <c r="CE12" s="447"/>
      <c r="CF12" s="447"/>
      <c r="CG12" s="447"/>
      <c r="CH12" s="447"/>
      <c r="CI12" s="447"/>
      <c r="CJ12" s="447"/>
      <c r="CK12" s="447"/>
      <c r="CL12" s="447"/>
      <c r="CM12" s="447"/>
      <c r="CN12" s="447"/>
      <c r="CO12" s="447"/>
      <c r="CP12" s="447"/>
      <c r="CQ12" s="447"/>
      <c r="CR12" s="447"/>
      <c r="CS12" s="447"/>
      <c r="CT12" s="447"/>
      <c r="CU12" s="447"/>
      <c r="CV12" s="447"/>
      <c r="CW12" s="447"/>
      <c r="CX12" s="447"/>
      <c r="CY12" s="447"/>
      <c r="CZ12" s="447"/>
      <c r="DA12" s="447"/>
      <c r="DB12" s="447"/>
      <c r="DC12" s="447"/>
      <c r="DD12" s="447"/>
      <c r="DE12" s="448"/>
    </row>
    <row r="13" spans="1:139" ht="15" customHeight="1">
      <c r="A13" s="449" t="s">
        <v>85</v>
      </c>
      <c r="B13" s="450"/>
      <c r="C13" s="450"/>
      <c r="D13" s="450"/>
      <c r="E13" s="450"/>
      <c r="F13" s="450"/>
      <c r="G13" s="450"/>
      <c r="H13" s="450"/>
      <c r="I13" s="450"/>
      <c r="J13" s="450"/>
      <c r="K13" s="455" t="s">
        <v>86</v>
      </c>
      <c r="L13" s="455"/>
      <c r="M13" s="455"/>
      <c r="N13" s="455"/>
      <c r="O13" s="455"/>
      <c r="P13" s="455"/>
      <c r="Q13" s="455"/>
      <c r="R13" s="455"/>
      <c r="S13" s="455"/>
      <c r="T13" s="450" t="s">
        <v>87</v>
      </c>
      <c r="U13" s="450"/>
      <c r="V13" s="450"/>
      <c r="W13" s="450"/>
      <c r="X13" s="450"/>
      <c r="Y13" s="450"/>
      <c r="Z13" s="450"/>
      <c r="AA13" s="450"/>
      <c r="AB13" s="450"/>
      <c r="AC13" s="455">
        <v>1200</v>
      </c>
      <c r="AD13" s="455"/>
      <c r="AE13" s="455"/>
      <c r="AF13" s="455"/>
      <c r="AG13" s="455"/>
      <c r="AH13" s="455"/>
      <c r="AI13" s="455"/>
      <c r="AJ13" s="455"/>
      <c r="AK13" s="455"/>
      <c r="AL13" s="450" t="s">
        <v>88</v>
      </c>
      <c r="AM13" s="450"/>
      <c r="AN13" s="450"/>
      <c r="AO13" s="450"/>
      <c r="AP13" s="450"/>
      <c r="AQ13" s="450"/>
      <c r="AR13" s="450"/>
      <c r="AS13" s="450"/>
      <c r="AT13" s="450"/>
      <c r="AU13" s="455">
        <v>10</v>
      </c>
      <c r="AV13" s="455"/>
      <c r="AW13" s="455"/>
      <c r="AX13" s="455"/>
      <c r="AY13" s="455"/>
      <c r="AZ13" s="455"/>
      <c r="BA13" s="455"/>
      <c r="BB13" s="455"/>
      <c r="BC13" s="455"/>
      <c r="BD13" s="450" t="s">
        <v>89</v>
      </c>
      <c r="BE13" s="450"/>
      <c r="BF13" s="450"/>
      <c r="BG13" s="450"/>
      <c r="BH13" s="450"/>
      <c r="BI13" s="450"/>
      <c r="BJ13" s="450"/>
      <c r="BK13" s="450"/>
      <c r="BL13" s="450"/>
      <c r="BM13" s="452" t="s">
        <v>90</v>
      </c>
      <c r="BN13" s="453"/>
      <c r="BO13" s="453"/>
      <c r="BP13" s="453"/>
      <c r="BQ13" s="453"/>
      <c r="BR13" s="453"/>
      <c r="BS13" s="453"/>
      <c r="BT13" s="453"/>
      <c r="BU13" s="453"/>
      <c r="BV13" s="453"/>
      <c r="BW13" s="453"/>
      <c r="BX13" s="453"/>
      <c r="BY13" s="453"/>
      <c r="BZ13" s="453"/>
      <c r="CA13" s="453"/>
      <c r="CB13" s="453"/>
      <c r="CC13" s="453"/>
      <c r="CD13" s="453"/>
      <c r="CE13" s="453"/>
      <c r="CF13" s="453"/>
      <c r="CG13" s="453"/>
      <c r="CH13" s="453"/>
      <c r="CI13" s="453"/>
      <c r="CJ13" s="453"/>
      <c r="CK13" s="453"/>
      <c r="CL13" s="453"/>
      <c r="CM13" s="454"/>
      <c r="CN13" s="450" t="s">
        <v>91</v>
      </c>
      <c r="CO13" s="450"/>
      <c r="CP13" s="450"/>
      <c r="CQ13" s="450"/>
      <c r="CR13" s="450"/>
      <c r="CS13" s="450"/>
      <c r="CT13" s="450"/>
      <c r="CU13" s="450"/>
      <c r="CV13" s="450"/>
      <c r="CW13" s="455" t="s">
        <v>92</v>
      </c>
      <c r="CX13" s="455"/>
      <c r="CY13" s="455"/>
      <c r="CZ13" s="455"/>
      <c r="DA13" s="455"/>
      <c r="DB13" s="455"/>
      <c r="DC13" s="455"/>
      <c r="DD13" s="455"/>
      <c r="DE13" s="456"/>
    </row>
    <row r="14" spans="1:139" ht="15" customHeight="1">
      <c r="A14" s="449" t="s">
        <v>93</v>
      </c>
      <c r="B14" s="450"/>
      <c r="C14" s="450"/>
      <c r="D14" s="450"/>
      <c r="E14" s="450"/>
      <c r="F14" s="450"/>
      <c r="G14" s="450"/>
      <c r="H14" s="450"/>
      <c r="I14" s="450"/>
      <c r="J14" s="450"/>
      <c r="K14" s="444" t="s">
        <v>94</v>
      </c>
      <c r="L14" s="444"/>
      <c r="M14" s="444"/>
      <c r="N14" s="444"/>
      <c r="O14" s="444"/>
      <c r="P14" s="444"/>
      <c r="Q14" s="444"/>
      <c r="R14" s="444"/>
      <c r="S14" s="444"/>
      <c r="T14" s="451" t="s">
        <v>95</v>
      </c>
      <c r="U14" s="451"/>
      <c r="V14" s="451"/>
      <c r="W14" s="451"/>
      <c r="X14" s="451"/>
      <c r="Y14" s="451"/>
      <c r="Z14" s="451"/>
      <c r="AA14" s="451"/>
      <c r="AB14" s="451"/>
      <c r="AC14" s="444" t="s">
        <v>96</v>
      </c>
      <c r="AD14" s="444"/>
      <c r="AE14" s="444"/>
      <c r="AF14" s="444"/>
      <c r="AG14" s="444"/>
      <c r="AH14" s="444"/>
      <c r="AI14" s="444"/>
      <c r="AJ14" s="444"/>
      <c r="AK14" s="444"/>
      <c r="AL14" s="451" t="s">
        <v>97</v>
      </c>
      <c r="AM14" s="451"/>
      <c r="AN14" s="451"/>
      <c r="AO14" s="451"/>
      <c r="AP14" s="451"/>
      <c r="AQ14" s="451"/>
      <c r="AR14" s="451"/>
      <c r="AS14" s="451"/>
      <c r="AT14" s="451"/>
      <c r="AU14" s="444" t="s">
        <v>98</v>
      </c>
      <c r="AV14" s="444"/>
      <c r="AW14" s="444"/>
      <c r="AX14" s="444"/>
      <c r="AY14" s="444"/>
      <c r="AZ14" s="444"/>
      <c r="BA14" s="444"/>
      <c r="BB14" s="444"/>
      <c r="BC14" s="444"/>
      <c r="BD14" s="451" t="s">
        <v>99</v>
      </c>
      <c r="BE14" s="451"/>
      <c r="BF14" s="451"/>
      <c r="BG14" s="451"/>
      <c r="BH14" s="451"/>
      <c r="BI14" s="451"/>
      <c r="BJ14" s="451"/>
      <c r="BK14" s="451"/>
      <c r="BL14" s="451"/>
      <c r="BM14" s="452" t="s">
        <v>100</v>
      </c>
      <c r="BN14" s="453"/>
      <c r="BO14" s="453"/>
      <c r="BP14" s="453"/>
      <c r="BQ14" s="453"/>
      <c r="BR14" s="453"/>
      <c r="BS14" s="453"/>
      <c r="BT14" s="453"/>
      <c r="BU14" s="453"/>
      <c r="BV14" s="453"/>
      <c r="BW14" s="453"/>
      <c r="BX14" s="453"/>
      <c r="BY14" s="453"/>
      <c r="BZ14" s="453"/>
      <c r="CA14" s="453"/>
      <c r="CB14" s="453"/>
      <c r="CC14" s="453"/>
      <c r="CD14" s="453"/>
      <c r="CE14" s="453"/>
      <c r="CF14" s="453"/>
      <c r="CG14" s="453"/>
      <c r="CH14" s="453"/>
      <c r="CI14" s="453"/>
      <c r="CJ14" s="453"/>
      <c r="CK14" s="453"/>
      <c r="CL14" s="453"/>
      <c r="CM14" s="454"/>
      <c r="CN14" s="451" t="s">
        <v>101</v>
      </c>
      <c r="CO14" s="451"/>
      <c r="CP14" s="451"/>
      <c r="CQ14" s="451"/>
      <c r="CR14" s="451"/>
      <c r="CS14" s="451"/>
      <c r="CT14" s="451"/>
      <c r="CU14" s="451"/>
      <c r="CV14" s="451"/>
      <c r="CW14" s="444" t="s">
        <v>102</v>
      </c>
      <c r="CX14" s="444"/>
      <c r="CY14" s="444"/>
      <c r="CZ14" s="444"/>
      <c r="DA14" s="444"/>
      <c r="DB14" s="444"/>
      <c r="DC14" s="444"/>
      <c r="DD14" s="444"/>
      <c r="DE14" s="445"/>
    </row>
    <row r="15" spans="1:139" ht="15" customHeight="1">
      <c r="A15" s="446" t="s">
        <v>103</v>
      </c>
      <c r="B15" s="447"/>
      <c r="C15" s="447"/>
      <c r="D15" s="447"/>
      <c r="E15" s="447"/>
      <c r="F15" s="447"/>
      <c r="G15" s="447"/>
      <c r="H15" s="447"/>
      <c r="I15" s="447"/>
      <c r="J15" s="447"/>
      <c r="K15" s="447"/>
      <c r="L15" s="447"/>
      <c r="M15" s="447"/>
      <c r="N15" s="447"/>
      <c r="O15" s="447"/>
      <c r="P15" s="447"/>
      <c r="Q15" s="447"/>
      <c r="R15" s="447"/>
      <c r="S15" s="447"/>
      <c r="T15" s="447"/>
      <c r="U15" s="447"/>
      <c r="V15" s="447"/>
      <c r="W15" s="447"/>
      <c r="X15" s="447"/>
      <c r="Y15" s="447"/>
      <c r="Z15" s="447"/>
      <c r="AA15" s="447"/>
      <c r="AB15" s="447"/>
      <c r="AC15" s="447"/>
      <c r="AD15" s="447"/>
      <c r="AE15" s="447"/>
      <c r="AF15" s="447"/>
      <c r="AG15" s="447"/>
      <c r="AH15" s="447"/>
      <c r="AI15" s="447"/>
      <c r="AJ15" s="447"/>
      <c r="AK15" s="447"/>
      <c r="AL15" s="447"/>
      <c r="AM15" s="447"/>
      <c r="AN15" s="447"/>
      <c r="AO15" s="447"/>
      <c r="AP15" s="447"/>
      <c r="AQ15" s="447"/>
      <c r="AR15" s="447"/>
      <c r="AS15" s="447"/>
      <c r="AT15" s="447"/>
      <c r="AU15" s="447"/>
      <c r="AV15" s="447"/>
      <c r="AW15" s="447"/>
      <c r="AX15" s="447"/>
      <c r="AY15" s="447"/>
      <c r="AZ15" s="447"/>
      <c r="BA15" s="447"/>
      <c r="BB15" s="447"/>
      <c r="BC15" s="447"/>
      <c r="BD15" s="447"/>
      <c r="BE15" s="447"/>
      <c r="BF15" s="447"/>
      <c r="BG15" s="447"/>
      <c r="BH15" s="447"/>
      <c r="BI15" s="447"/>
      <c r="BJ15" s="447"/>
      <c r="BK15" s="447"/>
      <c r="BL15" s="447"/>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447"/>
      <c r="CJ15" s="447"/>
      <c r="CK15" s="447"/>
      <c r="CL15" s="447"/>
      <c r="CM15" s="447"/>
      <c r="CN15" s="447"/>
      <c r="CO15" s="447"/>
      <c r="CP15" s="447"/>
      <c r="CQ15" s="447"/>
      <c r="CR15" s="447"/>
      <c r="CS15" s="447"/>
      <c r="CT15" s="447"/>
      <c r="CU15" s="447"/>
      <c r="CV15" s="447"/>
      <c r="CW15" s="447"/>
      <c r="CX15" s="447"/>
      <c r="CY15" s="447"/>
      <c r="CZ15" s="447"/>
      <c r="DA15" s="447"/>
      <c r="DB15" s="447"/>
      <c r="DC15" s="447"/>
      <c r="DD15" s="447"/>
      <c r="DE15" s="448"/>
      <c r="DF15" s="2"/>
      <c r="DG15" s="2"/>
      <c r="DH15" s="2"/>
      <c r="DI15" s="2"/>
      <c r="DJ15" s="27"/>
      <c r="DK15" s="27"/>
      <c r="DL15" s="27"/>
      <c r="DM15" s="27"/>
      <c r="DN15" s="27"/>
      <c r="DO15" s="27"/>
      <c r="DP15" s="2"/>
      <c r="DQ15" s="2"/>
      <c r="DR15" s="2"/>
      <c r="DS15" s="2"/>
      <c r="DT15" s="2"/>
      <c r="DU15" s="2"/>
      <c r="DV15" s="2"/>
      <c r="DW15" s="2"/>
      <c r="DX15" s="2"/>
      <c r="DY15" s="2"/>
      <c r="DZ15" s="2"/>
      <c r="EA15" s="2"/>
      <c r="EB15" s="2"/>
      <c r="EC15" s="2"/>
      <c r="ED15" s="2"/>
      <c r="EE15" s="2"/>
      <c r="EF15" s="2"/>
      <c r="EG15" s="2"/>
      <c r="EH15" s="2"/>
      <c r="EI15" s="2"/>
    </row>
    <row r="16" spans="1:139" ht="15" customHeight="1">
      <c r="A16" s="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CN16" s="4"/>
      <c r="CO16" s="4"/>
      <c r="CP16" s="4"/>
      <c r="CQ16" s="4"/>
      <c r="CR16" s="4"/>
      <c r="CS16" s="4"/>
      <c r="CT16" s="4"/>
      <c r="CU16" s="4"/>
      <c r="CV16" s="4"/>
      <c r="CW16" s="4"/>
      <c r="CX16" s="4"/>
      <c r="CY16" s="4"/>
      <c r="CZ16" s="4"/>
      <c r="DA16" s="4"/>
      <c r="DB16" s="4"/>
      <c r="DC16" s="4"/>
      <c r="DD16" s="4"/>
      <c r="DE16" s="23"/>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2"/>
      <c r="EI16" s="2"/>
    </row>
    <row r="17" spans="1:133" ht="15" customHeight="1">
      <c r="A17" s="6"/>
      <c r="B17" s="376" t="s">
        <v>19</v>
      </c>
      <c r="C17" s="377"/>
      <c r="D17" s="377"/>
      <c r="E17" s="377"/>
      <c r="F17" s="377"/>
      <c r="G17" s="377"/>
      <c r="H17" s="378"/>
      <c r="I17" s="376" t="s">
        <v>21</v>
      </c>
      <c r="J17" s="377"/>
      <c r="K17" s="377"/>
      <c r="L17" s="377"/>
      <c r="M17" s="377"/>
      <c r="N17" s="377"/>
      <c r="O17" s="378"/>
      <c r="P17" s="376" t="s">
        <v>104</v>
      </c>
      <c r="Q17" s="377"/>
      <c r="R17" s="377"/>
      <c r="S17" s="377"/>
      <c r="T17" s="377"/>
      <c r="U17" s="377"/>
      <c r="V17" s="378"/>
      <c r="W17" s="376" t="s">
        <v>26</v>
      </c>
      <c r="X17" s="377"/>
      <c r="Y17" s="377"/>
      <c r="Z17" s="377"/>
      <c r="AA17" s="377"/>
      <c r="AB17" s="377"/>
      <c r="AC17" s="378"/>
      <c r="AD17" s="376" t="s">
        <v>24</v>
      </c>
      <c r="AE17" s="377"/>
      <c r="AF17" s="377"/>
      <c r="AG17" s="377"/>
      <c r="AH17" s="377"/>
      <c r="AI17" s="377"/>
      <c r="AJ17" s="378"/>
      <c r="AK17" s="376" t="s">
        <v>25</v>
      </c>
      <c r="AL17" s="377"/>
      <c r="AM17" s="377"/>
      <c r="AN17" s="377"/>
      <c r="AO17" s="377"/>
      <c r="AP17" s="377"/>
      <c r="AQ17" s="378"/>
      <c r="AR17" s="376" t="s">
        <v>110</v>
      </c>
      <c r="AS17" s="377"/>
      <c r="AT17" s="377"/>
      <c r="AU17" s="377"/>
      <c r="AV17" s="377"/>
      <c r="AW17" s="377"/>
      <c r="AX17" s="378"/>
      <c r="AY17" s="376" t="s">
        <v>111</v>
      </c>
      <c r="AZ17" s="377"/>
      <c r="BA17" s="377"/>
      <c r="BB17" s="377"/>
      <c r="BC17" s="377"/>
      <c r="BD17" s="377"/>
      <c r="BE17" s="378"/>
      <c r="BF17" s="376" t="s">
        <v>108</v>
      </c>
      <c r="BG17" s="377"/>
      <c r="BH17" s="377"/>
      <c r="BI17" s="377"/>
      <c r="BJ17" s="377"/>
      <c r="BK17" s="377"/>
      <c r="BL17" s="378"/>
      <c r="BM17" s="376" t="s">
        <v>109</v>
      </c>
      <c r="BN17" s="377"/>
      <c r="BO17" s="377"/>
      <c r="BP17" s="377"/>
      <c r="BQ17" s="377"/>
      <c r="BR17" s="377"/>
      <c r="BS17" s="377"/>
      <c r="BT17" s="377"/>
      <c r="BU17" s="377"/>
      <c r="BV17" s="377"/>
      <c r="BW17" s="377"/>
      <c r="BX17" s="377"/>
      <c r="BY17" s="377"/>
      <c r="BZ17" s="377"/>
      <c r="CA17" s="377"/>
      <c r="CB17" s="377"/>
      <c r="CC17" s="377"/>
      <c r="CD17" s="377"/>
      <c r="CE17" s="377"/>
      <c r="CF17" s="377"/>
      <c r="CG17" s="377"/>
      <c r="CH17" s="377"/>
      <c r="CI17" s="377"/>
      <c r="CJ17" s="377"/>
      <c r="CK17" s="377"/>
      <c r="CL17" s="378"/>
      <c r="CM17" s="376" t="s">
        <v>30</v>
      </c>
      <c r="CN17" s="377"/>
      <c r="CO17" s="377"/>
      <c r="CP17" s="377"/>
      <c r="CQ17" s="377"/>
      <c r="CR17" s="377"/>
      <c r="CS17" s="377"/>
      <c r="CT17" s="377"/>
      <c r="CU17" s="377"/>
      <c r="CV17" s="377"/>
      <c r="CW17" s="377"/>
      <c r="CX17" s="377"/>
      <c r="CY17" s="377"/>
      <c r="CZ17" s="377"/>
      <c r="DA17" s="377"/>
      <c r="DB17" s="377"/>
      <c r="DC17" s="377"/>
      <c r="DD17" s="378"/>
      <c r="DE17" s="7"/>
    </row>
    <row r="18" spans="1:133" ht="15" customHeight="1">
      <c r="A18" s="6"/>
      <c r="B18" s="379"/>
      <c r="C18" s="380"/>
      <c r="D18" s="380"/>
      <c r="E18" s="380"/>
      <c r="F18" s="380"/>
      <c r="G18" s="380"/>
      <c r="H18" s="381"/>
      <c r="I18" s="379"/>
      <c r="J18" s="380"/>
      <c r="K18" s="380"/>
      <c r="L18" s="380"/>
      <c r="M18" s="380"/>
      <c r="N18" s="380"/>
      <c r="O18" s="381"/>
      <c r="P18" s="379"/>
      <c r="Q18" s="380"/>
      <c r="R18" s="380"/>
      <c r="S18" s="380"/>
      <c r="T18" s="380"/>
      <c r="U18" s="380"/>
      <c r="V18" s="381"/>
      <c r="W18" s="379"/>
      <c r="X18" s="380"/>
      <c r="Y18" s="380"/>
      <c r="Z18" s="380"/>
      <c r="AA18" s="380"/>
      <c r="AB18" s="380"/>
      <c r="AC18" s="381"/>
      <c r="AD18" s="379"/>
      <c r="AE18" s="380"/>
      <c r="AF18" s="380"/>
      <c r="AG18" s="380"/>
      <c r="AH18" s="380"/>
      <c r="AI18" s="380"/>
      <c r="AJ18" s="381"/>
      <c r="AK18" s="379"/>
      <c r="AL18" s="380"/>
      <c r="AM18" s="380"/>
      <c r="AN18" s="380"/>
      <c r="AO18" s="380"/>
      <c r="AP18" s="380"/>
      <c r="AQ18" s="381"/>
      <c r="AR18" s="379"/>
      <c r="AS18" s="380"/>
      <c r="AT18" s="380"/>
      <c r="AU18" s="380"/>
      <c r="AV18" s="380"/>
      <c r="AW18" s="380"/>
      <c r="AX18" s="381"/>
      <c r="AY18" s="379"/>
      <c r="AZ18" s="380"/>
      <c r="BA18" s="380"/>
      <c r="BB18" s="380"/>
      <c r="BC18" s="380"/>
      <c r="BD18" s="380"/>
      <c r="BE18" s="381"/>
      <c r="BF18" s="379"/>
      <c r="BG18" s="380"/>
      <c r="BH18" s="380"/>
      <c r="BI18" s="380"/>
      <c r="BJ18" s="380"/>
      <c r="BK18" s="380"/>
      <c r="BL18" s="381"/>
      <c r="BM18" s="379"/>
      <c r="BN18" s="380"/>
      <c r="BO18" s="380"/>
      <c r="BP18" s="380"/>
      <c r="BQ18" s="380"/>
      <c r="BR18" s="380"/>
      <c r="BS18" s="380"/>
      <c r="BT18" s="380"/>
      <c r="BU18" s="380"/>
      <c r="BV18" s="380"/>
      <c r="BW18" s="380"/>
      <c r="BX18" s="380"/>
      <c r="BY18" s="380"/>
      <c r="BZ18" s="380"/>
      <c r="CA18" s="380"/>
      <c r="CB18" s="380"/>
      <c r="CC18" s="380"/>
      <c r="CD18" s="380"/>
      <c r="CE18" s="380"/>
      <c r="CF18" s="380"/>
      <c r="CG18" s="380"/>
      <c r="CH18" s="380"/>
      <c r="CI18" s="380"/>
      <c r="CJ18" s="380"/>
      <c r="CK18" s="380"/>
      <c r="CL18" s="381"/>
      <c r="CM18" s="379"/>
      <c r="CN18" s="380"/>
      <c r="CO18" s="380"/>
      <c r="CP18" s="380"/>
      <c r="CQ18" s="380"/>
      <c r="CR18" s="380"/>
      <c r="CS18" s="380"/>
      <c r="CT18" s="380"/>
      <c r="CU18" s="380"/>
      <c r="CV18" s="380"/>
      <c r="CW18" s="380"/>
      <c r="CX18" s="380"/>
      <c r="CY18" s="380"/>
      <c r="CZ18" s="380"/>
      <c r="DA18" s="380"/>
      <c r="DB18" s="380"/>
      <c r="DC18" s="380"/>
      <c r="DD18" s="381"/>
      <c r="DE18" s="7"/>
    </row>
    <row r="19" spans="1:133" ht="15" customHeight="1">
      <c r="A19" s="6"/>
      <c r="B19" s="353"/>
      <c r="C19" s="354"/>
      <c r="D19" s="354"/>
      <c r="E19" s="354"/>
      <c r="F19" s="354"/>
      <c r="G19" s="354"/>
      <c r="H19" s="355"/>
      <c r="I19" s="353"/>
      <c r="J19" s="354"/>
      <c r="K19" s="354"/>
      <c r="L19" s="354"/>
      <c r="M19" s="354"/>
      <c r="N19" s="354"/>
      <c r="O19" s="355"/>
      <c r="P19" s="465"/>
      <c r="Q19" s="466"/>
      <c r="R19" s="466"/>
      <c r="S19" s="466"/>
      <c r="T19" s="466"/>
      <c r="U19" s="466"/>
      <c r="V19" s="467"/>
      <c r="W19" s="395"/>
      <c r="X19" s="396"/>
      <c r="Y19" s="396"/>
      <c r="Z19" s="396"/>
      <c r="AA19" s="396"/>
      <c r="AB19" s="396"/>
      <c r="AC19" s="397"/>
      <c r="AD19" s="395"/>
      <c r="AE19" s="396"/>
      <c r="AF19" s="396"/>
      <c r="AG19" s="396"/>
      <c r="AH19" s="396"/>
      <c r="AI19" s="396"/>
      <c r="AJ19" s="397"/>
      <c r="AK19" s="395"/>
      <c r="AL19" s="396"/>
      <c r="AM19" s="396"/>
      <c r="AN19" s="396"/>
      <c r="AO19" s="396"/>
      <c r="AP19" s="396"/>
      <c r="AQ19" s="397"/>
      <c r="AR19" s="395"/>
      <c r="AS19" s="396"/>
      <c r="AT19" s="396"/>
      <c r="AU19" s="396"/>
      <c r="AV19" s="396"/>
      <c r="AW19" s="396"/>
      <c r="AX19" s="397"/>
      <c r="AY19" s="395"/>
      <c r="AZ19" s="396"/>
      <c r="BA19" s="396"/>
      <c r="BB19" s="396"/>
      <c r="BC19" s="396"/>
      <c r="BD19" s="396"/>
      <c r="BE19" s="397"/>
      <c r="BF19" s="395"/>
      <c r="BG19" s="396"/>
      <c r="BH19" s="396"/>
      <c r="BI19" s="396"/>
      <c r="BJ19" s="396"/>
      <c r="BK19" s="396"/>
      <c r="BL19" s="397"/>
      <c r="BM19" s="353"/>
      <c r="BN19" s="354"/>
      <c r="BO19" s="354"/>
      <c r="BP19" s="354"/>
      <c r="BQ19" s="354"/>
      <c r="BR19" s="354"/>
      <c r="BS19" s="354"/>
      <c r="BT19" s="354"/>
      <c r="BU19" s="354"/>
      <c r="BV19" s="354"/>
      <c r="BW19" s="354"/>
      <c r="BX19" s="354"/>
      <c r="BY19" s="354"/>
      <c r="BZ19" s="354"/>
      <c r="CA19" s="354"/>
      <c r="CB19" s="354"/>
      <c r="CC19" s="354"/>
      <c r="CD19" s="354"/>
      <c r="CE19" s="354"/>
      <c r="CF19" s="354"/>
      <c r="CG19" s="354"/>
      <c r="CH19" s="354"/>
      <c r="CI19" s="354"/>
      <c r="CJ19" s="354"/>
      <c r="CK19" s="354"/>
      <c r="CL19" s="355"/>
      <c r="CM19" s="353"/>
      <c r="CN19" s="354"/>
      <c r="CO19" s="354"/>
      <c r="CP19" s="354"/>
      <c r="CQ19" s="354"/>
      <c r="CR19" s="354"/>
      <c r="CS19" s="354"/>
      <c r="CT19" s="354"/>
      <c r="CU19" s="354"/>
      <c r="CV19" s="354"/>
      <c r="CW19" s="354"/>
      <c r="CX19" s="354"/>
      <c r="CY19" s="354"/>
      <c r="CZ19" s="354"/>
      <c r="DA19" s="354"/>
      <c r="DB19" s="354"/>
      <c r="DC19" s="354"/>
      <c r="DD19" s="355"/>
      <c r="DE19" s="7"/>
    </row>
    <row r="20" spans="1:133" ht="12.75">
      <c r="A20" s="6"/>
      <c r="B20" s="356"/>
      <c r="C20" s="357"/>
      <c r="D20" s="357"/>
      <c r="E20" s="357"/>
      <c r="F20" s="357"/>
      <c r="G20" s="357"/>
      <c r="H20" s="358"/>
      <c r="I20" s="356"/>
      <c r="J20" s="357"/>
      <c r="K20" s="357"/>
      <c r="L20" s="357"/>
      <c r="M20" s="357"/>
      <c r="N20" s="357"/>
      <c r="O20" s="358"/>
      <c r="P20" s="468"/>
      <c r="Q20" s="469"/>
      <c r="R20" s="469"/>
      <c r="S20" s="469"/>
      <c r="T20" s="469"/>
      <c r="U20" s="469"/>
      <c r="V20" s="470"/>
      <c r="W20" s="398"/>
      <c r="X20" s="399"/>
      <c r="Y20" s="399"/>
      <c r="Z20" s="399"/>
      <c r="AA20" s="399"/>
      <c r="AB20" s="399"/>
      <c r="AC20" s="400"/>
      <c r="AD20" s="398"/>
      <c r="AE20" s="399"/>
      <c r="AF20" s="399"/>
      <c r="AG20" s="399"/>
      <c r="AH20" s="399"/>
      <c r="AI20" s="399"/>
      <c r="AJ20" s="400"/>
      <c r="AK20" s="398"/>
      <c r="AL20" s="399"/>
      <c r="AM20" s="399"/>
      <c r="AN20" s="399"/>
      <c r="AO20" s="399"/>
      <c r="AP20" s="399"/>
      <c r="AQ20" s="400"/>
      <c r="AR20" s="398"/>
      <c r="AS20" s="399"/>
      <c r="AT20" s="399"/>
      <c r="AU20" s="399"/>
      <c r="AV20" s="399"/>
      <c r="AW20" s="399"/>
      <c r="AX20" s="400"/>
      <c r="AY20" s="398"/>
      <c r="AZ20" s="399"/>
      <c r="BA20" s="399"/>
      <c r="BB20" s="399"/>
      <c r="BC20" s="399"/>
      <c r="BD20" s="399"/>
      <c r="BE20" s="400"/>
      <c r="BF20" s="398"/>
      <c r="BG20" s="399"/>
      <c r="BH20" s="399"/>
      <c r="BI20" s="399"/>
      <c r="BJ20" s="399"/>
      <c r="BK20" s="399"/>
      <c r="BL20" s="400"/>
      <c r="BM20" s="356"/>
      <c r="BN20" s="357"/>
      <c r="BO20" s="357"/>
      <c r="BP20" s="357"/>
      <c r="BQ20" s="357"/>
      <c r="BR20" s="357"/>
      <c r="BS20" s="357"/>
      <c r="BT20" s="357"/>
      <c r="BU20" s="357"/>
      <c r="BV20" s="357"/>
      <c r="BW20" s="357"/>
      <c r="BX20" s="357"/>
      <c r="BY20" s="357"/>
      <c r="BZ20" s="357"/>
      <c r="CA20" s="357"/>
      <c r="CB20" s="357"/>
      <c r="CC20" s="357"/>
      <c r="CD20" s="357"/>
      <c r="CE20" s="357"/>
      <c r="CF20" s="357"/>
      <c r="CG20" s="357"/>
      <c r="CH20" s="357"/>
      <c r="CI20" s="357"/>
      <c r="CJ20" s="357"/>
      <c r="CK20" s="357"/>
      <c r="CL20" s="358"/>
      <c r="CM20" s="356"/>
      <c r="CN20" s="357"/>
      <c r="CO20" s="357"/>
      <c r="CP20" s="357"/>
      <c r="CQ20" s="357"/>
      <c r="CR20" s="357"/>
      <c r="CS20" s="357"/>
      <c r="CT20" s="357"/>
      <c r="CU20" s="357"/>
      <c r="CV20" s="357"/>
      <c r="CW20" s="357"/>
      <c r="CX20" s="357"/>
      <c r="CY20" s="357"/>
      <c r="CZ20" s="357"/>
      <c r="DA20" s="357"/>
      <c r="DB20" s="357"/>
      <c r="DC20" s="357"/>
      <c r="DD20" s="358"/>
      <c r="DE20" s="7"/>
    </row>
    <row r="21" spans="1:133" ht="15" customHeight="1">
      <c r="A21" s="3"/>
      <c r="B21" s="382"/>
      <c r="C21" s="383"/>
      <c r="D21" s="383"/>
      <c r="E21" s="383"/>
      <c r="F21" s="383"/>
      <c r="G21" s="383"/>
      <c r="H21" s="384"/>
      <c r="I21" s="382"/>
      <c r="J21" s="383"/>
      <c r="K21" s="383"/>
      <c r="L21" s="383"/>
      <c r="M21" s="383"/>
      <c r="N21" s="383"/>
      <c r="O21" s="384"/>
      <c r="P21" s="459"/>
      <c r="Q21" s="460"/>
      <c r="R21" s="460"/>
      <c r="S21" s="460"/>
      <c r="T21" s="460"/>
      <c r="U21" s="460"/>
      <c r="V21" s="461"/>
      <c r="W21" s="408"/>
      <c r="X21" s="409"/>
      <c r="Y21" s="409"/>
      <c r="Z21" s="409"/>
      <c r="AA21" s="409"/>
      <c r="AB21" s="409"/>
      <c r="AC21" s="410"/>
      <c r="AD21" s="408"/>
      <c r="AE21" s="409"/>
      <c r="AF21" s="409"/>
      <c r="AG21" s="409"/>
      <c r="AH21" s="409"/>
      <c r="AI21" s="409"/>
      <c r="AJ21" s="410"/>
      <c r="AK21" s="408"/>
      <c r="AL21" s="409"/>
      <c r="AM21" s="409"/>
      <c r="AN21" s="409"/>
      <c r="AO21" s="409"/>
      <c r="AP21" s="409"/>
      <c r="AQ21" s="410"/>
      <c r="AR21" s="408"/>
      <c r="AS21" s="409"/>
      <c r="AT21" s="409"/>
      <c r="AU21" s="409"/>
      <c r="AV21" s="409"/>
      <c r="AW21" s="409"/>
      <c r="AX21" s="410"/>
      <c r="AY21" s="408"/>
      <c r="AZ21" s="409"/>
      <c r="BA21" s="409"/>
      <c r="BB21" s="409"/>
      <c r="BC21" s="409"/>
      <c r="BD21" s="409"/>
      <c r="BE21" s="410"/>
      <c r="BF21" s="408"/>
      <c r="BG21" s="409"/>
      <c r="BH21" s="409"/>
      <c r="BI21" s="409"/>
      <c r="BJ21" s="409"/>
      <c r="BK21" s="409"/>
      <c r="BL21" s="410"/>
      <c r="BM21" s="382"/>
      <c r="BN21" s="383"/>
      <c r="BO21" s="383"/>
      <c r="BP21" s="383"/>
      <c r="BQ21" s="383"/>
      <c r="BR21" s="383"/>
      <c r="BS21" s="383"/>
      <c r="BT21" s="383"/>
      <c r="BU21" s="383"/>
      <c r="BV21" s="383"/>
      <c r="BW21" s="383"/>
      <c r="BX21" s="383"/>
      <c r="BY21" s="383"/>
      <c r="BZ21" s="383"/>
      <c r="CA21" s="383"/>
      <c r="CB21" s="383"/>
      <c r="CC21" s="383"/>
      <c r="CD21" s="383"/>
      <c r="CE21" s="383"/>
      <c r="CF21" s="383"/>
      <c r="CG21" s="383"/>
      <c r="CH21" s="383"/>
      <c r="CI21" s="383"/>
      <c r="CJ21" s="383"/>
      <c r="CK21" s="383"/>
      <c r="CL21" s="384"/>
      <c r="CM21" s="382"/>
      <c r="CN21" s="383"/>
      <c r="CO21" s="383"/>
      <c r="CP21" s="383"/>
      <c r="CQ21" s="383"/>
      <c r="CR21" s="383"/>
      <c r="CS21" s="383"/>
      <c r="CT21" s="383"/>
      <c r="CU21" s="383"/>
      <c r="CV21" s="383"/>
      <c r="CW21" s="383"/>
      <c r="CX21" s="383"/>
      <c r="CY21" s="383"/>
      <c r="CZ21" s="383"/>
      <c r="DA21" s="383"/>
      <c r="DB21" s="383"/>
      <c r="DC21" s="383"/>
      <c r="DD21" s="384"/>
      <c r="DE21" s="7"/>
    </row>
    <row r="22" spans="1:133" ht="15" customHeight="1">
      <c r="A22" s="6"/>
      <c r="B22" s="385"/>
      <c r="C22" s="386"/>
      <c r="D22" s="386"/>
      <c r="E22" s="386"/>
      <c r="F22" s="386"/>
      <c r="G22" s="386"/>
      <c r="H22" s="387"/>
      <c r="I22" s="385"/>
      <c r="J22" s="386"/>
      <c r="K22" s="386"/>
      <c r="L22" s="386"/>
      <c r="M22" s="386"/>
      <c r="N22" s="386"/>
      <c r="O22" s="387"/>
      <c r="P22" s="462"/>
      <c r="Q22" s="463"/>
      <c r="R22" s="463"/>
      <c r="S22" s="463"/>
      <c r="T22" s="463"/>
      <c r="U22" s="463"/>
      <c r="V22" s="464"/>
      <c r="W22" s="411"/>
      <c r="X22" s="412"/>
      <c r="Y22" s="412"/>
      <c r="Z22" s="412"/>
      <c r="AA22" s="412"/>
      <c r="AB22" s="412"/>
      <c r="AC22" s="413"/>
      <c r="AD22" s="411"/>
      <c r="AE22" s="412"/>
      <c r="AF22" s="412"/>
      <c r="AG22" s="412"/>
      <c r="AH22" s="412"/>
      <c r="AI22" s="412"/>
      <c r="AJ22" s="413"/>
      <c r="AK22" s="411"/>
      <c r="AL22" s="412"/>
      <c r="AM22" s="412"/>
      <c r="AN22" s="412"/>
      <c r="AO22" s="412"/>
      <c r="AP22" s="412"/>
      <c r="AQ22" s="413"/>
      <c r="AR22" s="411"/>
      <c r="AS22" s="412"/>
      <c r="AT22" s="412"/>
      <c r="AU22" s="412"/>
      <c r="AV22" s="412"/>
      <c r="AW22" s="412"/>
      <c r="AX22" s="413"/>
      <c r="AY22" s="411"/>
      <c r="AZ22" s="412"/>
      <c r="BA22" s="412"/>
      <c r="BB22" s="412"/>
      <c r="BC22" s="412"/>
      <c r="BD22" s="412"/>
      <c r="BE22" s="413"/>
      <c r="BF22" s="411"/>
      <c r="BG22" s="412"/>
      <c r="BH22" s="412"/>
      <c r="BI22" s="412"/>
      <c r="BJ22" s="412"/>
      <c r="BK22" s="412"/>
      <c r="BL22" s="413"/>
      <c r="BM22" s="385"/>
      <c r="BN22" s="386"/>
      <c r="BO22" s="386"/>
      <c r="BP22" s="386"/>
      <c r="BQ22" s="386"/>
      <c r="BR22" s="386"/>
      <c r="BS22" s="386"/>
      <c r="BT22" s="386"/>
      <c r="BU22" s="386"/>
      <c r="BV22" s="386"/>
      <c r="BW22" s="386"/>
      <c r="BX22" s="386"/>
      <c r="BY22" s="386"/>
      <c r="BZ22" s="386"/>
      <c r="CA22" s="386"/>
      <c r="CB22" s="386"/>
      <c r="CC22" s="386"/>
      <c r="CD22" s="386"/>
      <c r="CE22" s="386"/>
      <c r="CF22" s="386"/>
      <c r="CG22" s="386"/>
      <c r="CH22" s="386"/>
      <c r="CI22" s="386"/>
      <c r="CJ22" s="386"/>
      <c r="CK22" s="386"/>
      <c r="CL22" s="387"/>
      <c r="CM22" s="385"/>
      <c r="CN22" s="386"/>
      <c r="CO22" s="386"/>
      <c r="CP22" s="386"/>
      <c r="CQ22" s="386"/>
      <c r="CR22" s="386"/>
      <c r="CS22" s="386"/>
      <c r="CT22" s="386"/>
      <c r="CU22" s="386"/>
      <c r="CV22" s="386"/>
      <c r="CW22" s="386"/>
      <c r="CX22" s="386"/>
      <c r="CY22" s="386"/>
      <c r="CZ22" s="386"/>
      <c r="DA22" s="386"/>
      <c r="DB22" s="386"/>
      <c r="DC22" s="386"/>
      <c r="DD22" s="387"/>
      <c r="DE22" s="7"/>
    </row>
    <row r="23" spans="1:133" ht="15" customHeight="1">
      <c r="A23" s="8"/>
      <c r="B23" s="353"/>
      <c r="C23" s="354"/>
      <c r="D23" s="354"/>
      <c r="E23" s="354"/>
      <c r="F23" s="354"/>
      <c r="G23" s="354"/>
      <c r="H23" s="355"/>
      <c r="I23" s="352"/>
      <c r="J23" s="352"/>
      <c r="K23" s="352"/>
      <c r="L23" s="352"/>
      <c r="M23" s="352"/>
      <c r="N23" s="352"/>
      <c r="O23" s="352"/>
      <c r="P23" s="458"/>
      <c r="Q23" s="458"/>
      <c r="R23" s="458"/>
      <c r="S23" s="458"/>
      <c r="T23" s="458"/>
      <c r="U23" s="458"/>
      <c r="V23" s="458"/>
      <c r="W23" s="395"/>
      <c r="X23" s="396"/>
      <c r="Y23" s="396"/>
      <c r="Z23" s="396"/>
      <c r="AA23" s="396"/>
      <c r="AB23" s="396"/>
      <c r="AC23" s="397"/>
      <c r="AD23" s="395"/>
      <c r="AE23" s="396"/>
      <c r="AF23" s="396"/>
      <c r="AG23" s="396"/>
      <c r="AH23" s="396"/>
      <c r="AI23" s="396"/>
      <c r="AJ23" s="397"/>
      <c r="AK23" s="395"/>
      <c r="AL23" s="396"/>
      <c r="AM23" s="396"/>
      <c r="AN23" s="396"/>
      <c r="AO23" s="396"/>
      <c r="AP23" s="396"/>
      <c r="AQ23" s="397"/>
      <c r="AR23" s="395"/>
      <c r="AS23" s="396"/>
      <c r="AT23" s="396"/>
      <c r="AU23" s="396"/>
      <c r="AV23" s="396"/>
      <c r="AW23" s="396"/>
      <c r="AX23" s="397"/>
      <c r="AY23" s="395"/>
      <c r="AZ23" s="396"/>
      <c r="BA23" s="396"/>
      <c r="BB23" s="396"/>
      <c r="BC23" s="396"/>
      <c r="BD23" s="396"/>
      <c r="BE23" s="397"/>
      <c r="BF23" s="395"/>
      <c r="BG23" s="396"/>
      <c r="BH23" s="396"/>
      <c r="BI23" s="396"/>
      <c r="BJ23" s="396"/>
      <c r="BK23" s="396"/>
      <c r="BL23" s="397"/>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c r="CQ23" s="352"/>
      <c r="CR23" s="352"/>
      <c r="CS23" s="352"/>
      <c r="CT23" s="352"/>
      <c r="CU23" s="352"/>
      <c r="CV23" s="352"/>
      <c r="CW23" s="352"/>
      <c r="CX23" s="352"/>
      <c r="CY23" s="352"/>
      <c r="CZ23" s="352"/>
      <c r="DA23" s="352"/>
      <c r="DB23" s="352"/>
      <c r="DC23" s="352"/>
      <c r="DD23" s="352"/>
      <c r="DE23" s="7"/>
    </row>
    <row r="24" spans="1:133" ht="15" customHeight="1">
      <c r="A24" s="8"/>
      <c r="B24" s="356"/>
      <c r="C24" s="357"/>
      <c r="D24" s="357"/>
      <c r="E24" s="357"/>
      <c r="F24" s="357"/>
      <c r="G24" s="357"/>
      <c r="H24" s="358"/>
      <c r="I24" s="352"/>
      <c r="J24" s="352"/>
      <c r="K24" s="352"/>
      <c r="L24" s="352"/>
      <c r="M24" s="352"/>
      <c r="N24" s="352"/>
      <c r="O24" s="352"/>
      <c r="P24" s="458"/>
      <c r="Q24" s="458"/>
      <c r="R24" s="458"/>
      <c r="S24" s="458"/>
      <c r="T24" s="458"/>
      <c r="U24" s="458"/>
      <c r="V24" s="458"/>
      <c r="W24" s="398"/>
      <c r="X24" s="399"/>
      <c r="Y24" s="399"/>
      <c r="Z24" s="399"/>
      <c r="AA24" s="399"/>
      <c r="AB24" s="399"/>
      <c r="AC24" s="400"/>
      <c r="AD24" s="398"/>
      <c r="AE24" s="399"/>
      <c r="AF24" s="399"/>
      <c r="AG24" s="399"/>
      <c r="AH24" s="399"/>
      <c r="AI24" s="399"/>
      <c r="AJ24" s="400"/>
      <c r="AK24" s="398"/>
      <c r="AL24" s="399"/>
      <c r="AM24" s="399"/>
      <c r="AN24" s="399"/>
      <c r="AO24" s="399"/>
      <c r="AP24" s="399"/>
      <c r="AQ24" s="400"/>
      <c r="AR24" s="398"/>
      <c r="AS24" s="399"/>
      <c r="AT24" s="399"/>
      <c r="AU24" s="399"/>
      <c r="AV24" s="399"/>
      <c r="AW24" s="399"/>
      <c r="AX24" s="400"/>
      <c r="AY24" s="398"/>
      <c r="AZ24" s="399"/>
      <c r="BA24" s="399"/>
      <c r="BB24" s="399"/>
      <c r="BC24" s="399"/>
      <c r="BD24" s="399"/>
      <c r="BE24" s="400"/>
      <c r="BF24" s="398"/>
      <c r="BG24" s="399"/>
      <c r="BH24" s="399"/>
      <c r="BI24" s="399"/>
      <c r="BJ24" s="399"/>
      <c r="BK24" s="399"/>
      <c r="BL24" s="400"/>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c r="CQ24" s="352"/>
      <c r="CR24" s="352"/>
      <c r="CS24" s="352"/>
      <c r="CT24" s="352"/>
      <c r="CU24" s="352"/>
      <c r="CV24" s="352"/>
      <c r="CW24" s="352"/>
      <c r="CX24" s="352"/>
      <c r="CY24" s="352"/>
      <c r="CZ24" s="352"/>
      <c r="DA24" s="352"/>
      <c r="DB24" s="352"/>
      <c r="DC24" s="352"/>
      <c r="DD24" s="352"/>
      <c r="DE24" s="7"/>
    </row>
    <row r="25" spans="1:133" ht="15" customHeight="1">
      <c r="A25" s="3"/>
      <c r="B25" s="382"/>
      <c r="C25" s="383"/>
      <c r="D25" s="383"/>
      <c r="E25" s="383"/>
      <c r="F25" s="383"/>
      <c r="G25" s="383"/>
      <c r="H25" s="384"/>
      <c r="I25" s="351"/>
      <c r="J25" s="351"/>
      <c r="K25" s="351"/>
      <c r="L25" s="351"/>
      <c r="M25" s="351"/>
      <c r="N25" s="351"/>
      <c r="O25" s="351"/>
      <c r="P25" s="457"/>
      <c r="Q25" s="457"/>
      <c r="R25" s="457"/>
      <c r="S25" s="457"/>
      <c r="T25" s="457"/>
      <c r="U25" s="457"/>
      <c r="V25" s="457"/>
      <c r="W25" s="408"/>
      <c r="X25" s="409"/>
      <c r="Y25" s="409"/>
      <c r="Z25" s="409"/>
      <c r="AA25" s="409"/>
      <c r="AB25" s="409"/>
      <c r="AC25" s="410"/>
      <c r="AD25" s="408"/>
      <c r="AE25" s="409"/>
      <c r="AF25" s="409"/>
      <c r="AG25" s="409"/>
      <c r="AH25" s="409"/>
      <c r="AI25" s="409"/>
      <c r="AJ25" s="410"/>
      <c r="AK25" s="408"/>
      <c r="AL25" s="409"/>
      <c r="AM25" s="409"/>
      <c r="AN25" s="409"/>
      <c r="AO25" s="409"/>
      <c r="AP25" s="409"/>
      <c r="AQ25" s="410"/>
      <c r="AR25" s="408"/>
      <c r="AS25" s="409"/>
      <c r="AT25" s="409"/>
      <c r="AU25" s="409"/>
      <c r="AV25" s="409"/>
      <c r="AW25" s="409"/>
      <c r="AX25" s="410"/>
      <c r="AY25" s="408"/>
      <c r="AZ25" s="409"/>
      <c r="BA25" s="409"/>
      <c r="BB25" s="409"/>
      <c r="BC25" s="409"/>
      <c r="BD25" s="409"/>
      <c r="BE25" s="410"/>
      <c r="BF25" s="408"/>
      <c r="BG25" s="409"/>
      <c r="BH25" s="409"/>
      <c r="BI25" s="409"/>
      <c r="BJ25" s="409"/>
      <c r="BK25" s="409"/>
      <c r="BL25" s="410"/>
      <c r="BM25" s="351"/>
      <c r="BN25" s="351"/>
      <c r="BO25" s="351"/>
      <c r="BP25" s="351"/>
      <c r="BQ25" s="351"/>
      <c r="BR25" s="351"/>
      <c r="BS25" s="351"/>
      <c r="BT25" s="351"/>
      <c r="BU25" s="351"/>
      <c r="BV25" s="351"/>
      <c r="BW25" s="351"/>
      <c r="BX25" s="351"/>
      <c r="BY25" s="351"/>
      <c r="BZ25" s="351"/>
      <c r="CA25" s="351"/>
      <c r="CB25" s="351"/>
      <c r="CC25" s="351"/>
      <c r="CD25" s="351"/>
      <c r="CE25" s="351"/>
      <c r="CF25" s="351"/>
      <c r="CG25" s="351"/>
      <c r="CH25" s="351"/>
      <c r="CI25" s="351"/>
      <c r="CJ25" s="351"/>
      <c r="CK25" s="351"/>
      <c r="CL25" s="351"/>
      <c r="CM25" s="351"/>
      <c r="CN25" s="351"/>
      <c r="CO25" s="351"/>
      <c r="CP25" s="351"/>
      <c r="CQ25" s="351"/>
      <c r="CR25" s="351"/>
      <c r="CS25" s="351"/>
      <c r="CT25" s="351"/>
      <c r="CU25" s="351"/>
      <c r="CV25" s="351"/>
      <c r="CW25" s="351"/>
      <c r="CX25" s="351"/>
      <c r="CY25" s="351"/>
      <c r="CZ25" s="351"/>
      <c r="DA25" s="351"/>
      <c r="DB25" s="351"/>
      <c r="DC25" s="351"/>
      <c r="DD25" s="351"/>
      <c r="DE25" s="7"/>
    </row>
    <row r="26" spans="1:133" ht="15" customHeight="1">
      <c r="A26" s="3"/>
      <c r="B26" s="385"/>
      <c r="C26" s="386"/>
      <c r="D26" s="386"/>
      <c r="E26" s="386"/>
      <c r="F26" s="386"/>
      <c r="G26" s="386"/>
      <c r="H26" s="387"/>
      <c r="I26" s="351"/>
      <c r="J26" s="351"/>
      <c r="K26" s="351"/>
      <c r="L26" s="351"/>
      <c r="M26" s="351"/>
      <c r="N26" s="351"/>
      <c r="O26" s="351"/>
      <c r="P26" s="457"/>
      <c r="Q26" s="457"/>
      <c r="R26" s="457"/>
      <c r="S26" s="457"/>
      <c r="T26" s="457"/>
      <c r="U26" s="457"/>
      <c r="V26" s="457"/>
      <c r="W26" s="411"/>
      <c r="X26" s="412"/>
      <c r="Y26" s="412"/>
      <c r="Z26" s="412"/>
      <c r="AA26" s="412"/>
      <c r="AB26" s="412"/>
      <c r="AC26" s="413"/>
      <c r="AD26" s="411"/>
      <c r="AE26" s="412"/>
      <c r="AF26" s="412"/>
      <c r="AG26" s="412"/>
      <c r="AH26" s="412"/>
      <c r="AI26" s="412"/>
      <c r="AJ26" s="413"/>
      <c r="AK26" s="411"/>
      <c r="AL26" s="412"/>
      <c r="AM26" s="412"/>
      <c r="AN26" s="412"/>
      <c r="AO26" s="412"/>
      <c r="AP26" s="412"/>
      <c r="AQ26" s="413"/>
      <c r="AR26" s="411"/>
      <c r="AS26" s="412"/>
      <c r="AT26" s="412"/>
      <c r="AU26" s="412"/>
      <c r="AV26" s="412"/>
      <c r="AW26" s="412"/>
      <c r="AX26" s="413"/>
      <c r="AY26" s="411"/>
      <c r="AZ26" s="412"/>
      <c r="BA26" s="412"/>
      <c r="BB26" s="412"/>
      <c r="BC26" s="412"/>
      <c r="BD26" s="412"/>
      <c r="BE26" s="413"/>
      <c r="BF26" s="411"/>
      <c r="BG26" s="412"/>
      <c r="BH26" s="412"/>
      <c r="BI26" s="412"/>
      <c r="BJ26" s="412"/>
      <c r="BK26" s="412"/>
      <c r="BL26" s="413"/>
      <c r="BM26" s="351"/>
      <c r="BN26" s="351"/>
      <c r="BO26" s="351"/>
      <c r="BP26" s="351"/>
      <c r="BQ26" s="351"/>
      <c r="BR26" s="351"/>
      <c r="BS26" s="351"/>
      <c r="BT26" s="351"/>
      <c r="BU26" s="351"/>
      <c r="BV26" s="351"/>
      <c r="BW26" s="351"/>
      <c r="BX26" s="351"/>
      <c r="BY26" s="351"/>
      <c r="BZ26" s="351"/>
      <c r="CA26" s="351"/>
      <c r="CB26" s="351"/>
      <c r="CC26" s="351"/>
      <c r="CD26" s="351"/>
      <c r="CE26" s="351"/>
      <c r="CF26" s="351"/>
      <c r="CG26" s="351"/>
      <c r="CH26" s="351"/>
      <c r="CI26" s="351"/>
      <c r="CJ26" s="351"/>
      <c r="CK26" s="351"/>
      <c r="CL26" s="351"/>
      <c r="CM26" s="351"/>
      <c r="CN26" s="351"/>
      <c r="CO26" s="351"/>
      <c r="CP26" s="351"/>
      <c r="CQ26" s="351"/>
      <c r="CR26" s="351"/>
      <c r="CS26" s="351"/>
      <c r="CT26" s="351"/>
      <c r="CU26" s="351"/>
      <c r="CV26" s="351"/>
      <c r="CW26" s="351"/>
      <c r="CX26" s="351"/>
      <c r="CY26" s="351"/>
      <c r="CZ26" s="351"/>
      <c r="DA26" s="351"/>
      <c r="DB26" s="351"/>
      <c r="DC26" s="351"/>
      <c r="DD26" s="351"/>
      <c r="DE26" s="7"/>
    </row>
    <row r="27" spans="1:133" ht="15" customHeight="1">
      <c r="A27" s="3"/>
      <c r="B27" s="353"/>
      <c r="C27" s="354"/>
      <c r="D27" s="354"/>
      <c r="E27" s="354"/>
      <c r="F27" s="354"/>
      <c r="G27" s="354"/>
      <c r="H27" s="355"/>
      <c r="I27" s="352"/>
      <c r="J27" s="352"/>
      <c r="K27" s="352"/>
      <c r="L27" s="352"/>
      <c r="M27" s="352"/>
      <c r="N27" s="352"/>
      <c r="O27" s="352"/>
      <c r="P27" s="458"/>
      <c r="Q27" s="458"/>
      <c r="R27" s="458"/>
      <c r="S27" s="458"/>
      <c r="T27" s="458"/>
      <c r="U27" s="458"/>
      <c r="V27" s="458"/>
      <c r="W27" s="395"/>
      <c r="X27" s="396"/>
      <c r="Y27" s="396"/>
      <c r="Z27" s="396"/>
      <c r="AA27" s="396"/>
      <c r="AB27" s="396"/>
      <c r="AC27" s="397"/>
      <c r="AD27" s="395"/>
      <c r="AE27" s="396"/>
      <c r="AF27" s="396"/>
      <c r="AG27" s="396"/>
      <c r="AH27" s="396"/>
      <c r="AI27" s="396"/>
      <c r="AJ27" s="397"/>
      <c r="AK27" s="395"/>
      <c r="AL27" s="396"/>
      <c r="AM27" s="396"/>
      <c r="AN27" s="396"/>
      <c r="AO27" s="396"/>
      <c r="AP27" s="396"/>
      <c r="AQ27" s="397"/>
      <c r="AR27" s="395"/>
      <c r="AS27" s="396"/>
      <c r="AT27" s="396"/>
      <c r="AU27" s="396"/>
      <c r="AV27" s="396"/>
      <c r="AW27" s="396"/>
      <c r="AX27" s="397"/>
      <c r="AY27" s="395"/>
      <c r="AZ27" s="396"/>
      <c r="BA27" s="396"/>
      <c r="BB27" s="396"/>
      <c r="BC27" s="396"/>
      <c r="BD27" s="396"/>
      <c r="BE27" s="397"/>
      <c r="BF27" s="395"/>
      <c r="BG27" s="396"/>
      <c r="BH27" s="396"/>
      <c r="BI27" s="396"/>
      <c r="BJ27" s="396"/>
      <c r="BK27" s="396"/>
      <c r="BL27" s="397"/>
      <c r="BM27" s="416"/>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c r="CQ27" s="352"/>
      <c r="CR27" s="352"/>
      <c r="CS27" s="352"/>
      <c r="CT27" s="352"/>
      <c r="CU27" s="352"/>
      <c r="CV27" s="352"/>
      <c r="CW27" s="352"/>
      <c r="CX27" s="352"/>
      <c r="CY27" s="352"/>
      <c r="CZ27" s="352"/>
      <c r="DA27" s="352"/>
      <c r="DB27" s="352"/>
      <c r="DC27" s="352"/>
      <c r="DD27" s="352"/>
      <c r="DE27" s="24"/>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row>
    <row r="28" spans="1:133" ht="15" customHeight="1">
      <c r="A28" s="3"/>
      <c r="B28" s="356"/>
      <c r="C28" s="357"/>
      <c r="D28" s="357"/>
      <c r="E28" s="357"/>
      <c r="F28" s="357"/>
      <c r="G28" s="357"/>
      <c r="H28" s="358"/>
      <c r="I28" s="352"/>
      <c r="J28" s="352"/>
      <c r="K28" s="352"/>
      <c r="L28" s="352"/>
      <c r="M28" s="352"/>
      <c r="N28" s="352"/>
      <c r="O28" s="352"/>
      <c r="P28" s="458"/>
      <c r="Q28" s="458"/>
      <c r="R28" s="458"/>
      <c r="S28" s="458"/>
      <c r="T28" s="458"/>
      <c r="U28" s="458"/>
      <c r="V28" s="458"/>
      <c r="W28" s="398"/>
      <c r="X28" s="399"/>
      <c r="Y28" s="399"/>
      <c r="Z28" s="399"/>
      <c r="AA28" s="399"/>
      <c r="AB28" s="399"/>
      <c r="AC28" s="400"/>
      <c r="AD28" s="398"/>
      <c r="AE28" s="399"/>
      <c r="AF28" s="399"/>
      <c r="AG28" s="399"/>
      <c r="AH28" s="399"/>
      <c r="AI28" s="399"/>
      <c r="AJ28" s="400"/>
      <c r="AK28" s="398"/>
      <c r="AL28" s="399"/>
      <c r="AM28" s="399"/>
      <c r="AN28" s="399"/>
      <c r="AO28" s="399"/>
      <c r="AP28" s="399"/>
      <c r="AQ28" s="400"/>
      <c r="AR28" s="398"/>
      <c r="AS28" s="399"/>
      <c r="AT28" s="399"/>
      <c r="AU28" s="399"/>
      <c r="AV28" s="399"/>
      <c r="AW28" s="399"/>
      <c r="AX28" s="400"/>
      <c r="AY28" s="398"/>
      <c r="AZ28" s="399"/>
      <c r="BA28" s="399"/>
      <c r="BB28" s="399"/>
      <c r="BC28" s="399"/>
      <c r="BD28" s="399"/>
      <c r="BE28" s="400"/>
      <c r="BF28" s="398"/>
      <c r="BG28" s="399"/>
      <c r="BH28" s="399"/>
      <c r="BI28" s="399"/>
      <c r="BJ28" s="399"/>
      <c r="BK28" s="399"/>
      <c r="BL28" s="400"/>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c r="CQ28" s="352"/>
      <c r="CR28" s="352"/>
      <c r="CS28" s="352"/>
      <c r="CT28" s="352"/>
      <c r="CU28" s="352"/>
      <c r="CV28" s="352"/>
      <c r="CW28" s="352"/>
      <c r="CX28" s="352"/>
      <c r="CY28" s="352"/>
      <c r="CZ28" s="352"/>
      <c r="DA28" s="352"/>
      <c r="DB28" s="352"/>
      <c r="DC28" s="352"/>
      <c r="DD28" s="352"/>
      <c r="DE28" s="7"/>
    </row>
    <row r="29" spans="1:133" ht="15" customHeight="1">
      <c r="A29" s="8"/>
      <c r="B29" s="382"/>
      <c r="C29" s="383"/>
      <c r="D29" s="383"/>
      <c r="E29" s="383"/>
      <c r="F29" s="383"/>
      <c r="G29" s="383"/>
      <c r="H29" s="384"/>
      <c r="I29" s="351"/>
      <c r="J29" s="351"/>
      <c r="K29" s="351"/>
      <c r="L29" s="351"/>
      <c r="M29" s="351"/>
      <c r="N29" s="351"/>
      <c r="O29" s="351"/>
      <c r="P29" s="457"/>
      <c r="Q29" s="457"/>
      <c r="R29" s="457"/>
      <c r="S29" s="457"/>
      <c r="T29" s="457"/>
      <c r="U29" s="457"/>
      <c r="V29" s="457"/>
      <c r="W29" s="408"/>
      <c r="X29" s="409"/>
      <c r="Y29" s="409"/>
      <c r="Z29" s="409"/>
      <c r="AA29" s="409"/>
      <c r="AB29" s="409"/>
      <c r="AC29" s="410"/>
      <c r="AD29" s="408"/>
      <c r="AE29" s="409"/>
      <c r="AF29" s="409"/>
      <c r="AG29" s="409"/>
      <c r="AH29" s="409"/>
      <c r="AI29" s="409"/>
      <c r="AJ29" s="410"/>
      <c r="AK29" s="408"/>
      <c r="AL29" s="409"/>
      <c r="AM29" s="409"/>
      <c r="AN29" s="409"/>
      <c r="AO29" s="409"/>
      <c r="AP29" s="409"/>
      <c r="AQ29" s="410"/>
      <c r="AR29" s="408"/>
      <c r="AS29" s="409"/>
      <c r="AT29" s="409"/>
      <c r="AU29" s="409"/>
      <c r="AV29" s="409"/>
      <c r="AW29" s="409"/>
      <c r="AX29" s="410"/>
      <c r="AY29" s="408"/>
      <c r="AZ29" s="409"/>
      <c r="BA29" s="409"/>
      <c r="BB29" s="409"/>
      <c r="BC29" s="409"/>
      <c r="BD29" s="409"/>
      <c r="BE29" s="410"/>
      <c r="BF29" s="408"/>
      <c r="BG29" s="409"/>
      <c r="BH29" s="409"/>
      <c r="BI29" s="409"/>
      <c r="BJ29" s="409"/>
      <c r="BK29" s="409"/>
      <c r="BL29" s="410"/>
      <c r="BM29" s="351"/>
      <c r="BN29" s="351"/>
      <c r="BO29" s="351"/>
      <c r="BP29" s="351"/>
      <c r="BQ29" s="351"/>
      <c r="BR29" s="351"/>
      <c r="BS29" s="351"/>
      <c r="BT29" s="351"/>
      <c r="BU29" s="351"/>
      <c r="BV29" s="351"/>
      <c r="BW29" s="351"/>
      <c r="BX29" s="351"/>
      <c r="BY29" s="351"/>
      <c r="BZ29" s="351"/>
      <c r="CA29" s="351"/>
      <c r="CB29" s="351"/>
      <c r="CC29" s="351"/>
      <c r="CD29" s="351"/>
      <c r="CE29" s="351"/>
      <c r="CF29" s="351"/>
      <c r="CG29" s="351"/>
      <c r="CH29" s="351"/>
      <c r="CI29" s="351"/>
      <c r="CJ29" s="351"/>
      <c r="CK29" s="351"/>
      <c r="CL29" s="351"/>
      <c r="CM29" s="351"/>
      <c r="CN29" s="351"/>
      <c r="CO29" s="351"/>
      <c r="CP29" s="351"/>
      <c r="CQ29" s="351"/>
      <c r="CR29" s="351"/>
      <c r="CS29" s="351"/>
      <c r="CT29" s="351"/>
      <c r="CU29" s="351"/>
      <c r="CV29" s="351"/>
      <c r="CW29" s="351"/>
      <c r="CX29" s="351"/>
      <c r="CY29" s="351"/>
      <c r="CZ29" s="351"/>
      <c r="DA29" s="351"/>
      <c r="DB29" s="351"/>
      <c r="DC29" s="351"/>
      <c r="DD29" s="351"/>
      <c r="DE29" s="7"/>
    </row>
    <row r="30" spans="1:133" ht="15" customHeight="1">
      <c r="A30" s="6"/>
      <c r="B30" s="385"/>
      <c r="C30" s="386"/>
      <c r="D30" s="386"/>
      <c r="E30" s="386"/>
      <c r="F30" s="386"/>
      <c r="G30" s="386"/>
      <c r="H30" s="387"/>
      <c r="I30" s="351"/>
      <c r="J30" s="351"/>
      <c r="K30" s="351"/>
      <c r="L30" s="351"/>
      <c r="M30" s="351"/>
      <c r="N30" s="351"/>
      <c r="O30" s="351"/>
      <c r="P30" s="457"/>
      <c r="Q30" s="457"/>
      <c r="R30" s="457"/>
      <c r="S30" s="457"/>
      <c r="T30" s="457"/>
      <c r="U30" s="457"/>
      <c r="V30" s="457"/>
      <c r="W30" s="411"/>
      <c r="X30" s="412"/>
      <c r="Y30" s="412"/>
      <c r="Z30" s="412"/>
      <c r="AA30" s="412"/>
      <c r="AB30" s="412"/>
      <c r="AC30" s="413"/>
      <c r="AD30" s="411"/>
      <c r="AE30" s="412"/>
      <c r="AF30" s="412"/>
      <c r="AG30" s="412"/>
      <c r="AH30" s="412"/>
      <c r="AI30" s="412"/>
      <c r="AJ30" s="413"/>
      <c r="AK30" s="411"/>
      <c r="AL30" s="412"/>
      <c r="AM30" s="412"/>
      <c r="AN30" s="412"/>
      <c r="AO30" s="412"/>
      <c r="AP30" s="412"/>
      <c r="AQ30" s="413"/>
      <c r="AR30" s="411"/>
      <c r="AS30" s="412"/>
      <c r="AT30" s="412"/>
      <c r="AU30" s="412"/>
      <c r="AV30" s="412"/>
      <c r="AW30" s="412"/>
      <c r="AX30" s="413"/>
      <c r="AY30" s="411"/>
      <c r="AZ30" s="412"/>
      <c r="BA30" s="412"/>
      <c r="BB30" s="412"/>
      <c r="BC30" s="412"/>
      <c r="BD30" s="412"/>
      <c r="BE30" s="413"/>
      <c r="BF30" s="411"/>
      <c r="BG30" s="412"/>
      <c r="BH30" s="412"/>
      <c r="BI30" s="412"/>
      <c r="BJ30" s="412"/>
      <c r="BK30" s="412"/>
      <c r="BL30" s="413"/>
      <c r="BM30" s="351"/>
      <c r="BN30" s="351"/>
      <c r="BO30" s="351"/>
      <c r="BP30" s="351"/>
      <c r="BQ30" s="351"/>
      <c r="BR30" s="351"/>
      <c r="BS30" s="351"/>
      <c r="BT30" s="351"/>
      <c r="BU30" s="351"/>
      <c r="BV30" s="351"/>
      <c r="BW30" s="351"/>
      <c r="BX30" s="351"/>
      <c r="BY30" s="351"/>
      <c r="BZ30" s="351"/>
      <c r="CA30" s="351"/>
      <c r="CB30" s="351"/>
      <c r="CC30" s="351"/>
      <c r="CD30" s="351"/>
      <c r="CE30" s="351"/>
      <c r="CF30" s="351"/>
      <c r="CG30" s="351"/>
      <c r="CH30" s="351"/>
      <c r="CI30" s="351"/>
      <c r="CJ30" s="351"/>
      <c r="CK30" s="351"/>
      <c r="CL30" s="351"/>
      <c r="CM30" s="351"/>
      <c r="CN30" s="351"/>
      <c r="CO30" s="351"/>
      <c r="CP30" s="351"/>
      <c r="CQ30" s="351"/>
      <c r="CR30" s="351"/>
      <c r="CS30" s="351"/>
      <c r="CT30" s="351"/>
      <c r="CU30" s="351"/>
      <c r="CV30" s="351"/>
      <c r="CW30" s="351"/>
      <c r="CX30" s="351"/>
      <c r="CY30" s="351"/>
      <c r="CZ30" s="351"/>
      <c r="DA30" s="351"/>
      <c r="DB30" s="351"/>
      <c r="DC30" s="351"/>
      <c r="DD30" s="351"/>
      <c r="DE30" s="7"/>
    </row>
    <row r="31" spans="1:133" ht="15" customHeight="1">
      <c r="A31" s="3"/>
      <c r="B31" s="353"/>
      <c r="C31" s="354"/>
      <c r="D31" s="354"/>
      <c r="E31" s="354"/>
      <c r="F31" s="354"/>
      <c r="G31" s="354"/>
      <c r="H31" s="355"/>
      <c r="I31" s="352"/>
      <c r="J31" s="352"/>
      <c r="K31" s="352"/>
      <c r="L31" s="352"/>
      <c r="M31" s="352"/>
      <c r="N31" s="352"/>
      <c r="O31" s="352"/>
      <c r="P31" s="458"/>
      <c r="Q31" s="458"/>
      <c r="R31" s="458"/>
      <c r="S31" s="458"/>
      <c r="T31" s="458"/>
      <c r="U31" s="458"/>
      <c r="V31" s="458"/>
      <c r="W31" s="395"/>
      <c r="X31" s="396"/>
      <c r="Y31" s="396"/>
      <c r="Z31" s="396"/>
      <c r="AA31" s="396"/>
      <c r="AB31" s="396"/>
      <c r="AC31" s="397"/>
      <c r="AD31" s="395"/>
      <c r="AE31" s="396"/>
      <c r="AF31" s="396"/>
      <c r="AG31" s="396"/>
      <c r="AH31" s="396"/>
      <c r="AI31" s="396"/>
      <c r="AJ31" s="397"/>
      <c r="AK31" s="395"/>
      <c r="AL31" s="396"/>
      <c r="AM31" s="396"/>
      <c r="AN31" s="396"/>
      <c r="AO31" s="396"/>
      <c r="AP31" s="396"/>
      <c r="AQ31" s="397"/>
      <c r="AR31" s="395"/>
      <c r="AS31" s="396"/>
      <c r="AT31" s="396"/>
      <c r="AU31" s="396"/>
      <c r="AV31" s="396"/>
      <c r="AW31" s="396"/>
      <c r="AX31" s="397"/>
      <c r="AY31" s="395"/>
      <c r="AZ31" s="396"/>
      <c r="BA31" s="396"/>
      <c r="BB31" s="396"/>
      <c r="BC31" s="396"/>
      <c r="BD31" s="396"/>
      <c r="BE31" s="397"/>
      <c r="BF31" s="395"/>
      <c r="BG31" s="396"/>
      <c r="BH31" s="396"/>
      <c r="BI31" s="396"/>
      <c r="BJ31" s="396"/>
      <c r="BK31" s="396"/>
      <c r="BL31" s="397"/>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c r="CQ31" s="352"/>
      <c r="CR31" s="352"/>
      <c r="CS31" s="352"/>
      <c r="CT31" s="352"/>
      <c r="CU31" s="352"/>
      <c r="CV31" s="352"/>
      <c r="CW31" s="352"/>
      <c r="CX31" s="352"/>
      <c r="CY31" s="352"/>
      <c r="CZ31" s="352"/>
      <c r="DA31" s="352"/>
      <c r="DB31" s="352"/>
      <c r="DC31" s="352"/>
      <c r="DD31" s="352"/>
      <c r="DE31" s="7"/>
    </row>
    <row r="32" spans="1:133" ht="15" customHeight="1">
      <c r="A32" s="6"/>
      <c r="B32" s="356"/>
      <c r="C32" s="357"/>
      <c r="D32" s="357"/>
      <c r="E32" s="357"/>
      <c r="F32" s="357"/>
      <c r="G32" s="357"/>
      <c r="H32" s="358"/>
      <c r="I32" s="352"/>
      <c r="J32" s="352"/>
      <c r="K32" s="352"/>
      <c r="L32" s="352"/>
      <c r="M32" s="352"/>
      <c r="N32" s="352"/>
      <c r="O32" s="352"/>
      <c r="P32" s="458"/>
      <c r="Q32" s="458"/>
      <c r="R32" s="458"/>
      <c r="S32" s="458"/>
      <c r="T32" s="458"/>
      <c r="U32" s="458"/>
      <c r="V32" s="458"/>
      <c r="W32" s="398"/>
      <c r="X32" s="399"/>
      <c r="Y32" s="399"/>
      <c r="Z32" s="399"/>
      <c r="AA32" s="399"/>
      <c r="AB32" s="399"/>
      <c r="AC32" s="400"/>
      <c r="AD32" s="398"/>
      <c r="AE32" s="399"/>
      <c r="AF32" s="399"/>
      <c r="AG32" s="399"/>
      <c r="AH32" s="399"/>
      <c r="AI32" s="399"/>
      <c r="AJ32" s="400"/>
      <c r="AK32" s="398"/>
      <c r="AL32" s="399"/>
      <c r="AM32" s="399"/>
      <c r="AN32" s="399"/>
      <c r="AO32" s="399"/>
      <c r="AP32" s="399"/>
      <c r="AQ32" s="400"/>
      <c r="AR32" s="398"/>
      <c r="AS32" s="399"/>
      <c r="AT32" s="399"/>
      <c r="AU32" s="399"/>
      <c r="AV32" s="399"/>
      <c r="AW32" s="399"/>
      <c r="AX32" s="400"/>
      <c r="AY32" s="398"/>
      <c r="AZ32" s="399"/>
      <c r="BA32" s="399"/>
      <c r="BB32" s="399"/>
      <c r="BC32" s="399"/>
      <c r="BD32" s="399"/>
      <c r="BE32" s="400"/>
      <c r="BF32" s="398"/>
      <c r="BG32" s="399"/>
      <c r="BH32" s="399"/>
      <c r="BI32" s="399"/>
      <c r="BJ32" s="399"/>
      <c r="BK32" s="399"/>
      <c r="BL32" s="400"/>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c r="CQ32" s="352"/>
      <c r="CR32" s="352"/>
      <c r="CS32" s="352"/>
      <c r="CT32" s="352"/>
      <c r="CU32" s="352"/>
      <c r="CV32" s="352"/>
      <c r="CW32" s="352"/>
      <c r="CX32" s="352"/>
      <c r="CY32" s="352"/>
      <c r="CZ32" s="352"/>
      <c r="DA32" s="352"/>
      <c r="DB32" s="352"/>
      <c r="DC32" s="352"/>
      <c r="DD32" s="352"/>
      <c r="DE32" s="7"/>
    </row>
    <row r="33" spans="1:109" ht="12.75">
      <c r="A33" s="6"/>
      <c r="B33" s="382"/>
      <c r="C33" s="383"/>
      <c r="D33" s="383"/>
      <c r="E33" s="383"/>
      <c r="F33" s="383"/>
      <c r="G33" s="383"/>
      <c r="H33" s="384"/>
      <c r="I33" s="351"/>
      <c r="J33" s="351"/>
      <c r="K33" s="351"/>
      <c r="L33" s="351"/>
      <c r="M33" s="351"/>
      <c r="N33" s="351"/>
      <c r="O33" s="351"/>
      <c r="P33" s="457"/>
      <c r="Q33" s="457"/>
      <c r="R33" s="457"/>
      <c r="S33" s="457"/>
      <c r="T33" s="457"/>
      <c r="U33" s="457"/>
      <c r="V33" s="457"/>
      <c r="W33" s="408"/>
      <c r="X33" s="409"/>
      <c r="Y33" s="409"/>
      <c r="Z33" s="409"/>
      <c r="AA33" s="409"/>
      <c r="AB33" s="409"/>
      <c r="AC33" s="410"/>
      <c r="AD33" s="408"/>
      <c r="AE33" s="409"/>
      <c r="AF33" s="409"/>
      <c r="AG33" s="409"/>
      <c r="AH33" s="409"/>
      <c r="AI33" s="409"/>
      <c r="AJ33" s="410"/>
      <c r="AK33" s="408"/>
      <c r="AL33" s="409"/>
      <c r="AM33" s="409"/>
      <c r="AN33" s="409"/>
      <c r="AO33" s="409"/>
      <c r="AP33" s="409"/>
      <c r="AQ33" s="410"/>
      <c r="AR33" s="408"/>
      <c r="AS33" s="409"/>
      <c r="AT33" s="409"/>
      <c r="AU33" s="409"/>
      <c r="AV33" s="409"/>
      <c r="AW33" s="409"/>
      <c r="AX33" s="410"/>
      <c r="AY33" s="408"/>
      <c r="AZ33" s="409"/>
      <c r="BA33" s="409"/>
      <c r="BB33" s="409"/>
      <c r="BC33" s="409"/>
      <c r="BD33" s="409"/>
      <c r="BE33" s="410"/>
      <c r="BF33" s="408"/>
      <c r="BG33" s="409"/>
      <c r="BH33" s="409"/>
      <c r="BI33" s="409"/>
      <c r="BJ33" s="409"/>
      <c r="BK33" s="409"/>
      <c r="BL33" s="410"/>
      <c r="BM33" s="351"/>
      <c r="BN33" s="351"/>
      <c r="BO33" s="351"/>
      <c r="BP33" s="351"/>
      <c r="BQ33" s="351"/>
      <c r="BR33" s="351"/>
      <c r="BS33" s="351"/>
      <c r="BT33" s="351"/>
      <c r="BU33" s="351"/>
      <c r="BV33" s="351"/>
      <c r="BW33" s="351"/>
      <c r="BX33" s="351"/>
      <c r="BY33" s="351"/>
      <c r="BZ33" s="351"/>
      <c r="CA33" s="351"/>
      <c r="CB33" s="351"/>
      <c r="CC33" s="351"/>
      <c r="CD33" s="351"/>
      <c r="CE33" s="351"/>
      <c r="CF33" s="351"/>
      <c r="CG33" s="351"/>
      <c r="CH33" s="351"/>
      <c r="CI33" s="351"/>
      <c r="CJ33" s="351"/>
      <c r="CK33" s="351"/>
      <c r="CL33" s="351"/>
      <c r="CM33" s="351"/>
      <c r="CN33" s="351"/>
      <c r="CO33" s="351"/>
      <c r="CP33" s="351"/>
      <c r="CQ33" s="351"/>
      <c r="CR33" s="351"/>
      <c r="CS33" s="351"/>
      <c r="CT33" s="351"/>
      <c r="CU33" s="351"/>
      <c r="CV33" s="351"/>
      <c r="CW33" s="351"/>
      <c r="CX33" s="351"/>
      <c r="CY33" s="351"/>
      <c r="CZ33" s="351"/>
      <c r="DA33" s="351"/>
      <c r="DB33" s="351"/>
      <c r="DC33" s="351"/>
      <c r="DD33" s="351"/>
      <c r="DE33" s="7"/>
    </row>
    <row r="34" spans="1:109" ht="15" customHeight="1">
      <c r="A34" s="3"/>
      <c r="B34" s="385"/>
      <c r="C34" s="386"/>
      <c r="D34" s="386"/>
      <c r="E34" s="386"/>
      <c r="F34" s="386"/>
      <c r="G34" s="386"/>
      <c r="H34" s="387"/>
      <c r="I34" s="351"/>
      <c r="J34" s="351"/>
      <c r="K34" s="351"/>
      <c r="L34" s="351"/>
      <c r="M34" s="351"/>
      <c r="N34" s="351"/>
      <c r="O34" s="351"/>
      <c r="P34" s="457"/>
      <c r="Q34" s="457"/>
      <c r="R34" s="457"/>
      <c r="S34" s="457"/>
      <c r="T34" s="457"/>
      <c r="U34" s="457"/>
      <c r="V34" s="457"/>
      <c r="W34" s="411"/>
      <c r="X34" s="412"/>
      <c r="Y34" s="412"/>
      <c r="Z34" s="412"/>
      <c r="AA34" s="412"/>
      <c r="AB34" s="412"/>
      <c r="AC34" s="413"/>
      <c r="AD34" s="411"/>
      <c r="AE34" s="412"/>
      <c r="AF34" s="412"/>
      <c r="AG34" s="412"/>
      <c r="AH34" s="412"/>
      <c r="AI34" s="412"/>
      <c r="AJ34" s="413"/>
      <c r="AK34" s="411"/>
      <c r="AL34" s="412"/>
      <c r="AM34" s="412"/>
      <c r="AN34" s="412"/>
      <c r="AO34" s="412"/>
      <c r="AP34" s="412"/>
      <c r="AQ34" s="413"/>
      <c r="AR34" s="411"/>
      <c r="AS34" s="412"/>
      <c r="AT34" s="412"/>
      <c r="AU34" s="412"/>
      <c r="AV34" s="412"/>
      <c r="AW34" s="412"/>
      <c r="AX34" s="413"/>
      <c r="AY34" s="411"/>
      <c r="AZ34" s="412"/>
      <c r="BA34" s="412"/>
      <c r="BB34" s="412"/>
      <c r="BC34" s="412"/>
      <c r="BD34" s="412"/>
      <c r="BE34" s="413"/>
      <c r="BF34" s="411"/>
      <c r="BG34" s="412"/>
      <c r="BH34" s="412"/>
      <c r="BI34" s="412"/>
      <c r="BJ34" s="412"/>
      <c r="BK34" s="412"/>
      <c r="BL34" s="413"/>
      <c r="BM34" s="351"/>
      <c r="BN34" s="351"/>
      <c r="BO34" s="351"/>
      <c r="BP34" s="351"/>
      <c r="BQ34" s="351"/>
      <c r="BR34" s="351"/>
      <c r="BS34" s="351"/>
      <c r="BT34" s="351"/>
      <c r="BU34" s="351"/>
      <c r="BV34" s="351"/>
      <c r="BW34" s="351"/>
      <c r="BX34" s="351"/>
      <c r="BY34" s="351"/>
      <c r="BZ34" s="351"/>
      <c r="CA34" s="351"/>
      <c r="CB34" s="351"/>
      <c r="CC34" s="351"/>
      <c r="CD34" s="351"/>
      <c r="CE34" s="351"/>
      <c r="CF34" s="351"/>
      <c r="CG34" s="351"/>
      <c r="CH34" s="351"/>
      <c r="CI34" s="351"/>
      <c r="CJ34" s="351"/>
      <c r="CK34" s="351"/>
      <c r="CL34" s="351"/>
      <c r="CM34" s="351"/>
      <c r="CN34" s="351"/>
      <c r="CO34" s="351"/>
      <c r="CP34" s="351"/>
      <c r="CQ34" s="351"/>
      <c r="CR34" s="351"/>
      <c r="CS34" s="351"/>
      <c r="CT34" s="351"/>
      <c r="CU34" s="351"/>
      <c r="CV34" s="351"/>
      <c r="CW34" s="351"/>
      <c r="CX34" s="351"/>
      <c r="CY34" s="351"/>
      <c r="CZ34" s="351"/>
      <c r="DA34" s="351"/>
      <c r="DB34" s="351"/>
      <c r="DC34" s="351"/>
      <c r="DD34" s="351"/>
      <c r="DE34" s="7"/>
    </row>
    <row r="35" spans="1:109" ht="15" customHeight="1">
      <c r="A35" s="6"/>
      <c r="B35" s="353"/>
      <c r="C35" s="354"/>
      <c r="D35" s="354"/>
      <c r="E35" s="354"/>
      <c r="F35" s="354"/>
      <c r="G35" s="354"/>
      <c r="H35" s="355"/>
      <c r="I35" s="352"/>
      <c r="J35" s="352"/>
      <c r="K35" s="352"/>
      <c r="L35" s="352"/>
      <c r="M35" s="352"/>
      <c r="N35" s="352"/>
      <c r="O35" s="352"/>
      <c r="P35" s="458"/>
      <c r="Q35" s="458"/>
      <c r="R35" s="458"/>
      <c r="S35" s="458"/>
      <c r="T35" s="458"/>
      <c r="U35" s="458"/>
      <c r="V35" s="458"/>
      <c r="W35" s="395"/>
      <c r="X35" s="396"/>
      <c r="Y35" s="396"/>
      <c r="Z35" s="396"/>
      <c r="AA35" s="396"/>
      <c r="AB35" s="396"/>
      <c r="AC35" s="397"/>
      <c r="AD35" s="395"/>
      <c r="AE35" s="396"/>
      <c r="AF35" s="396"/>
      <c r="AG35" s="396"/>
      <c r="AH35" s="396"/>
      <c r="AI35" s="396"/>
      <c r="AJ35" s="397"/>
      <c r="AK35" s="395"/>
      <c r="AL35" s="396"/>
      <c r="AM35" s="396"/>
      <c r="AN35" s="396"/>
      <c r="AO35" s="396"/>
      <c r="AP35" s="396"/>
      <c r="AQ35" s="397"/>
      <c r="AR35" s="395"/>
      <c r="AS35" s="396"/>
      <c r="AT35" s="396"/>
      <c r="AU35" s="396"/>
      <c r="AV35" s="396"/>
      <c r="AW35" s="396"/>
      <c r="AX35" s="397"/>
      <c r="AY35" s="395"/>
      <c r="AZ35" s="396"/>
      <c r="BA35" s="396"/>
      <c r="BB35" s="396"/>
      <c r="BC35" s="396"/>
      <c r="BD35" s="396"/>
      <c r="BE35" s="397"/>
      <c r="BF35" s="395"/>
      <c r="BG35" s="396"/>
      <c r="BH35" s="396"/>
      <c r="BI35" s="396"/>
      <c r="BJ35" s="396"/>
      <c r="BK35" s="396"/>
      <c r="BL35" s="397"/>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c r="CQ35" s="352"/>
      <c r="CR35" s="352"/>
      <c r="CS35" s="352"/>
      <c r="CT35" s="352"/>
      <c r="CU35" s="352"/>
      <c r="CV35" s="352"/>
      <c r="CW35" s="352"/>
      <c r="CX35" s="352"/>
      <c r="CY35" s="352"/>
      <c r="CZ35" s="352"/>
      <c r="DA35" s="352"/>
      <c r="DB35" s="352"/>
      <c r="DC35" s="352"/>
      <c r="DD35" s="352"/>
      <c r="DE35" s="7"/>
    </row>
    <row r="36" spans="1:109" ht="15" customHeight="1">
      <c r="A36" s="8"/>
      <c r="B36" s="356"/>
      <c r="C36" s="357"/>
      <c r="D36" s="357"/>
      <c r="E36" s="357"/>
      <c r="F36" s="357"/>
      <c r="G36" s="357"/>
      <c r="H36" s="358"/>
      <c r="I36" s="352"/>
      <c r="J36" s="352"/>
      <c r="K36" s="352"/>
      <c r="L36" s="352"/>
      <c r="M36" s="352"/>
      <c r="N36" s="352"/>
      <c r="O36" s="352"/>
      <c r="P36" s="458"/>
      <c r="Q36" s="458"/>
      <c r="R36" s="458"/>
      <c r="S36" s="458"/>
      <c r="T36" s="458"/>
      <c r="U36" s="458"/>
      <c r="V36" s="458"/>
      <c r="W36" s="398"/>
      <c r="X36" s="399"/>
      <c r="Y36" s="399"/>
      <c r="Z36" s="399"/>
      <c r="AA36" s="399"/>
      <c r="AB36" s="399"/>
      <c r="AC36" s="400"/>
      <c r="AD36" s="398"/>
      <c r="AE36" s="399"/>
      <c r="AF36" s="399"/>
      <c r="AG36" s="399"/>
      <c r="AH36" s="399"/>
      <c r="AI36" s="399"/>
      <c r="AJ36" s="400"/>
      <c r="AK36" s="398"/>
      <c r="AL36" s="399"/>
      <c r="AM36" s="399"/>
      <c r="AN36" s="399"/>
      <c r="AO36" s="399"/>
      <c r="AP36" s="399"/>
      <c r="AQ36" s="400"/>
      <c r="AR36" s="398"/>
      <c r="AS36" s="399"/>
      <c r="AT36" s="399"/>
      <c r="AU36" s="399"/>
      <c r="AV36" s="399"/>
      <c r="AW36" s="399"/>
      <c r="AX36" s="400"/>
      <c r="AY36" s="398"/>
      <c r="AZ36" s="399"/>
      <c r="BA36" s="399"/>
      <c r="BB36" s="399"/>
      <c r="BC36" s="399"/>
      <c r="BD36" s="399"/>
      <c r="BE36" s="400"/>
      <c r="BF36" s="398"/>
      <c r="BG36" s="399"/>
      <c r="BH36" s="399"/>
      <c r="BI36" s="399"/>
      <c r="BJ36" s="399"/>
      <c r="BK36" s="399"/>
      <c r="BL36" s="400"/>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c r="CQ36" s="352"/>
      <c r="CR36" s="352"/>
      <c r="CS36" s="352"/>
      <c r="CT36" s="352"/>
      <c r="CU36" s="352"/>
      <c r="CV36" s="352"/>
      <c r="CW36" s="352"/>
      <c r="CX36" s="352"/>
      <c r="CY36" s="352"/>
      <c r="CZ36" s="352"/>
      <c r="DA36" s="352"/>
      <c r="DB36" s="352"/>
      <c r="DC36" s="352"/>
      <c r="DD36" s="352"/>
      <c r="DE36" s="7"/>
    </row>
    <row r="37" spans="1:109" ht="15" customHeight="1">
      <c r="A37" s="8"/>
      <c r="B37" s="382"/>
      <c r="C37" s="383"/>
      <c r="D37" s="383"/>
      <c r="E37" s="383"/>
      <c r="F37" s="383"/>
      <c r="G37" s="383"/>
      <c r="H37" s="384"/>
      <c r="I37" s="351"/>
      <c r="J37" s="351"/>
      <c r="K37" s="351"/>
      <c r="L37" s="351"/>
      <c r="M37" s="351"/>
      <c r="N37" s="351"/>
      <c r="O37" s="351"/>
      <c r="P37" s="457"/>
      <c r="Q37" s="457"/>
      <c r="R37" s="457"/>
      <c r="S37" s="457"/>
      <c r="T37" s="457"/>
      <c r="U37" s="457"/>
      <c r="V37" s="457"/>
      <c r="W37" s="408"/>
      <c r="X37" s="409"/>
      <c r="Y37" s="409"/>
      <c r="Z37" s="409"/>
      <c r="AA37" s="409"/>
      <c r="AB37" s="409"/>
      <c r="AC37" s="410"/>
      <c r="AD37" s="408"/>
      <c r="AE37" s="409"/>
      <c r="AF37" s="409"/>
      <c r="AG37" s="409"/>
      <c r="AH37" s="409"/>
      <c r="AI37" s="409"/>
      <c r="AJ37" s="410"/>
      <c r="AK37" s="408"/>
      <c r="AL37" s="409"/>
      <c r="AM37" s="409"/>
      <c r="AN37" s="409"/>
      <c r="AO37" s="409"/>
      <c r="AP37" s="409"/>
      <c r="AQ37" s="410"/>
      <c r="AR37" s="408"/>
      <c r="AS37" s="409"/>
      <c r="AT37" s="409"/>
      <c r="AU37" s="409"/>
      <c r="AV37" s="409"/>
      <c r="AW37" s="409"/>
      <c r="AX37" s="410"/>
      <c r="AY37" s="408"/>
      <c r="AZ37" s="409"/>
      <c r="BA37" s="409"/>
      <c r="BB37" s="409"/>
      <c r="BC37" s="409"/>
      <c r="BD37" s="409"/>
      <c r="BE37" s="410"/>
      <c r="BF37" s="408"/>
      <c r="BG37" s="409"/>
      <c r="BH37" s="409"/>
      <c r="BI37" s="409"/>
      <c r="BJ37" s="409"/>
      <c r="BK37" s="409"/>
      <c r="BL37" s="410"/>
      <c r="BM37" s="382"/>
      <c r="BN37" s="383"/>
      <c r="BO37" s="383"/>
      <c r="BP37" s="383"/>
      <c r="BQ37" s="383"/>
      <c r="BR37" s="383"/>
      <c r="BS37" s="383"/>
      <c r="BT37" s="383"/>
      <c r="BU37" s="383"/>
      <c r="BV37" s="383"/>
      <c r="BW37" s="383"/>
      <c r="BX37" s="383"/>
      <c r="BY37" s="383"/>
      <c r="BZ37" s="383"/>
      <c r="CA37" s="383"/>
      <c r="CB37" s="383"/>
      <c r="CC37" s="383"/>
      <c r="CD37" s="383"/>
      <c r="CE37" s="383"/>
      <c r="CF37" s="383"/>
      <c r="CG37" s="383"/>
      <c r="CH37" s="383"/>
      <c r="CI37" s="383"/>
      <c r="CJ37" s="383"/>
      <c r="CK37" s="383"/>
      <c r="CL37" s="384"/>
      <c r="CM37" s="351"/>
      <c r="CN37" s="351"/>
      <c r="CO37" s="351"/>
      <c r="CP37" s="351"/>
      <c r="CQ37" s="351"/>
      <c r="CR37" s="351"/>
      <c r="CS37" s="351"/>
      <c r="CT37" s="351"/>
      <c r="CU37" s="351"/>
      <c r="CV37" s="351"/>
      <c r="CW37" s="351"/>
      <c r="CX37" s="351"/>
      <c r="CY37" s="351"/>
      <c r="CZ37" s="351"/>
      <c r="DA37" s="351"/>
      <c r="DB37" s="351"/>
      <c r="DC37" s="351"/>
      <c r="DD37" s="351"/>
      <c r="DE37" s="7"/>
    </row>
    <row r="38" spans="1:109" ht="15" customHeight="1">
      <c r="A38" s="3"/>
      <c r="B38" s="385"/>
      <c r="C38" s="386"/>
      <c r="D38" s="386"/>
      <c r="E38" s="386"/>
      <c r="F38" s="386"/>
      <c r="G38" s="386"/>
      <c r="H38" s="387"/>
      <c r="I38" s="351"/>
      <c r="J38" s="351"/>
      <c r="K38" s="351"/>
      <c r="L38" s="351"/>
      <c r="M38" s="351"/>
      <c r="N38" s="351"/>
      <c r="O38" s="351"/>
      <c r="P38" s="457"/>
      <c r="Q38" s="457"/>
      <c r="R38" s="457"/>
      <c r="S38" s="457"/>
      <c r="T38" s="457"/>
      <c r="U38" s="457"/>
      <c r="V38" s="457"/>
      <c r="W38" s="411"/>
      <c r="X38" s="412"/>
      <c r="Y38" s="412"/>
      <c r="Z38" s="412"/>
      <c r="AA38" s="412"/>
      <c r="AB38" s="412"/>
      <c r="AC38" s="413"/>
      <c r="AD38" s="411"/>
      <c r="AE38" s="412"/>
      <c r="AF38" s="412"/>
      <c r="AG38" s="412"/>
      <c r="AH38" s="412"/>
      <c r="AI38" s="412"/>
      <c r="AJ38" s="413"/>
      <c r="AK38" s="411"/>
      <c r="AL38" s="412"/>
      <c r="AM38" s="412"/>
      <c r="AN38" s="412"/>
      <c r="AO38" s="412"/>
      <c r="AP38" s="412"/>
      <c r="AQ38" s="413"/>
      <c r="AR38" s="411"/>
      <c r="AS38" s="412"/>
      <c r="AT38" s="412"/>
      <c r="AU38" s="412"/>
      <c r="AV38" s="412"/>
      <c r="AW38" s="412"/>
      <c r="AX38" s="413"/>
      <c r="AY38" s="411"/>
      <c r="AZ38" s="412"/>
      <c r="BA38" s="412"/>
      <c r="BB38" s="412"/>
      <c r="BC38" s="412"/>
      <c r="BD38" s="412"/>
      <c r="BE38" s="413"/>
      <c r="BF38" s="411"/>
      <c r="BG38" s="412"/>
      <c r="BH38" s="412"/>
      <c r="BI38" s="412"/>
      <c r="BJ38" s="412"/>
      <c r="BK38" s="412"/>
      <c r="BL38" s="413"/>
      <c r="BM38" s="385"/>
      <c r="BN38" s="386"/>
      <c r="BO38" s="386"/>
      <c r="BP38" s="386"/>
      <c r="BQ38" s="386"/>
      <c r="BR38" s="386"/>
      <c r="BS38" s="386"/>
      <c r="BT38" s="386"/>
      <c r="BU38" s="386"/>
      <c r="BV38" s="386"/>
      <c r="BW38" s="386"/>
      <c r="BX38" s="386"/>
      <c r="BY38" s="386"/>
      <c r="BZ38" s="386"/>
      <c r="CA38" s="386"/>
      <c r="CB38" s="386"/>
      <c r="CC38" s="386"/>
      <c r="CD38" s="386"/>
      <c r="CE38" s="386"/>
      <c r="CF38" s="386"/>
      <c r="CG38" s="386"/>
      <c r="CH38" s="386"/>
      <c r="CI38" s="386"/>
      <c r="CJ38" s="386"/>
      <c r="CK38" s="386"/>
      <c r="CL38" s="387"/>
      <c r="CM38" s="351"/>
      <c r="CN38" s="351"/>
      <c r="CO38" s="351"/>
      <c r="CP38" s="351"/>
      <c r="CQ38" s="351"/>
      <c r="CR38" s="351"/>
      <c r="CS38" s="351"/>
      <c r="CT38" s="351"/>
      <c r="CU38" s="351"/>
      <c r="CV38" s="351"/>
      <c r="CW38" s="351"/>
      <c r="CX38" s="351"/>
      <c r="CY38" s="351"/>
      <c r="CZ38" s="351"/>
      <c r="DA38" s="351"/>
      <c r="DB38" s="351"/>
      <c r="DC38" s="351"/>
      <c r="DD38" s="351"/>
      <c r="DE38" s="7"/>
    </row>
    <row r="39" spans="1:109" ht="15" customHeight="1">
      <c r="A39" s="3"/>
      <c r="B39" s="353"/>
      <c r="C39" s="354"/>
      <c r="D39" s="354"/>
      <c r="E39" s="354"/>
      <c r="F39" s="354"/>
      <c r="G39" s="354"/>
      <c r="H39" s="355"/>
      <c r="I39" s="352"/>
      <c r="J39" s="352"/>
      <c r="K39" s="352"/>
      <c r="L39" s="352"/>
      <c r="M39" s="352"/>
      <c r="N39" s="352"/>
      <c r="O39" s="352"/>
      <c r="P39" s="458"/>
      <c r="Q39" s="458"/>
      <c r="R39" s="458"/>
      <c r="S39" s="458"/>
      <c r="T39" s="458"/>
      <c r="U39" s="458"/>
      <c r="V39" s="458"/>
      <c r="W39" s="395"/>
      <c r="X39" s="396"/>
      <c r="Y39" s="396"/>
      <c r="Z39" s="396"/>
      <c r="AA39" s="396"/>
      <c r="AB39" s="396"/>
      <c r="AC39" s="397"/>
      <c r="AD39" s="395"/>
      <c r="AE39" s="396"/>
      <c r="AF39" s="396"/>
      <c r="AG39" s="396"/>
      <c r="AH39" s="396"/>
      <c r="AI39" s="396"/>
      <c r="AJ39" s="397"/>
      <c r="AK39" s="395"/>
      <c r="AL39" s="396"/>
      <c r="AM39" s="396"/>
      <c r="AN39" s="396"/>
      <c r="AO39" s="396"/>
      <c r="AP39" s="396"/>
      <c r="AQ39" s="397"/>
      <c r="AR39" s="395"/>
      <c r="AS39" s="396"/>
      <c r="AT39" s="396"/>
      <c r="AU39" s="396"/>
      <c r="AV39" s="396"/>
      <c r="AW39" s="396"/>
      <c r="AX39" s="397"/>
      <c r="AY39" s="395"/>
      <c r="AZ39" s="396"/>
      <c r="BA39" s="396"/>
      <c r="BB39" s="396"/>
      <c r="BC39" s="396"/>
      <c r="BD39" s="396"/>
      <c r="BE39" s="397"/>
      <c r="BF39" s="395"/>
      <c r="BG39" s="396"/>
      <c r="BH39" s="396"/>
      <c r="BI39" s="396"/>
      <c r="BJ39" s="396"/>
      <c r="BK39" s="396"/>
      <c r="BL39" s="397"/>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c r="CQ39" s="352"/>
      <c r="CR39" s="352"/>
      <c r="CS39" s="352"/>
      <c r="CT39" s="352"/>
      <c r="CU39" s="352"/>
      <c r="CV39" s="352"/>
      <c r="CW39" s="352"/>
      <c r="CX39" s="352"/>
      <c r="CY39" s="352"/>
      <c r="CZ39" s="352"/>
      <c r="DA39" s="352"/>
      <c r="DB39" s="352"/>
      <c r="DC39" s="352"/>
      <c r="DD39" s="352"/>
      <c r="DE39" s="7"/>
    </row>
    <row r="40" spans="1:109" ht="15" customHeight="1">
      <c r="A40" s="6"/>
      <c r="B40" s="356"/>
      <c r="C40" s="357"/>
      <c r="D40" s="357"/>
      <c r="E40" s="357"/>
      <c r="F40" s="357"/>
      <c r="G40" s="357"/>
      <c r="H40" s="358"/>
      <c r="I40" s="352"/>
      <c r="J40" s="352"/>
      <c r="K40" s="352"/>
      <c r="L40" s="352"/>
      <c r="M40" s="352"/>
      <c r="N40" s="352"/>
      <c r="O40" s="352"/>
      <c r="P40" s="458"/>
      <c r="Q40" s="458"/>
      <c r="R40" s="458"/>
      <c r="S40" s="458"/>
      <c r="T40" s="458"/>
      <c r="U40" s="458"/>
      <c r="V40" s="458"/>
      <c r="W40" s="398"/>
      <c r="X40" s="399"/>
      <c r="Y40" s="399"/>
      <c r="Z40" s="399"/>
      <c r="AA40" s="399"/>
      <c r="AB40" s="399"/>
      <c r="AC40" s="400"/>
      <c r="AD40" s="398"/>
      <c r="AE40" s="399"/>
      <c r="AF40" s="399"/>
      <c r="AG40" s="399"/>
      <c r="AH40" s="399"/>
      <c r="AI40" s="399"/>
      <c r="AJ40" s="400"/>
      <c r="AK40" s="398"/>
      <c r="AL40" s="399"/>
      <c r="AM40" s="399"/>
      <c r="AN40" s="399"/>
      <c r="AO40" s="399"/>
      <c r="AP40" s="399"/>
      <c r="AQ40" s="400"/>
      <c r="AR40" s="398"/>
      <c r="AS40" s="399"/>
      <c r="AT40" s="399"/>
      <c r="AU40" s="399"/>
      <c r="AV40" s="399"/>
      <c r="AW40" s="399"/>
      <c r="AX40" s="400"/>
      <c r="AY40" s="398"/>
      <c r="AZ40" s="399"/>
      <c r="BA40" s="399"/>
      <c r="BB40" s="399"/>
      <c r="BC40" s="399"/>
      <c r="BD40" s="399"/>
      <c r="BE40" s="400"/>
      <c r="BF40" s="398"/>
      <c r="BG40" s="399"/>
      <c r="BH40" s="399"/>
      <c r="BI40" s="399"/>
      <c r="BJ40" s="399"/>
      <c r="BK40" s="399"/>
      <c r="BL40" s="400"/>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c r="CQ40" s="352"/>
      <c r="CR40" s="352"/>
      <c r="CS40" s="352"/>
      <c r="CT40" s="352"/>
      <c r="CU40" s="352"/>
      <c r="CV40" s="352"/>
      <c r="CW40" s="352"/>
      <c r="CX40" s="352"/>
      <c r="CY40" s="352"/>
      <c r="CZ40" s="352"/>
      <c r="DA40" s="352"/>
      <c r="DB40" s="352"/>
      <c r="DC40" s="352"/>
      <c r="DD40" s="352"/>
      <c r="DE40" s="7"/>
    </row>
    <row r="41" spans="1:109" ht="15" customHeight="1">
      <c r="A41" s="8"/>
      <c r="B41" s="382"/>
      <c r="C41" s="383"/>
      <c r="D41" s="383"/>
      <c r="E41" s="383"/>
      <c r="F41" s="383"/>
      <c r="G41" s="383"/>
      <c r="H41" s="384"/>
      <c r="I41" s="351"/>
      <c r="J41" s="351"/>
      <c r="K41" s="351"/>
      <c r="L41" s="351"/>
      <c r="M41" s="351"/>
      <c r="N41" s="351"/>
      <c r="O41" s="351"/>
      <c r="P41" s="457"/>
      <c r="Q41" s="457"/>
      <c r="R41" s="457"/>
      <c r="S41" s="457"/>
      <c r="T41" s="457"/>
      <c r="U41" s="457"/>
      <c r="V41" s="457"/>
      <c r="W41" s="408"/>
      <c r="X41" s="409"/>
      <c r="Y41" s="409"/>
      <c r="Z41" s="409"/>
      <c r="AA41" s="409"/>
      <c r="AB41" s="409"/>
      <c r="AC41" s="410"/>
      <c r="AD41" s="408"/>
      <c r="AE41" s="409"/>
      <c r="AF41" s="409"/>
      <c r="AG41" s="409"/>
      <c r="AH41" s="409"/>
      <c r="AI41" s="409"/>
      <c r="AJ41" s="410"/>
      <c r="AK41" s="408"/>
      <c r="AL41" s="409"/>
      <c r="AM41" s="409"/>
      <c r="AN41" s="409"/>
      <c r="AO41" s="409"/>
      <c r="AP41" s="409"/>
      <c r="AQ41" s="410"/>
      <c r="AR41" s="408"/>
      <c r="AS41" s="409"/>
      <c r="AT41" s="409"/>
      <c r="AU41" s="409"/>
      <c r="AV41" s="409"/>
      <c r="AW41" s="409"/>
      <c r="AX41" s="410"/>
      <c r="AY41" s="408"/>
      <c r="AZ41" s="409"/>
      <c r="BA41" s="409"/>
      <c r="BB41" s="409"/>
      <c r="BC41" s="409"/>
      <c r="BD41" s="409"/>
      <c r="BE41" s="410"/>
      <c r="BF41" s="408"/>
      <c r="BG41" s="409"/>
      <c r="BH41" s="409"/>
      <c r="BI41" s="409"/>
      <c r="BJ41" s="409"/>
      <c r="BK41" s="409"/>
      <c r="BL41" s="410"/>
      <c r="BM41" s="351"/>
      <c r="BN41" s="351"/>
      <c r="BO41" s="351"/>
      <c r="BP41" s="351"/>
      <c r="BQ41" s="351"/>
      <c r="BR41" s="351"/>
      <c r="BS41" s="351"/>
      <c r="BT41" s="351"/>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1"/>
      <c r="CU41" s="351"/>
      <c r="CV41" s="351"/>
      <c r="CW41" s="351"/>
      <c r="CX41" s="351"/>
      <c r="CY41" s="351"/>
      <c r="CZ41" s="351"/>
      <c r="DA41" s="351"/>
      <c r="DB41" s="351"/>
      <c r="DC41" s="351"/>
      <c r="DD41" s="351"/>
      <c r="DE41" s="7"/>
    </row>
    <row r="42" spans="1:109" ht="15" customHeight="1">
      <c r="A42" s="3"/>
      <c r="B42" s="385"/>
      <c r="C42" s="386"/>
      <c r="D42" s="386"/>
      <c r="E42" s="386"/>
      <c r="F42" s="386"/>
      <c r="G42" s="386"/>
      <c r="H42" s="387"/>
      <c r="I42" s="351"/>
      <c r="J42" s="351"/>
      <c r="K42" s="351"/>
      <c r="L42" s="351"/>
      <c r="M42" s="351"/>
      <c r="N42" s="351"/>
      <c r="O42" s="351"/>
      <c r="P42" s="457"/>
      <c r="Q42" s="457"/>
      <c r="R42" s="457"/>
      <c r="S42" s="457"/>
      <c r="T42" s="457"/>
      <c r="U42" s="457"/>
      <c r="V42" s="457"/>
      <c r="W42" s="411"/>
      <c r="X42" s="412"/>
      <c r="Y42" s="412"/>
      <c r="Z42" s="412"/>
      <c r="AA42" s="412"/>
      <c r="AB42" s="412"/>
      <c r="AC42" s="413"/>
      <c r="AD42" s="411"/>
      <c r="AE42" s="412"/>
      <c r="AF42" s="412"/>
      <c r="AG42" s="412"/>
      <c r="AH42" s="412"/>
      <c r="AI42" s="412"/>
      <c r="AJ42" s="413"/>
      <c r="AK42" s="411"/>
      <c r="AL42" s="412"/>
      <c r="AM42" s="412"/>
      <c r="AN42" s="412"/>
      <c r="AO42" s="412"/>
      <c r="AP42" s="412"/>
      <c r="AQ42" s="413"/>
      <c r="AR42" s="411"/>
      <c r="AS42" s="412"/>
      <c r="AT42" s="412"/>
      <c r="AU42" s="412"/>
      <c r="AV42" s="412"/>
      <c r="AW42" s="412"/>
      <c r="AX42" s="413"/>
      <c r="AY42" s="411"/>
      <c r="AZ42" s="412"/>
      <c r="BA42" s="412"/>
      <c r="BB42" s="412"/>
      <c r="BC42" s="412"/>
      <c r="BD42" s="412"/>
      <c r="BE42" s="413"/>
      <c r="BF42" s="411"/>
      <c r="BG42" s="412"/>
      <c r="BH42" s="412"/>
      <c r="BI42" s="412"/>
      <c r="BJ42" s="412"/>
      <c r="BK42" s="412"/>
      <c r="BL42" s="413"/>
      <c r="BM42" s="351"/>
      <c r="BN42" s="351"/>
      <c r="BO42" s="351"/>
      <c r="BP42" s="351"/>
      <c r="BQ42" s="351"/>
      <c r="BR42" s="351"/>
      <c r="BS42" s="351"/>
      <c r="BT42" s="351"/>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1"/>
      <c r="CU42" s="351"/>
      <c r="CV42" s="351"/>
      <c r="CW42" s="351"/>
      <c r="CX42" s="351"/>
      <c r="CY42" s="351"/>
      <c r="CZ42" s="351"/>
      <c r="DA42" s="351"/>
      <c r="DB42" s="351"/>
      <c r="DC42" s="351"/>
      <c r="DD42" s="351"/>
      <c r="DE42" s="7"/>
    </row>
    <row r="43" spans="1:109" ht="15" customHeight="1">
      <c r="A43" s="3"/>
      <c r="B43" s="353"/>
      <c r="C43" s="354"/>
      <c r="D43" s="354"/>
      <c r="E43" s="354"/>
      <c r="F43" s="354"/>
      <c r="G43" s="354"/>
      <c r="H43" s="355"/>
      <c r="I43" s="352"/>
      <c r="J43" s="352"/>
      <c r="K43" s="352"/>
      <c r="L43" s="352"/>
      <c r="M43" s="352"/>
      <c r="N43" s="352"/>
      <c r="O43" s="352"/>
      <c r="P43" s="458"/>
      <c r="Q43" s="458"/>
      <c r="R43" s="458"/>
      <c r="S43" s="458"/>
      <c r="T43" s="458"/>
      <c r="U43" s="458"/>
      <c r="V43" s="458"/>
      <c r="W43" s="395"/>
      <c r="X43" s="396"/>
      <c r="Y43" s="396"/>
      <c r="Z43" s="396"/>
      <c r="AA43" s="396"/>
      <c r="AB43" s="396"/>
      <c r="AC43" s="397"/>
      <c r="AD43" s="395"/>
      <c r="AE43" s="396"/>
      <c r="AF43" s="396"/>
      <c r="AG43" s="396"/>
      <c r="AH43" s="396"/>
      <c r="AI43" s="396"/>
      <c r="AJ43" s="397"/>
      <c r="AK43" s="395"/>
      <c r="AL43" s="396"/>
      <c r="AM43" s="396"/>
      <c r="AN43" s="396"/>
      <c r="AO43" s="396"/>
      <c r="AP43" s="396"/>
      <c r="AQ43" s="397"/>
      <c r="AR43" s="395"/>
      <c r="AS43" s="396"/>
      <c r="AT43" s="396"/>
      <c r="AU43" s="396"/>
      <c r="AV43" s="396"/>
      <c r="AW43" s="396"/>
      <c r="AX43" s="397"/>
      <c r="AY43" s="395"/>
      <c r="AZ43" s="396"/>
      <c r="BA43" s="396"/>
      <c r="BB43" s="396"/>
      <c r="BC43" s="396"/>
      <c r="BD43" s="396"/>
      <c r="BE43" s="397"/>
      <c r="BF43" s="395"/>
      <c r="BG43" s="396"/>
      <c r="BH43" s="396"/>
      <c r="BI43" s="396"/>
      <c r="BJ43" s="396"/>
      <c r="BK43" s="396"/>
      <c r="BL43" s="397"/>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c r="CQ43" s="352"/>
      <c r="CR43" s="352"/>
      <c r="CS43" s="352"/>
      <c r="CT43" s="352"/>
      <c r="CU43" s="352"/>
      <c r="CV43" s="352"/>
      <c r="CW43" s="352"/>
      <c r="CX43" s="352"/>
      <c r="CY43" s="352"/>
      <c r="CZ43" s="352"/>
      <c r="DA43" s="352"/>
      <c r="DB43" s="352"/>
      <c r="DC43" s="352"/>
      <c r="DD43" s="352"/>
      <c r="DE43" s="7"/>
    </row>
    <row r="44" spans="1:109" ht="15" customHeight="1">
      <c r="A44" s="3"/>
      <c r="B44" s="356"/>
      <c r="C44" s="357"/>
      <c r="D44" s="357"/>
      <c r="E44" s="357"/>
      <c r="F44" s="357"/>
      <c r="G44" s="357"/>
      <c r="H44" s="358"/>
      <c r="I44" s="352"/>
      <c r="J44" s="352"/>
      <c r="K44" s="352"/>
      <c r="L44" s="352"/>
      <c r="M44" s="352"/>
      <c r="N44" s="352"/>
      <c r="O44" s="352"/>
      <c r="P44" s="458"/>
      <c r="Q44" s="458"/>
      <c r="R44" s="458"/>
      <c r="S44" s="458"/>
      <c r="T44" s="458"/>
      <c r="U44" s="458"/>
      <c r="V44" s="458"/>
      <c r="W44" s="398"/>
      <c r="X44" s="399"/>
      <c r="Y44" s="399"/>
      <c r="Z44" s="399"/>
      <c r="AA44" s="399"/>
      <c r="AB44" s="399"/>
      <c r="AC44" s="400"/>
      <c r="AD44" s="398"/>
      <c r="AE44" s="399"/>
      <c r="AF44" s="399"/>
      <c r="AG44" s="399"/>
      <c r="AH44" s="399"/>
      <c r="AI44" s="399"/>
      <c r="AJ44" s="400"/>
      <c r="AK44" s="398"/>
      <c r="AL44" s="399"/>
      <c r="AM44" s="399"/>
      <c r="AN44" s="399"/>
      <c r="AO44" s="399"/>
      <c r="AP44" s="399"/>
      <c r="AQ44" s="400"/>
      <c r="AR44" s="398"/>
      <c r="AS44" s="399"/>
      <c r="AT44" s="399"/>
      <c r="AU44" s="399"/>
      <c r="AV44" s="399"/>
      <c r="AW44" s="399"/>
      <c r="AX44" s="400"/>
      <c r="AY44" s="398"/>
      <c r="AZ44" s="399"/>
      <c r="BA44" s="399"/>
      <c r="BB44" s="399"/>
      <c r="BC44" s="399"/>
      <c r="BD44" s="399"/>
      <c r="BE44" s="400"/>
      <c r="BF44" s="398"/>
      <c r="BG44" s="399"/>
      <c r="BH44" s="399"/>
      <c r="BI44" s="399"/>
      <c r="BJ44" s="399"/>
      <c r="BK44" s="399"/>
      <c r="BL44" s="400"/>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c r="CQ44" s="352"/>
      <c r="CR44" s="352"/>
      <c r="CS44" s="352"/>
      <c r="CT44" s="352"/>
      <c r="CU44" s="352"/>
      <c r="CV44" s="352"/>
      <c r="CW44" s="352"/>
      <c r="CX44" s="352"/>
      <c r="CY44" s="352"/>
      <c r="CZ44" s="352"/>
      <c r="DA44" s="352"/>
      <c r="DB44" s="352"/>
      <c r="DC44" s="352"/>
      <c r="DD44" s="352"/>
      <c r="DE44" s="7"/>
    </row>
    <row r="45" spans="1:109" ht="15" customHeight="1">
      <c r="A45" s="6"/>
      <c r="B45" s="382"/>
      <c r="C45" s="383"/>
      <c r="D45" s="383"/>
      <c r="E45" s="383"/>
      <c r="F45" s="383"/>
      <c r="G45" s="383"/>
      <c r="H45" s="384"/>
      <c r="I45" s="351"/>
      <c r="J45" s="351"/>
      <c r="K45" s="351"/>
      <c r="L45" s="351"/>
      <c r="M45" s="351"/>
      <c r="N45" s="351"/>
      <c r="O45" s="351"/>
      <c r="P45" s="457"/>
      <c r="Q45" s="457"/>
      <c r="R45" s="457"/>
      <c r="S45" s="457"/>
      <c r="T45" s="457"/>
      <c r="U45" s="457"/>
      <c r="V45" s="457"/>
      <c r="W45" s="408"/>
      <c r="X45" s="409"/>
      <c r="Y45" s="409"/>
      <c r="Z45" s="409"/>
      <c r="AA45" s="409"/>
      <c r="AB45" s="409"/>
      <c r="AC45" s="410"/>
      <c r="AD45" s="408"/>
      <c r="AE45" s="409"/>
      <c r="AF45" s="409"/>
      <c r="AG45" s="409"/>
      <c r="AH45" s="409"/>
      <c r="AI45" s="409"/>
      <c r="AJ45" s="410"/>
      <c r="AK45" s="408"/>
      <c r="AL45" s="409"/>
      <c r="AM45" s="409"/>
      <c r="AN45" s="409"/>
      <c r="AO45" s="409"/>
      <c r="AP45" s="409"/>
      <c r="AQ45" s="410"/>
      <c r="AR45" s="408"/>
      <c r="AS45" s="409"/>
      <c r="AT45" s="409"/>
      <c r="AU45" s="409"/>
      <c r="AV45" s="409"/>
      <c r="AW45" s="409"/>
      <c r="AX45" s="410"/>
      <c r="AY45" s="408"/>
      <c r="AZ45" s="409"/>
      <c r="BA45" s="409"/>
      <c r="BB45" s="409"/>
      <c r="BC45" s="409"/>
      <c r="BD45" s="409"/>
      <c r="BE45" s="410"/>
      <c r="BF45" s="408"/>
      <c r="BG45" s="409"/>
      <c r="BH45" s="409"/>
      <c r="BI45" s="409"/>
      <c r="BJ45" s="409"/>
      <c r="BK45" s="409"/>
      <c r="BL45" s="410"/>
      <c r="BM45" s="351"/>
      <c r="BN45" s="351"/>
      <c r="BO45" s="351"/>
      <c r="BP45" s="351"/>
      <c r="BQ45" s="351"/>
      <c r="BR45" s="351"/>
      <c r="BS45" s="351"/>
      <c r="BT45" s="351"/>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1"/>
      <c r="CU45" s="351"/>
      <c r="CV45" s="351"/>
      <c r="CW45" s="351"/>
      <c r="CX45" s="351"/>
      <c r="CY45" s="351"/>
      <c r="CZ45" s="351"/>
      <c r="DA45" s="351"/>
      <c r="DB45" s="351"/>
      <c r="DC45" s="351"/>
      <c r="DD45" s="351"/>
      <c r="DE45" s="7"/>
    </row>
    <row r="46" spans="1:109" ht="15" customHeight="1">
      <c r="A46" s="8"/>
      <c r="B46" s="385"/>
      <c r="C46" s="386"/>
      <c r="D46" s="386"/>
      <c r="E46" s="386"/>
      <c r="F46" s="386"/>
      <c r="G46" s="386"/>
      <c r="H46" s="387"/>
      <c r="I46" s="351"/>
      <c r="J46" s="351"/>
      <c r="K46" s="351"/>
      <c r="L46" s="351"/>
      <c r="M46" s="351"/>
      <c r="N46" s="351"/>
      <c r="O46" s="351"/>
      <c r="P46" s="457"/>
      <c r="Q46" s="457"/>
      <c r="R46" s="457"/>
      <c r="S46" s="457"/>
      <c r="T46" s="457"/>
      <c r="U46" s="457"/>
      <c r="V46" s="457"/>
      <c r="W46" s="411"/>
      <c r="X46" s="412"/>
      <c r="Y46" s="412"/>
      <c r="Z46" s="412"/>
      <c r="AA46" s="412"/>
      <c r="AB46" s="412"/>
      <c r="AC46" s="413"/>
      <c r="AD46" s="411"/>
      <c r="AE46" s="412"/>
      <c r="AF46" s="412"/>
      <c r="AG46" s="412"/>
      <c r="AH46" s="412"/>
      <c r="AI46" s="412"/>
      <c r="AJ46" s="413"/>
      <c r="AK46" s="411"/>
      <c r="AL46" s="412"/>
      <c r="AM46" s="412"/>
      <c r="AN46" s="412"/>
      <c r="AO46" s="412"/>
      <c r="AP46" s="412"/>
      <c r="AQ46" s="413"/>
      <c r="AR46" s="411"/>
      <c r="AS46" s="412"/>
      <c r="AT46" s="412"/>
      <c r="AU46" s="412"/>
      <c r="AV46" s="412"/>
      <c r="AW46" s="412"/>
      <c r="AX46" s="413"/>
      <c r="AY46" s="411"/>
      <c r="AZ46" s="412"/>
      <c r="BA46" s="412"/>
      <c r="BB46" s="412"/>
      <c r="BC46" s="412"/>
      <c r="BD46" s="412"/>
      <c r="BE46" s="413"/>
      <c r="BF46" s="411"/>
      <c r="BG46" s="412"/>
      <c r="BH46" s="412"/>
      <c r="BI46" s="412"/>
      <c r="BJ46" s="412"/>
      <c r="BK46" s="412"/>
      <c r="BL46" s="413"/>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7"/>
    </row>
    <row r="47" spans="1:109" ht="15" customHeight="1">
      <c r="A47" s="8"/>
      <c r="B47" s="353"/>
      <c r="C47" s="354"/>
      <c r="D47" s="354"/>
      <c r="E47" s="354"/>
      <c r="F47" s="354"/>
      <c r="G47" s="354"/>
      <c r="H47" s="355"/>
      <c r="I47" s="352"/>
      <c r="J47" s="352"/>
      <c r="K47" s="352"/>
      <c r="L47" s="352"/>
      <c r="M47" s="352"/>
      <c r="N47" s="352"/>
      <c r="O47" s="352"/>
      <c r="P47" s="458"/>
      <c r="Q47" s="458"/>
      <c r="R47" s="458"/>
      <c r="S47" s="458"/>
      <c r="T47" s="458"/>
      <c r="U47" s="458"/>
      <c r="V47" s="458"/>
      <c r="W47" s="395"/>
      <c r="X47" s="396"/>
      <c r="Y47" s="396"/>
      <c r="Z47" s="396"/>
      <c r="AA47" s="396"/>
      <c r="AB47" s="396"/>
      <c r="AC47" s="397"/>
      <c r="AD47" s="395"/>
      <c r="AE47" s="396"/>
      <c r="AF47" s="396"/>
      <c r="AG47" s="396"/>
      <c r="AH47" s="396"/>
      <c r="AI47" s="396"/>
      <c r="AJ47" s="397"/>
      <c r="AK47" s="395"/>
      <c r="AL47" s="396"/>
      <c r="AM47" s="396"/>
      <c r="AN47" s="396"/>
      <c r="AO47" s="396"/>
      <c r="AP47" s="396"/>
      <c r="AQ47" s="397"/>
      <c r="AR47" s="395"/>
      <c r="AS47" s="396"/>
      <c r="AT47" s="396"/>
      <c r="AU47" s="396"/>
      <c r="AV47" s="396"/>
      <c r="AW47" s="396"/>
      <c r="AX47" s="397"/>
      <c r="AY47" s="395"/>
      <c r="AZ47" s="396"/>
      <c r="BA47" s="396"/>
      <c r="BB47" s="396"/>
      <c r="BC47" s="396"/>
      <c r="BD47" s="396"/>
      <c r="BE47" s="397"/>
      <c r="BF47" s="395"/>
      <c r="BG47" s="396"/>
      <c r="BH47" s="396"/>
      <c r="BI47" s="396"/>
      <c r="BJ47" s="396"/>
      <c r="BK47" s="396"/>
      <c r="BL47" s="397"/>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c r="CQ47" s="352"/>
      <c r="CR47" s="352"/>
      <c r="CS47" s="352"/>
      <c r="CT47" s="352"/>
      <c r="CU47" s="352"/>
      <c r="CV47" s="352"/>
      <c r="CW47" s="352"/>
      <c r="CX47" s="352"/>
      <c r="CY47" s="352"/>
      <c r="CZ47" s="352"/>
      <c r="DA47" s="352"/>
      <c r="DB47" s="352"/>
      <c r="DC47" s="352"/>
      <c r="DD47" s="352"/>
      <c r="DE47" s="7"/>
    </row>
    <row r="48" spans="1:109" ht="15" customHeight="1">
      <c r="A48" s="8"/>
      <c r="B48" s="356"/>
      <c r="C48" s="357"/>
      <c r="D48" s="357"/>
      <c r="E48" s="357"/>
      <c r="F48" s="357"/>
      <c r="G48" s="357"/>
      <c r="H48" s="358"/>
      <c r="I48" s="352"/>
      <c r="J48" s="352"/>
      <c r="K48" s="352"/>
      <c r="L48" s="352"/>
      <c r="M48" s="352"/>
      <c r="N48" s="352"/>
      <c r="O48" s="352"/>
      <c r="P48" s="458"/>
      <c r="Q48" s="458"/>
      <c r="R48" s="458"/>
      <c r="S48" s="458"/>
      <c r="T48" s="458"/>
      <c r="U48" s="458"/>
      <c r="V48" s="458"/>
      <c r="W48" s="398"/>
      <c r="X48" s="399"/>
      <c r="Y48" s="399"/>
      <c r="Z48" s="399"/>
      <c r="AA48" s="399"/>
      <c r="AB48" s="399"/>
      <c r="AC48" s="400"/>
      <c r="AD48" s="398"/>
      <c r="AE48" s="399"/>
      <c r="AF48" s="399"/>
      <c r="AG48" s="399"/>
      <c r="AH48" s="399"/>
      <c r="AI48" s="399"/>
      <c r="AJ48" s="400"/>
      <c r="AK48" s="398"/>
      <c r="AL48" s="399"/>
      <c r="AM48" s="399"/>
      <c r="AN48" s="399"/>
      <c r="AO48" s="399"/>
      <c r="AP48" s="399"/>
      <c r="AQ48" s="400"/>
      <c r="AR48" s="398"/>
      <c r="AS48" s="399"/>
      <c r="AT48" s="399"/>
      <c r="AU48" s="399"/>
      <c r="AV48" s="399"/>
      <c r="AW48" s="399"/>
      <c r="AX48" s="400"/>
      <c r="AY48" s="398"/>
      <c r="AZ48" s="399"/>
      <c r="BA48" s="399"/>
      <c r="BB48" s="399"/>
      <c r="BC48" s="399"/>
      <c r="BD48" s="399"/>
      <c r="BE48" s="400"/>
      <c r="BF48" s="398"/>
      <c r="BG48" s="399"/>
      <c r="BH48" s="399"/>
      <c r="BI48" s="399"/>
      <c r="BJ48" s="399"/>
      <c r="BK48" s="399"/>
      <c r="BL48" s="400"/>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c r="CQ48" s="352"/>
      <c r="CR48" s="352"/>
      <c r="CS48" s="352"/>
      <c r="CT48" s="352"/>
      <c r="CU48" s="352"/>
      <c r="CV48" s="352"/>
      <c r="CW48" s="352"/>
      <c r="CX48" s="352"/>
      <c r="CY48" s="352"/>
      <c r="CZ48" s="352"/>
      <c r="DA48" s="352"/>
      <c r="DB48" s="352"/>
      <c r="DC48" s="352"/>
      <c r="DD48" s="352"/>
      <c r="DE48" s="7"/>
    </row>
    <row r="49" spans="1:133" ht="15" customHeight="1">
      <c r="A49" s="3"/>
      <c r="B49" s="382"/>
      <c r="C49" s="383"/>
      <c r="D49" s="383"/>
      <c r="E49" s="383"/>
      <c r="F49" s="383"/>
      <c r="G49" s="383"/>
      <c r="H49" s="384"/>
      <c r="I49" s="351"/>
      <c r="J49" s="351"/>
      <c r="K49" s="351"/>
      <c r="L49" s="351"/>
      <c r="M49" s="351"/>
      <c r="N49" s="351"/>
      <c r="O49" s="351"/>
      <c r="P49" s="457"/>
      <c r="Q49" s="457"/>
      <c r="R49" s="457"/>
      <c r="S49" s="457"/>
      <c r="T49" s="457"/>
      <c r="U49" s="457"/>
      <c r="V49" s="457"/>
      <c r="W49" s="408"/>
      <c r="X49" s="409"/>
      <c r="Y49" s="409"/>
      <c r="Z49" s="409"/>
      <c r="AA49" s="409"/>
      <c r="AB49" s="409"/>
      <c r="AC49" s="410"/>
      <c r="AD49" s="408"/>
      <c r="AE49" s="409"/>
      <c r="AF49" s="409"/>
      <c r="AG49" s="409"/>
      <c r="AH49" s="409"/>
      <c r="AI49" s="409"/>
      <c r="AJ49" s="410"/>
      <c r="AK49" s="408"/>
      <c r="AL49" s="409"/>
      <c r="AM49" s="409"/>
      <c r="AN49" s="409"/>
      <c r="AO49" s="409"/>
      <c r="AP49" s="409"/>
      <c r="AQ49" s="410"/>
      <c r="AR49" s="408"/>
      <c r="AS49" s="409"/>
      <c r="AT49" s="409"/>
      <c r="AU49" s="409"/>
      <c r="AV49" s="409"/>
      <c r="AW49" s="409"/>
      <c r="AX49" s="410"/>
      <c r="AY49" s="408"/>
      <c r="AZ49" s="409"/>
      <c r="BA49" s="409"/>
      <c r="BB49" s="409"/>
      <c r="BC49" s="409"/>
      <c r="BD49" s="409"/>
      <c r="BE49" s="410"/>
      <c r="BF49" s="408"/>
      <c r="BG49" s="409"/>
      <c r="BH49" s="409"/>
      <c r="BI49" s="409"/>
      <c r="BJ49" s="409"/>
      <c r="BK49" s="409"/>
      <c r="BL49" s="410"/>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7"/>
    </row>
    <row r="50" spans="1:133" ht="15" customHeight="1">
      <c r="A50" s="3"/>
      <c r="B50" s="385"/>
      <c r="C50" s="386"/>
      <c r="D50" s="386"/>
      <c r="E50" s="386"/>
      <c r="F50" s="386"/>
      <c r="G50" s="386"/>
      <c r="H50" s="387"/>
      <c r="I50" s="351"/>
      <c r="J50" s="351"/>
      <c r="K50" s="351"/>
      <c r="L50" s="351"/>
      <c r="M50" s="351"/>
      <c r="N50" s="351"/>
      <c r="O50" s="351"/>
      <c r="P50" s="457"/>
      <c r="Q50" s="457"/>
      <c r="R50" s="457"/>
      <c r="S50" s="457"/>
      <c r="T50" s="457"/>
      <c r="U50" s="457"/>
      <c r="V50" s="457"/>
      <c r="W50" s="411"/>
      <c r="X50" s="412"/>
      <c r="Y50" s="412"/>
      <c r="Z50" s="412"/>
      <c r="AA50" s="412"/>
      <c r="AB50" s="412"/>
      <c r="AC50" s="413"/>
      <c r="AD50" s="411"/>
      <c r="AE50" s="412"/>
      <c r="AF50" s="412"/>
      <c r="AG50" s="412"/>
      <c r="AH50" s="412"/>
      <c r="AI50" s="412"/>
      <c r="AJ50" s="413"/>
      <c r="AK50" s="411"/>
      <c r="AL50" s="412"/>
      <c r="AM50" s="412"/>
      <c r="AN50" s="412"/>
      <c r="AO50" s="412"/>
      <c r="AP50" s="412"/>
      <c r="AQ50" s="413"/>
      <c r="AR50" s="411"/>
      <c r="AS50" s="412"/>
      <c r="AT50" s="412"/>
      <c r="AU50" s="412"/>
      <c r="AV50" s="412"/>
      <c r="AW50" s="412"/>
      <c r="AX50" s="413"/>
      <c r="AY50" s="411"/>
      <c r="AZ50" s="412"/>
      <c r="BA50" s="412"/>
      <c r="BB50" s="412"/>
      <c r="BC50" s="412"/>
      <c r="BD50" s="412"/>
      <c r="BE50" s="413"/>
      <c r="BF50" s="411"/>
      <c r="BG50" s="412"/>
      <c r="BH50" s="412"/>
      <c r="BI50" s="412"/>
      <c r="BJ50" s="412"/>
      <c r="BK50" s="412"/>
      <c r="BL50" s="413"/>
      <c r="BM50" s="351"/>
      <c r="BN50" s="351"/>
      <c r="BO50" s="351"/>
      <c r="BP50" s="351"/>
      <c r="BQ50" s="351"/>
      <c r="BR50" s="351"/>
      <c r="BS50" s="351"/>
      <c r="BT50" s="351"/>
      <c r="BU50" s="351"/>
      <c r="BV50" s="351"/>
      <c r="BW50" s="351"/>
      <c r="BX50" s="351"/>
      <c r="BY50" s="351"/>
      <c r="BZ50" s="351"/>
      <c r="CA50" s="351"/>
      <c r="CB50" s="351"/>
      <c r="CC50" s="351"/>
      <c r="CD50" s="351"/>
      <c r="CE50" s="351"/>
      <c r="CF50" s="351"/>
      <c r="CG50" s="351"/>
      <c r="CH50" s="351"/>
      <c r="CI50" s="351"/>
      <c r="CJ50" s="351"/>
      <c r="CK50" s="351"/>
      <c r="CL50" s="351"/>
      <c r="CM50" s="351"/>
      <c r="CN50" s="351"/>
      <c r="CO50" s="351"/>
      <c r="CP50" s="351"/>
      <c r="CQ50" s="351"/>
      <c r="CR50" s="351"/>
      <c r="CS50" s="351"/>
      <c r="CT50" s="351"/>
      <c r="CU50" s="351"/>
      <c r="CV50" s="351"/>
      <c r="CW50" s="351"/>
      <c r="CX50" s="351"/>
      <c r="CY50" s="351"/>
      <c r="CZ50" s="351"/>
      <c r="DA50" s="351"/>
      <c r="DB50" s="351"/>
      <c r="DC50" s="351"/>
      <c r="DD50" s="351"/>
      <c r="DE50" s="7"/>
    </row>
    <row r="51" spans="1:133" ht="15" customHeight="1">
      <c r="A51" s="3"/>
      <c r="B51" s="353"/>
      <c r="C51" s="354"/>
      <c r="D51" s="354"/>
      <c r="E51" s="354"/>
      <c r="F51" s="354"/>
      <c r="G51" s="354"/>
      <c r="H51" s="355"/>
      <c r="I51" s="352"/>
      <c r="J51" s="352"/>
      <c r="K51" s="352"/>
      <c r="L51" s="352"/>
      <c r="M51" s="352"/>
      <c r="N51" s="352"/>
      <c r="O51" s="352"/>
      <c r="P51" s="458"/>
      <c r="Q51" s="458"/>
      <c r="R51" s="458"/>
      <c r="S51" s="458"/>
      <c r="T51" s="458"/>
      <c r="U51" s="458"/>
      <c r="V51" s="458"/>
      <c r="W51" s="395"/>
      <c r="X51" s="396"/>
      <c r="Y51" s="396"/>
      <c r="Z51" s="396"/>
      <c r="AA51" s="396"/>
      <c r="AB51" s="396"/>
      <c r="AC51" s="397"/>
      <c r="AD51" s="395"/>
      <c r="AE51" s="396"/>
      <c r="AF51" s="396"/>
      <c r="AG51" s="396"/>
      <c r="AH51" s="396"/>
      <c r="AI51" s="396"/>
      <c r="AJ51" s="397"/>
      <c r="AK51" s="395"/>
      <c r="AL51" s="396"/>
      <c r="AM51" s="396"/>
      <c r="AN51" s="396"/>
      <c r="AO51" s="396"/>
      <c r="AP51" s="396"/>
      <c r="AQ51" s="397"/>
      <c r="AR51" s="395"/>
      <c r="AS51" s="396"/>
      <c r="AT51" s="396"/>
      <c r="AU51" s="396"/>
      <c r="AV51" s="396"/>
      <c r="AW51" s="396"/>
      <c r="AX51" s="397"/>
      <c r="AY51" s="395"/>
      <c r="AZ51" s="396"/>
      <c r="BA51" s="396"/>
      <c r="BB51" s="396"/>
      <c r="BC51" s="396"/>
      <c r="BD51" s="396"/>
      <c r="BE51" s="397"/>
      <c r="BF51" s="395"/>
      <c r="BG51" s="396"/>
      <c r="BH51" s="396"/>
      <c r="BI51" s="396"/>
      <c r="BJ51" s="396"/>
      <c r="BK51" s="396"/>
      <c r="BL51" s="397"/>
      <c r="BM51" s="352"/>
      <c r="BN51" s="352"/>
      <c r="BO51" s="352"/>
      <c r="BP51" s="352"/>
      <c r="BQ51" s="352"/>
      <c r="BR51" s="352"/>
      <c r="BS51" s="352"/>
      <c r="BT51" s="352"/>
      <c r="BU51" s="352"/>
      <c r="BV51" s="352"/>
      <c r="BW51" s="352"/>
      <c r="BX51" s="352"/>
      <c r="BY51" s="352"/>
      <c r="BZ51" s="352"/>
      <c r="CA51" s="352"/>
      <c r="CB51" s="352"/>
      <c r="CC51" s="352"/>
      <c r="CD51" s="352"/>
      <c r="CE51" s="352"/>
      <c r="CF51" s="352"/>
      <c r="CG51" s="352"/>
      <c r="CH51" s="352"/>
      <c r="CI51" s="352"/>
      <c r="CJ51" s="352"/>
      <c r="CK51" s="352"/>
      <c r="CL51" s="352"/>
      <c r="CM51" s="352"/>
      <c r="CN51" s="352"/>
      <c r="CO51" s="352"/>
      <c r="CP51" s="352"/>
      <c r="CQ51" s="352"/>
      <c r="CR51" s="352"/>
      <c r="CS51" s="352"/>
      <c r="CT51" s="352"/>
      <c r="CU51" s="352"/>
      <c r="CV51" s="352"/>
      <c r="CW51" s="352"/>
      <c r="CX51" s="352"/>
      <c r="CY51" s="352"/>
      <c r="CZ51" s="352"/>
      <c r="DA51" s="352"/>
      <c r="DB51" s="352"/>
      <c r="DC51" s="352"/>
      <c r="DD51" s="352"/>
      <c r="DE51" s="24"/>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row>
    <row r="52" spans="1:133" ht="15" customHeight="1">
      <c r="A52" s="3"/>
      <c r="B52" s="356"/>
      <c r="C52" s="357"/>
      <c r="D52" s="357"/>
      <c r="E52" s="357"/>
      <c r="F52" s="357"/>
      <c r="G52" s="357"/>
      <c r="H52" s="358"/>
      <c r="I52" s="352"/>
      <c r="J52" s="352"/>
      <c r="K52" s="352"/>
      <c r="L52" s="352"/>
      <c r="M52" s="352"/>
      <c r="N52" s="352"/>
      <c r="O52" s="352"/>
      <c r="P52" s="458"/>
      <c r="Q52" s="458"/>
      <c r="R52" s="458"/>
      <c r="S52" s="458"/>
      <c r="T52" s="458"/>
      <c r="U52" s="458"/>
      <c r="V52" s="458"/>
      <c r="W52" s="398"/>
      <c r="X52" s="399"/>
      <c r="Y52" s="399"/>
      <c r="Z52" s="399"/>
      <c r="AA52" s="399"/>
      <c r="AB52" s="399"/>
      <c r="AC52" s="400"/>
      <c r="AD52" s="398"/>
      <c r="AE52" s="399"/>
      <c r="AF52" s="399"/>
      <c r="AG52" s="399"/>
      <c r="AH52" s="399"/>
      <c r="AI52" s="399"/>
      <c r="AJ52" s="400"/>
      <c r="AK52" s="398"/>
      <c r="AL52" s="399"/>
      <c r="AM52" s="399"/>
      <c r="AN52" s="399"/>
      <c r="AO52" s="399"/>
      <c r="AP52" s="399"/>
      <c r="AQ52" s="400"/>
      <c r="AR52" s="398"/>
      <c r="AS52" s="399"/>
      <c r="AT52" s="399"/>
      <c r="AU52" s="399"/>
      <c r="AV52" s="399"/>
      <c r="AW52" s="399"/>
      <c r="AX52" s="400"/>
      <c r="AY52" s="398"/>
      <c r="AZ52" s="399"/>
      <c r="BA52" s="399"/>
      <c r="BB52" s="399"/>
      <c r="BC52" s="399"/>
      <c r="BD52" s="399"/>
      <c r="BE52" s="400"/>
      <c r="BF52" s="398"/>
      <c r="BG52" s="399"/>
      <c r="BH52" s="399"/>
      <c r="BI52" s="399"/>
      <c r="BJ52" s="399"/>
      <c r="BK52" s="399"/>
      <c r="BL52" s="400"/>
      <c r="BM52" s="352"/>
      <c r="BN52" s="352"/>
      <c r="BO52" s="352"/>
      <c r="BP52" s="352"/>
      <c r="BQ52" s="352"/>
      <c r="BR52" s="352"/>
      <c r="BS52" s="352"/>
      <c r="BT52" s="352"/>
      <c r="BU52" s="352"/>
      <c r="BV52" s="352"/>
      <c r="BW52" s="352"/>
      <c r="BX52" s="352"/>
      <c r="BY52" s="352"/>
      <c r="BZ52" s="352"/>
      <c r="CA52" s="352"/>
      <c r="CB52" s="352"/>
      <c r="CC52" s="352"/>
      <c r="CD52" s="352"/>
      <c r="CE52" s="352"/>
      <c r="CF52" s="352"/>
      <c r="CG52" s="352"/>
      <c r="CH52" s="352"/>
      <c r="CI52" s="352"/>
      <c r="CJ52" s="352"/>
      <c r="CK52" s="352"/>
      <c r="CL52" s="352"/>
      <c r="CM52" s="352"/>
      <c r="CN52" s="352"/>
      <c r="CO52" s="352"/>
      <c r="CP52" s="352"/>
      <c r="CQ52" s="352"/>
      <c r="CR52" s="352"/>
      <c r="CS52" s="352"/>
      <c r="CT52" s="352"/>
      <c r="CU52" s="352"/>
      <c r="CV52" s="352"/>
      <c r="CW52" s="352"/>
      <c r="CX52" s="352"/>
      <c r="CY52" s="352"/>
      <c r="CZ52" s="352"/>
      <c r="DA52" s="352"/>
      <c r="DB52" s="352"/>
      <c r="DC52" s="352"/>
      <c r="DD52" s="352"/>
      <c r="DE52" s="7"/>
    </row>
    <row r="53" spans="1:133" ht="15" customHeight="1">
      <c r="A53" s="3"/>
      <c r="B53" s="382"/>
      <c r="C53" s="383"/>
      <c r="D53" s="383"/>
      <c r="E53" s="383"/>
      <c r="F53" s="383"/>
      <c r="G53" s="383"/>
      <c r="H53" s="384"/>
      <c r="I53" s="351"/>
      <c r="J53" s="351"/>
      <c r="K53" s="351"/>
      <c r="L53" s="351"/>
      <c r="M53" s="351"/>
      <c r="N53" s="351"/>
      <c r="O53" s="351"/>
      <c r="P53" s="457"/>
      <c r="Q53" s="457"/>
      <c r="R53" s="457"/>
      <c r="S53" s="457"/>
      <c r="T53" s="457"/>
      <c r="U53" s="457"/>
      <c r="V53" s="457"/>
      <c r="W53" s="408"/>
      <c r="X53" s="409"/>
      <c r="Y53" s="409"/>
      <c r="Z53" s="409"/>
      <c r="AA53" s="409"/>
      <c r="AB53" s="409"/>
      <c r="AC53" s="410"/>
      <c r="AD53" s="408"/>
      <c r="AE53" s="409"/>
      <c r="AF53" s="409"/>
      <c r="AG53" s="409"/>
      <c r="AH53" s="409"/>
      <c r="AI53" s="409"/>
      <c r="AJ53" s="410"/>
      <c r="AK53" s="408"/>
      <c r="AL53" s="409"/>
      <c r="AM53" s="409"/>
      <c r="AN53" s="409"/>
      <c r="AO53" s="409"/>
      <c r="AP53" s="409"/>
      <c r="AQ53" s="410"/>
      <c r="AR53" s="408"/>
      <c r="AS53" s="409"/>
      <c r="AT53" s="409"/>
      <c r="AU53" s="409"/>
      <c r="AV53" s="409"/>
      <c r="AW53" s="409"/>
      <c r="AX53" s="410"/>
      <c r="AY53" s="408"/>
      <c r="AZ53" s="409"/>
      <c r="BA53" s="409"/>
      <c r="BB53" s="409"/>
      <c r="BC53" s="409"/>
      <c r="BD53" s="409"/>
      <c r="BE53" s="410"/>
      <c r="BF53" s="408"/>
      <c r="BG53" s="409"/>
      <c r="BH53" s="409"/>
      <c r="BI53" s="409"/>
      <c r="BJ53" s="409"/>
      <c r="BK53" s="409"/>
      <c r="BL53" s="410"/>
      <c r="BM53" s="351"/>
      <c r="BN53" s="351"/>
      <c r="BO53" s="351"/>
      <c r="BP53" s="351"/>
      <c r="BQ53" s="351"/>
      <c r="BR53" s="351"/>
      <c r="BS53" s="351"/>
      <c r="BT53" s="351"/>
      <c r="BU53" s="351"/>
      <c r="BV53" s="351"/>
      <c r="BW53" s="351"/>
      <c r="BX53" s="351"/>
      <c r="BY53" s="351"/>
      <c r="BZ53" s="351"/>
      <c r="CA53" s="351"/>
      <c r="CB53" s="351"/>
      <c r="CC53" s="351"/>
      <c r="CD53" s="351"/>
      <c r="CE53" s="351"/>
      <c r="CF53" s="351"/>
      <c r="CG53" s="351"/>
      <c r="CH53" s="351"/>
      <c r="CI53" s="351"/>
      <c r="CJ53" s="351"/>
      <c r="CK53" s="351"/>
      <c r="CL53" s="351"/>
      <c r="CM53" s="351"/>
      <c r="CN53" s="351"/>
      <c r="CO53" s="351"/>
      <c r="CP53" s="351"/>
      <c r="CQ53" s="351"/>
      <c r="CR53" s="351"/>
      <c r="CS53" s="351"/>
      <c r="CT53" s="351"/>
      <c r="CU53" s="351"/>
      <c r="CV53" s="351"/>
      <c r="CW53" s="351"/>
      <c r="CX53" s="351"/>
      <c r="CY53" s="351"/>
      <c r="CZ53" s="351"/>
      <c r="DA53" s="351"/>
      <c r="DB53" s="351"/>
      <c r="DC53" s="351"/>
      <c r="DD53" s="351"/>
      <c r="DE53" s="7"/>
    </row>
    <row r="54" spans="1:133" ht="15" customHeight="1">
      <c r="A54" s="6"/>
      <c r="B54" s="385"/>
      <c r="C54" s="386"/>
      <c r="D54" s="386"/>
      <c r="E54" s="386"/>
      <c r="F54" s="386"/>
      <c r="G54" s="386"/>
      <c r="H54" s="387"/>
      <c r="I54" s="351"/>
      <c r="J54" s="351"/>
      <c r="K54" s="351"/>
      <c r="L54" s="351"/>
      <c r="M54" s="351"/>
      <c r="N54" s="351"/>
      <c r="O54" s="351"/>
      <c r="P54" s="457"/>
      <c r="Q54" s="457"/>
      <c r="R54" s="457"/>
      <c r="S54" s="457"/>
      <c r="T54" s="457"/>
      <c r="U54" s="457"/>
      <c r="V54" s="457"/>
      <c r="W54" s="411"/>
      <c r="X54" s="412"/>
      <c r="Y54" s="412"/>
      <c r="Z54" s="412"/>
      <c r="AA54" s="412"/>
      <c r="AB54" s="412"/>
      <c r="AC54" s="413"/>
      <c r="AD54" s="411"/>
      <c r="AE54" s="412"/>
      <c r="AF54" s="412"/>
      <c r="AG54" s="412"/>
      <c r="AH54" s="412"/>
      <c r="AI54" s="412"/>
      <c r="AJ54" s="413"/>
      <c r="AK54" s="411"/>
      <c r="AL54" s="412"/>
      <c r="AM54" s="412"/>
      <c r="AN54" s="412"/>
      <c r="AO54" s="412"/>
      <c r="AP54" s="412"/>
      <c r="AQ54" s="413"/>
      <c r="AR54" s="411"/>
      <c r="AS54" s="412"/>
      <c r="AT54" s="412"/>
      <c r="AU54" s="412"/>
      <c r="AV54" s="412"/>
      <c r="AW54" s="412"/>
      <c r="AX54" s="413"/>
      <c r="AY54" s="411"/>
      <c r="AZ54" s="412"/>
      <c r="BA54" s="412"/>
      <c r="BB54" s="412"/>
      <c r="BC54" s="412"/>
      <c r="BD54" s="412"/>
      <c r="BE54" s="413"/>
      <c r="BF54" s="411"/>
      <c r="BG54" s="412"/>
      <c r="BH54" s="412"/>
      <c r="BI54" s="412"/>
      <c r="BJ54" s="412"/>
      <c r="BK54" s="412"/>
      <c r="BL54" s="413"/>
      <c r="BM54" s="351"/>
      <c r="BN54" s="351"/>
      <c r="BO54" s="351"/>
      <c r="BP54" s="351"/>
      <c r="BQ54" s="351"/>
      <c r="BR54" s="351"/>
      <c r="BS54" s="351"/>
      <c r="BT54" s="351"/>
      <c r="BU54" s="351"/>
      <c r="BV54" s="351"/>
      <c r="BW54" s="351"/>
      <c r="BX54" s="351"/>
      <c r="BY54" s="351"/>
      <c r="BZ54" s="351"/>
      <c r="CA54" s="351"/>
      <c r="CB54" s="351"/>
      <c r="CC54" s="351"/>
      <c r="CD54" s="351"/>
      <c r="CE54" s="351"/>
      <c r="CF54" s="351"/>
      <c r="CG54" s="351"/>
      <c r="CH54" s="351"/>
      <c r="CI54" s="351"/>
      <c r="CJ54" s="351"/>
      <c r="CK54" s="351"/>
      <c r="CL54" s="351"/>
      <c r="CM54" s="351"/>
      <c r="CN54" s="351"/>
      <c r="CO54" s="351"/>
      <c r="CP54" s="351"/>
      <c r="CQ54" s="351"/>
      <c r="CR54" s="351"/>
      <c r="CS54" s="351"/>
      <c r="CT54" s="351"/>
      <c r="CU54" s="351"/>
      <c r="CV54" s="351"/>
      <c r="CW54" s="351"/>
      <c r="CX54" s="351"/>
      <c r="CY54" s="351"/>
      <c r="CZ54" s="351"/>
      <c r="DA54" s="351"/>
      <c r="DB54" s="351"/>
      <c r="DC54" s="351"/>
      <c r="DD54" s="351"/>
      <c r="DE54" s="7"/>
    </row>
    <row r="55" spans="1:133" ht="15" customHeight="1" thickBot="1">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4"/>
    </row>
    <row r="56" spans="1:133" ht="15" customHeight="1">
      <c r="A56" s="388"/>
      <c r="B56" s="389"/>
      <c r="C56" s="389"/>
      <c r="D56" s="389"/>
      <c r="E56" s="389"/>
      <c r="F56" s="389"/>
      <c r="G56" s="389"/>
      <c r="H56" s="389"/>
      <c r="I56" s="389"/>
      <c r="J56" s="389"/>
      <c r="K56" s="389"/>
      <c r="L56" s="389"/>
      <c r="M56" s="389"/>
      <c r="N56" s="389"/>
      <c r="O56" s="389"/>
      <c r="P56" s="389"/>
      <c r="Q56" s="389"/>
      <c r="R56" s="389"/>
      <c r="S56" s="389"/>
      <c r="T56" s="389"/>
      <c r="U56" s="389"/>
      <c r="V56" s="389"/>
      <c r="W56" s="389"/>
      <c r="X56" s="389"/>
      <c r="Y56" s="389"/>
      <c r="Z56" s="389"/>
      <c r="AA56" s="389"/>
      <c r="AB56" s="389"/>
      <c r="AC56" s="389"/>
      <c r="AD56" s="389"/>
      <c r="AE56" s="389"/>
      <c r="AF56" s="389"/>
      <c r="AG56" s="389"/>
      <c r="AH56" s="389"/>
      <c r="AI56" s="389"/>
      <c r="AJ56" s="389"/>
      <c r="AK56" s="389"/>
      <c r="AL56" s="389"/>
      <c r="AM56" s="389"/>
      <c r="AN56" s="389"/>
      <c r="AO56" s="389"/>
      <c r="AP56" s="389"/>
      <c r="AQ56" s="389"/>
      <c r="AR56" s="389"/>
      <c r="AS56" s="389"/>
      <c r="AT56" s="389"/>
      <c r="AU56" s="389"/>
      <c r="AV56" s="389"/>
      <c r="AW56" s="389"/>
      <c r="AX56" s="389"/>
      <c r="AY56" s="389"/>
      <c r="AZ56" s="389"/>
      <c r="BA56" s="389"/>
      <c r="BB56" s="389"/>
      <c r="BC56" s="389"/>
      <c r="BD56" s="389"/>
      <c r="BE56" s="389"/>
      <c r="BF56" s="389"/>
      <c r="BG56" s="389"/>
      <c r="BH56" s="389"/>
      <c r="BI56" s="389"/>
      <c r="BJ56" s="389"/>
      <c r="BK56" s="389"/>
      <c r="BL56" s="389"/>
      <c r="BM56" s="389"/>
      <c r="BN56" s="389"/>
      <c r="BO56" s="389"/>
      <c r="BP56" s="389"/>
      <c r="BQ56" s="389"/>
      <c r="BR56" s="389"/>
      <c r="BS56" s="389"/>
      <c r="BT56" s="389"/>
      <c r="BU56" s="389"/>
      <c r="BV56" s="389"/>
      <c r="BW56" s="389"/>
      <c r="BX56" s="389"/>
      <c r="BY56" s="389"/>
      <c r="BZ56" s="389"/>
      <c r="CA56" s="389"/>
      <c r="CB56" s="389"/>
      <c r="CC56" s="389"/>
      <c r="CD56" s="389"/>
      <c r="CE56" s="389"/>
      <c r="CF56" s="389"/>
      <c r="CG56" s="389"/>
      <c r="CH56" s="389"/>
      <c r="CI56" s="389"/>
      <c r="CJ56" s="389"/>
      <c r="CK56" s="389"/>
      <c r="CL56" s="389"/>
      <c r="CM56" s="389"/>
      <c r="CN56" s="389"/>
      <c r="CO56" s="389"/>
      <c r="CP56" s="389"/>
      <c r="CQ56" s="389"/>
      <c r="CR56" s="389"/>
      <c r="CS56" s="389"/>
      <c r="CT56" s="389"/>
      <c r="CU56" s="389"/>
      <c r="CV56" s="361" t="s">
        <v>1</v>
      </c>
      <c r="CW56" s="361"/>
      <c r="CX56" s="361"/>
      <c r="CY56" s="361"/>
      <c r="CZ56" s="361"/>
      <c r="DA56" s="361"/>
      <c r="DB56" s="361"/>
      <c r="DC56" s="361"/>
      <c r="DD56" s="361"/>
      <c r="DE56" s="362"/>
    </row>
    <row r="57" spans="1:133" ht="15" customHeight="1">
      <c r="A57" s="390"/>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c r="BQ57" s="391"/>
      <c r="BR57" s="391"/>
      <c r="BS57" s="391"/>
      <c r="BT57" s="391"/>
      <c r="BU57" s="391"/>
      <c r="BV57" s="391"/>
      <c r="BW57" s="391"/>
      <c r="BX57" s="391"/>
      <c r="BY57" s="391"/>
      <c r="BZ57" s="391"/>
      <c r="CA57" s="391"/>
      <c r="CB57" s="391"/>
      <c r="CC57" s="391"/>
      <c r="CD57" s="391"/>
      <c r="CE57" s="391"/>
      <c r="CF57" s="391"/>
      <c r="CG57" s="391"/>
      <c r="CH57" s="391"/>
      <c r="CI57" s="391"/>
      <c r="CJ57" s="391"/>
      <c r="CK57" s="391"/>
      <c r="CL57" s="391"/>
      <c r="CM57" s="391"/>
      <c r="CN57" s="391"/>
      <c r="CO57" s="391"/>
      <c r="CP57" s="391"/>
      <c r="CQ57" s="391"/>
      <c r="CR57" s="391"/>
      <c r="CS57" s="391"/>
      <c r="CT57" s="391"/>
      <c r="CU57" s="391"/>
      <c r="CV57" s="363"/>
      <c r="CW57" s="363"/>
      <c r="CX57" s="363"/>
      <c r="CY57" s="363"/>
      <c r="CZ57" s="363"/>
      <c r="DA57" s="363"/>
      <c r="DB57" s="363"/>
      <c r="DC57" s="363"/>
      <c r="DD57" s="363"/>
      <c r="DE57" s="364"/>
    </row>
    <row r="58" spans="1:133" ht="15" customHeight="1">
      <c r="A58" s="390"/>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1"/>
      <c r="CG58" s="391"/>
      <c r="CH58" s="391"/>
      <c r="CI58" s="391"/>
      <c r="CJ58" s="391"/>
      <c r="CK58" s="391"/>
      <c r="CL58" s="391"/>
      <c r="CM58" s="391"/>
      <c r="CN58" s="391"/>
      <c r="CO58" s="391"/>
      <c r="CP58" s="391"/>
      <c r="CQ58" s="391"/>
      <c r="CR58" s="391"/>
      <c r="CS58" s="391"/>
      <c r="CT58" s="391"/>
      <c r="CU58" s="391"/>
      <c r="CV58" s="363"/>
      <c r="CW58" s="363"/>
      <c r="CX58" s="363"/>
      <c r="CY58" s="363"/>
      <c r="CZ58" s="363"/>
      <c r="DA58" s="363"/>
      <c r="DB58" s="363"/>
      <c r="DC58" s="363"/>
      <c r="DD58" s="363"/>
      <c r="DE58" s="364"/>
    </row>
    <row r="59" spans="1:133" ht="15" customHeight="1">
      <c r="A59" s="390"/>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391"/>
      <c r="BP59" s="391"/>
      <c r="BQ59" s="391"/>
      <c r="BR59" s="391"/>
      <c r="BS59" s="391"/>
      <c r="BT59" s="391"/>
      <c r="BU59" s="391"/>
      <c r="BV59" s="391"/>
      <c r="BW59" s="391"/>
      <c r="BX59" s="391"/>
      <c r="BY59" s="391"/>
      <c r="BZ59" s="391"/>
      <c r="CA59" s="391"/>
      <c r="CB59" s="391"/>
      <c r="CC59" s="391"/>
      <c r="CD59" s="391"/>
      <c r="CE59" s="391"/>
      <c r="CF59" s="391"/>
      <c r="CG59" s="391"/>
      <c r="CH59" s="391"/>
      <c r="CI59" s="391"/>
      <c r="CJ59" s="391"/>
      <c r="CK59" s="391"/>
      <c r="CL59" s="391"/>
      <c r="CM59" s="391"/>
      <c r="CN59" s="391"/>
      <c r="CO59" s="391"/>
      <c r="CP59" s="391"/>
      <c r="CQ59" s="391"/>
      <c r="CR59" s="391"/>
      <c r="CS59" s="391"/>
      <c r="CT59" s="391"/>
      <c r="CU59" s="391"/>
      <c r="CV59" s="363"/>
      <c r="CW59" s="363"/>
      <c r="CX59" s="363"/>
      <c r="CY59" s="363"/>
      <c r="CZ59" s="363"/>
      <c r="DA59" s="363"/>
      <c r="DB59" s="363"/>
      <c r="DC59" s="363"/>
      <c r="DD59" s="363"/>
      <c r="DE59" s="364"/>
    </row>
    <row r="60" spans="1:133" ht="15" customHeight="1">
      <c r="A60" s="390"/>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391"/>
      <c r="BC60" s="391"/>
      <c r="BD60" s="391"/>
      <c r="BE60" s="391"/>
      <c r="BF60" s="391"/>
      <c r="BG60" s="391"/>
      <c r="BH60" s="391"/>
      <c r="BI60" s="391"/>
      <c r="BJ60" s="391"/>
      <c r="BK60" s="391"/>
      <c r="BL60" s="391"/>
      <c r="BM60" s="391"/>
      <c r="BN60" s="391"/>
      <c r="BO60" s="391"/>
      <c r="BP60" s="391"/>
      <c r="BQ60" s="391"/>
      <c r="BR60" s="391"/>
      <c r="BS60" s="391"/>
      <c r="BT60" s="391"/>
      <c r="BU60" s="391"/>
      <c r="BV60" s="391"/>
      <c r="BW60" s="391"/>
      <c r="BX60" s="391"/>
      <c r="BY60" s="391"/>
      <c r="BZ60" s="391"/>
      <c r="CA60" s="391"/>
      <c r="CB60" s="391"/>
      <c r="CC60" s="391"/>
      <c r="CD60" s="391"/>
      <c r="CE60" s="391"/>
      <c r="CF60" s="391"/>
      <c r="CG60" s="391"/>
      <c r="CH60" s="391"/>
      <c r="CI60" s="391"/>
      <c r="CJ60" s="391"/>
      <c r="CK60" s="391"/>
      <c r="CL60" s="391"/>
      <c r="CM60" s="391"/>
      <c r="CN60" s="391"/>
      <c r="CO60" s="391"/>
      <c r="CP60" s="391"/>
      <c r="CQ60" s="391"/>
      <c r="CR60" s="391"/>
      <c r="CS60" s="391"/>
      <c r="CT60" s="391"/>
      <c r="CU60" s="391"/>
      <c r="CV60" s="363"/>
      <c r="CW60" s="363"/>
      <c r="CX60" s="363"/>
      <c r="CY60" s="363"/>
      <c r="CZ60" s="363"/>
      <c r="DA60" s="363"/>
      <c r="DB60" s="363"/>
      <c r="DC60" s="363"/>
      <c r="DD60" s="363"/>
      <c r="DE60" s="364"/>
    </row>
    <row r="61" spans="1:133" ht="15" customHeight="1" thickBot="1">
      <c r="A61" s="390"/>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1"/>
      <c r="CG61" s="391"/>
      <c r="CH61" s="391"/>
      <c r="CI61" s="391"/>
      <c r="CJ61" s="391"/>
      <c r="CK61" s="391"/>
      <c r="CL61" s="391"/>
      <c r="CM61" s="391"/>
      <c r="CN61" s="391"/>
      <c r="CO61" s="391"/>
      <c r="CP61" s="391"/>
      <c r="CQ61" s="391"/>
      <c r="CR61" s="391"/>
      <c r="CS61" s="391"/>
      <c r="CT61" s="391"/>
      <c r="CU61" s="391"/>
      <c r="CV61" s="365"/>
      <c r="CW61" s="365"/>
      <c r="CX61" s="365"/>
      <c r="CY61" s="365"/>
      <c r="CZ61" s="365"/>
      <c r="DA61" s="365"/>
      <c r="DB61" s="365"/>
      <c r="DC61" s="365"/>
      <c r="DD61" s="365"/>
      <c r="DE61" s="366"/>
    </row>
    <row r="62" spans="1:133" ht="15" customHeight="1">
      <c r="A62" s="392" t="s">
        <v>112</v>
      </c>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c r="BL62" s="393"/>
      <c r="BM62" s="393"/>
      <c r="BN62" s="393"/>
      <c r="BO62" s="393"/>
      <c r="BP62" s="393"/>
      <c r="BQ62" s="393"/>
      <c r="BR62" s="393"/>
      <c r="BS62" s="393"/>
      <c r="BT62" s="393"/>
      <c r="BU62" s="393"/>
      <c r="BV62" s="393"/>
      <c r="BW62" s="393"/>
      <c r="BX62" s="393"/>
      <c r="BY62" s="393"/>
      <c r="BZ62" s="393"/>
      <c r="CA62" s="393"/>
      <c r="CB62" s="393"/>
      <c r="CC62" s="393"/>
      <c r="CD62" s="393"/>
      <c r="CE62" s="393"/>
      <c r="CF62" s="393"/>
      <c r="CG62" s="393"/>
      <c r="CH62" s="393"/>
      <c r="CI62" s="393"/>
      <c r="CJ62" s="393"/>
      <c r="CK62" s="393"/>
      <c r="CL62" s="393"/>
      <c r="CM62" s="393"/>
      <c r="CN62" s="393"/>
      <c r="CO62" s="393"/>
      <c r="CP62" s="367" t="s">
        <v>3</v>
      </c>
      <c r="CQ62" s="367"/>
      <c r="CR62" s="367"/>
      <c r="CS62" s="367"/>
      <c r="CT62" s="367"/>
      <c r="CU62" s="367"/>
      <c r="CV62" s="367"/>
      <c r="CW62" s="367"/>
      <c r="CX62" s="367"/>
      <c r="CY62" s="367"/>
      <c r="CZ62" s="367"/>
      <c r="DA62" s="367"/>
      <c r="DB62" s="367"/>
      <c r="DC62" s="367"/>
      <c r="DD62" s="367"/>
      <c r="DE62" s="368"/>
    </row>
    <row r="63" spans="1:133" ht="15" customHeight="1">
      <c r="A63" s="392"/>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c r="BL63" s="393"/>
      <c r="BM63" s="393"/>
      <c r="BN63" s="393"/>
      <c r="BO63" s="393"/>
      <c r="BP63" s="393"/>
      <c r="BQ63" s="393"/>
      <c r="BR63" s="393"/>
      <c r="BS63" s="393"/>
      <c r="BT63" s="393"/>
      <c r="BU63" s="393"/>
      <c r="BV63" s="393"/>
      <c r="BW63" s="393"/>
      <c r="BX63" s="393"/>
      <c r="BY63" s="393"/>
      <c r="BZ63" s="393"/>
      <c r="CA63" s="393"/>
      <c r="CB63" s="393"/>
      <c r="CC63" s="393"/>
      <c r="CD63" s="393"/>
      <c r="CE63" s="393"/>
      <c r="CF63" s="393"/>
      <c r="CG63" s="393"/>
      <c r="CH63" s="393"/>
      <c r="CI63" s="393"/>
      <c r="CJ63" s="393"/>
      <c r="CK63" s="393"/>
      <c r="CL63" s="393"/>
      <c r="CM63" s="393"/>
      <c r="CN63" s="393"/>
      <c r="CO63" s="393"/>
      <c r="CP63" s="367"/>
      <c r="CQ63" s="367"/>
      <c r="CR63" s="367"/>
      <c r="CS63" s="367"/>
      <c r="CT63" s="367"/>
      <c r="CU63" s="367"/>
      <c r="CV63" s="367"/>
      <c r="CW63" s="367"/>
      <c r="CX63" s="367"/>
      <c r="CY63" s="367"/>
      <c r="CZ63" s="367"/>
      <c r="DA63" s="367"/>
      <c r="DB63" s="367"/>
      <c r="DC63" s="367"/>
      <c r="DD63" s="367"/>
      <c r="DE63" s="368"/>
    </row>
    <row r="64" spans="1:133" ht="15" customHeight="1">
      <c r="A64" s="375" t="s">
        <v>4</v>
      </c>
      <c r="B64" s="369"/>
      <c r="C64" s="369"/>
      <c r="D64" s="369"/>
      <c r="E64" s="369"/>
      <c r="F64" s="369"/>
      <c r="G64" s="369"/>
      <c r="H64" s="369"/>
      <c r="I64" s="369"/>
      <c r="J64" s="369"/>
      <c r="K64" s="369"/>
      <c r="L64" s="369"/>
      <c r="M64" s="369"/>
      <c r="N64" s="369"/>
      <c r="O64" s="369"/>
      <c r="P64" s="369"/>
      <c r="Q64" s="369"/>
      <c r="R64" s="369"/>
      <c r="S64" s="370"/>
      <c r="T64" s="370"/>
      <c r="U64" s="370"/>
      <c r="V64" s="370"/>
      <c r="W64" s="370"/>
      <c r="X64" s="370"/>
      <c r="Y64" s="370"/>
      <c r="Z64" s="370"/>
      <c r="AA64" s="370"/>
      <c r="AB64" s="370"/>
      <c r="AC64" s="370"/>
      <c r="AD64" s="370"/>
      <c r="AE64" s="369" t="s">
        <v>5</v>
      </c>
      <c r="AF64" s="369"/>
      <c r="AG64" s="369"/>
      <c r="AH64" s="369"/>
      <c r="AI64" s="369"/>
      <c r="AJ64" s="369"/>
      <c r="AK64" s="369"/>
      <c r="AL64" s="369"/>
      <c r="AM64" s="369"/>
      <c r="AN64" s="369"/>
      <c r="AO64" s="369"/>
      <c r="AP64" s="369"/>
      <c r="AQ64" s="369"/>
      <c r="AR64" s="369"/>
      <c r="AS64" s="394"/>
      <c r="AT64" s="394"/>
      <c r="AU64" s="394"/>
      <c r="AV64" s="394"/>
      <c r="AW64" s="394"/>
      <c r="AX64" s="394"/>
      <c r="AY64" s="394"/>
      <c r="AZ64" s="394"/>
      <c r="BA64" s="394"/>
      <c r="BB64" s="394"/>
      <c r="BC64" s="394"/>
      <c r="BD64" s="394"/>
      <c r="BE64" s="394"/>
      <c r="BF64" s="394"/>
      <c r="BG64" s="369" t="s">
        <v>6</v>
      </c>
      <c r="BH64" s="369"/>
      <c r="BI64" s="369"/>
      <c r="BJ64" s="369"/>
      <c r="BK64" s="369"/>
      <c r="BL64" s="369"/>
      <c r="BM64" s="369"/>
      <c r="BN64" s="369"/>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71" t="s">
        <v>7</v>
      </c>
      <c r="CO64" s="371"/>
      <c r="CP64" s="371"/>
      <c r="CQ64" s="372" t="s">
        <v>8</v>
      </c>
      <c r="CR64" s="372"/>
      <c r="CS64" s="372"/>
      <c r="CT64" s="372"/>
      <c r="CU64" s="372"/>
      <c r="CV64" s="372"/>
      <c r="CW64" s="372"/>
      <c r="CX64" s="372"/>
      <c r="CY64" s="372"/>
      <c r="CZ64" s="372"/>
      <c r="DA64" s="372"/>
      <c r="DB64" s="372"/>
      <c r="DC64" s="372"/>
      <c r="DD64" s="372"/>
      <c r="DE64" s="373"/>
    </row>
    <row r="65" spans="1:109" ht="15" customHeight="1">
      <c r="A65" s="375" t="s">
        <v>9</v>
      </c>
      <c r="B65" s="369"/>
      <c r="C65" s="369"/>
      <c r="D65" s="369"/>
      <c r="E65" s="369"/>
      <c r="F65" s="369"/>
      <c r="G65" s="369"/>
      <c r="H65" s="369"/>
      <c r="I65" s="369"/>
      <c r="J65" s="369"/>
      <c r="K65" s="369"/>
      <c r="L65" s="369"/>
      <c r="M65" s="369"/>
      <c r="N65" s="369"/>
      <c r="O65" s="369"/>
      <c r="P65" s="369"/>
      <c r="Q65" s="369"/>
      <c r="R65" s="369"/>
      <c r="S65" s="370" t="s">
        <v>10</v>
      </c>
      <c r="T65" s="370"/>
      <c r="U65" s="370"/>
      <c r="V65" s="370"/>
      <c r="W65" s="370"/>
      <c r="X65" s="370"/>
      <c r="Y65" s="370"/>
      <c r="Z65" s="370"/>
      <c r="AA65" s="370"/>
      <c r="AB65" s="370"/>
      <c r="AC65" s="370"/>
      <c r="AD65" s="370"/>
      <c r="AE65" s="369" t="s">
        <v>11</v>
      </c>
      <c r="AF65" s="369"/>
      <c r="AG65" s="369"/>
      <c r="AH65" s="369"/>
      <c r="AI65" s="369"/>
      <c r="AJ65" s="369"/>
      <c r="AK65" s="369"/>
      <c r="AL65" s="369"/>
      <c r="AM65" s="369"/>
      <c r="AN65" s="369"/>
      <c r="AO65" s="369"/>
      <c r="AP65" s="369"/>
      <c r="AQ65" s="369"/>
      <c r="AR65" s="369"/>
      <c r="AS65" s="370"/>
      <c r="AT65" s="370"/>
      <c r="AU65" s="370"/>
      <c r="AV65" s="370"/>
      <c r="AW65" s="370"/>
      <c r="AX65" s="370"/>
      <c r="AY65" s="370"/>
      <c r="AZ65" s="370"/>
      <c r="BA65" s="370"/>
      <c r="BB65" s="370"/>
      <c r="BC65" s="370"/>
      <c r="BD65" s="370"/>
      <c r="BE65" s="370"/>
      <c r="BF65" s="370"/>
      <c r="BG65" s="369"/>
      <c r="BH65" s="369"/>
      <c r="BI65" s="369"/>
      <c r="BJ65" s="369"/>
      <c r="BK65" s="369"/>
      <c r="BL65" s="369"/>
      <c r="BM65" s="369"/>
      <c r="BN65" s="369"/>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71"/>
      <c r="CO65" s="371"/>
      <c r="CP65" s="371"/>
      <c r="CQ65" s="372" t="s">
        <v>13</v>
      </c>
      <c r="CR65" s="372"/>
      <c r="CS65" s="372"/>
      <c r="CT65" s="372"/>
      <c r="CU65" s="372"/>
      <c r="CV65" s="372"/>
      <c r="CW65" s="372"/>
      <c r="CX65" s="372"/>
      <c r="CY65" s="372"/>
      <c r="CZ65" s="372"/>
      <c r="DA65" s="372"/>
      <c r="DB65" s="372"/>
      <c r="DC65" s="372"/>
      <c r="DD65" s="372"/>
      <c r="DE65" s="373"/>
    </row>
    <row r="66" spans="1:109" ht="15" customHeight="1">
      <c r="A66" s="375" t="s">
        <v>14</v>
      </c>
      <c r="B66" s="369"/>
      <c r="C66" s="369"/>
      <c r="D66" s="369"/>
      <c r="E66" s="369"/>
      <c r="F66" s="369"/>
      <c r="G66" s="369"/>
      <c r="H66" s="369"/>
      <c r="I66" s="369"/>
      <c r="J66" s="369"/>
      <c r="K66" s="369"/>
      <c r="L66" s="369"/>
      <c r="M66" s="369"/>
      <c r="N66" s="369"/>
      <c r="O66" s="369"/>
      <c r="P66" s="369"/>
      <c r="Q66" s="369"/>
      <c r="R66" s="369"/>
      <c r="S66" s="370"/>
      <c r="T66" s="370"/>
      <c r="U66" s="370"/>
      <c r="V66" s="370"/>
      <c r="W66" s="370"/>
      <c r="X66" s="370"/>
      <c r="Y66" s="370"/>
      <c r="Z66" s="370"/>
      <c r="AA66" s="370"/>
      <c r="AB66" s="370"/>
      <c r="AC66" s="370"/>
      <c r="AD66" s="370"/>
      <c r="AE66" s="369" t="s">
        <v>16</v>
      </c>
      <c r="AF66" s="369"/>
      <c r="AG66" s="369"/>
      <c r="AH66" s="369"/>
      <c r="AI66" s="369"/>
      <c r="AJ66" s="369"/>
      <c r="AK66" s="369"/>
      <c r="AL66" s="369"/>
      <c r="AM66" s="369"/>
      <c r="AN66" s="369"/>
      <c r="AO66" s="369"/>
      <c r="AP66" s="369"/>
      <c r="AQ66" s="369"/>
      <c r="AR66" s="369"/>
      <c r="AS66" s="370"/>
      <c r="AT66" s="370"/>
      <c r="AU66" s="370"/>
      <c r="AV66" s="370"/>
      <c r="AW66" s="370"/>
      <c r="AX66" s="370"/>
      <c r="AY66" s="370"/>
      <c r="AZ66" s="370"/>
      <c r="BA66" s="370"/>
      <c r="BB66" s="370"/>
      <c r="BC66" s="370"/>
      <c r="BD66" s="370"/>
      <c r="BE66" s="370"/>
      <c r="BF66" s="370"/>
      <c r="BG66" s="369"/>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71"/>
      <c r="CO66" s="371"/>
      <c r="CP66" s="371"/>
      <c r="CQ66" s="372" t="s">
        <v>18</v>
      </c>
      <c r="CR66" s="372"/>
      <c r="CS66" s="372"/>
      <c r="CT66" s="372"/>
      <c r="CU66" s="372"/>
      <c r="CV66" s="372"/>
      <c r="CW66" s="372"/>
      <c r="CX66" s="372"/>
      <c r="CY66" s="372"/>
      <c r="CZ66" s="372"/>
      <c r="DA66" s="372"/>
      <c r="DB66" s="372"/>
      <c r="DC66" s="372"/>
      <c r="DD66" s="372"/>
      <c r="DE66" s="373"/>
    </row>
    <row r="67" spans="1:109" ht="15" customHeight="1">
      <c r="A67" s="446" t="s">
        <v>84</v>
      </c>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c r="AA67" s="447"/>
      <c r="AB67" s="447"/>
      <c r="AC67" s="447"/>
      <c r="AD67" s="447"/>
      <c r="AE67" s="447"/>
      <c r="AF67" s="447"/>
      <c r="AG67" s="447"/>
      <c r="AH67" s="447"/>
      <c r="AI67" s="447"/>
      <c r="AJ67" s="447"/>
      <c r="AK67" s="447"/>
      <c r="AL67" s="447"/>
      <c r="AM67" s="447"/>
      <c r="AN67" s="447"/>
      <c r="AO67" s="447"/>
      <c r="AP67" s="447"/>
      <c r="AQ67" s="447"/>
      <c r="AR67" s="447"/>
      <c r="AS67" s="447"/>
      <c r="AT67" s="447"/>
      <c r="AU67" s="447"/>
      <c r="AV67" s="447"/>
      <c r="AW67" s="447"/>
      <c r="AX67" s="447"/>
      <c r="AY67" s="447"/>
      <c r="AZ67" s="447"/>
      <c r="BA67" s="447"/>
      <c r="BB67" s="447"/>
      <c r="BC67" s="447"/>
      <c r="BD67" s="447"/>
      <c r="BE67" s="447"/>
      <c r="BF67" s="447"/>
      <c r="BG67" s="447"/>
      <c r="BH67" s="447"/>
      <c r="BI67" s="447"/>
      <c r="BJ67" s="447"/>
      <c r="BK67" s="447"/>
      <c r="BL67" s="447"/>
      <c r="BM67" s="447"/>
      <c r="BN67" s="447"/>
      <c r="BO67" s="447"/>
      <c r="BP67" s="447"/>
      <c r="BQ67" s="447"/>
      <c r="BR67" s="447"/>
      <c r="BS67" s="447"/>
      <c r="BT67" s="447"/>
      <c r="BU67" s="447"/>
      <c r="BV67" s="447"/>
      <c r="BW67" s="447"/>
      <c r="BX67" s="447"/>
      <c r="BY67" s="447"/>
      <c r="BZ67" s="447"/>
      <c r="CA67" s="447"/>
      <c r="CB67" s="447"/>
      <c r="CC67" s="447"/>
      <c r="CD67" s="447"/>
      <c r="CE67" s="447"/>
      <c r="CF67" s="447"/>
      <c r="CG67" s="447"/>
      <c r="CH67" s="447"/>
      <c r="CI67" s="447"/>
      <c r="CJ67" s="447"/>
      <c r="CK67" s="447"/>
      <c r="CL67" s="447"/>
      <c r="CM67" s="447"/>
      <c r="CN67" s="447"/>
      <c r="CO67" s="447"/>
      <c r="CP67" s="447"/>
      <c r="CQ67" s="447"/>
      <c r="CR67" s="447"/>
      <c r="CS67" s="447"/>
      <c r="CT67" s="447"/>
      <c r="CU67" s="447"/>
      <c r="CV67" s="447"/>
      <c r="CW67" s="447"/>
      <c r="CX67" s="447"/>
      <c r="CY67" s="447"/>
      <c r="CZ67" s="447"/>
      <c r="DA67" s="447"/>
      <c r="DB67" s="447"/>
      <c r="DC67" s="447"/>
      <c r="DD67" s="447"/>
      <c r="DE67" s="448"/>
    </row>
    <row r="68" spans="1:109" ht="15" customHeight="1">
      <c r="A68" s="449" t="s">
        <v>85</v>
      </c>
      <c r="B68" s="450"/>
      <c r="C68" s="450"/>
      <c r="D68" s="450"/>
      <c r="E68" s="450"/>
      <c r="F68" s="450"/>
      <c r="G68" s="450"/>
      <c r="H68" s="450"/>
      <c r="I68" s="450"/>
      <c r="J68" s="450"/>
      <c r="K68" s="455" t="s">
        <v>86</v>
      </c>
      <c r="L68" s="455"/>
      <c r="M68" s="455"/>
      <c r="N68" s="455"/>
      <c r="O68" s="455"/>
      <c r="P68" s="455"/>
      <c r="Q68" s="455"/>
      <c r="R68" s="455"/>
      <c r="S68" s="455"/>
      <c r="T68" s="450" t="s">
        <v>87</v>
      </c>
      <c r="U68" s="450"/>
      <c r="V68" s="450"/>
      <c r="W68" s="450"/>
      <c r="X68" s="450"/>
      <c r="Y68" s="450"/>
      <c r="Z68" s="450"/>
      <c r="AA68" s="450"/>
      <c r="AB68" s="450"/>
      <c r="AC68" s="455">
        <v>1200</v>
      </c>
      <c r="AD68" s="455"/>
      <c r="AE68" s="455"/>
      <c r="AF68" s="455"/>
      <c r="AG68" s="455"/>
      <c r="AH68" s="455"/>
      <c r="AI68" s="455"/>
      <c r="AJ68" s="455"/>
      <c r="AK68" s="455"/>
      <c r="AL68" s="450" t="s">
        <v>88</v>
      </c>
      <c r="AM68" s="450"/>
      <c r="AN68" s="450"/>
      <c r="AO68" s="450"/>
      <c r="AP68" s="450"/>
      <c r="AQ68" s="450"/>
      <c r="AR68" s="450"/>
      <c r="AS68" s="450"/>
      <c r="AT68" s="450"/>
      <c r="AU68" s="455">
        <v>10</v>
      </c>
      <c r="AV68" s="455"/>
      <c r="AW68" s="455"/>
      <c r="AX68" s="455"/>
      <c r="AY68" s="455"/>
      <c r="AZ68" s="455"/>
      <c r="BA68" s="455"/>
      <c r="BB68" s="455"/>
      <c r="BC68" s="455"/>
      <c r="BD68" s="450" t="s">
        <v>89</v>
      </c>
      <c r="BE68" s="450"/>
      <c r="BF68" s="450"/>
      <c r="BG68" s="450"/>
      <c r="BH68" s="450"/>
      <c r="BI68" s="450"/>
      <c r="BJ68" s="450"/>
      <c r="BK68" s="450"/>
      <c r="BL68" s="450"/>
      <c r="BM68" s="452" t="s">
        <v>90</v>
      </c>
      <c r="BN68" s="453"/>
      <c r="BO68" s="453"/>
      <c r="BP68" s="453"/>
      <c r="BQ68" s="453"/>
      <c r="BR68" s="453"/>
      <c r="BS68" s="453"/>
      <c r="BT68" s="453"/>
      <c r="BU68" s="453"/>
      <c r="BV68" s="453"/>
      <c r="BW68" s="453"/>
      <c r="BX68" s="453"/>
      <c r="BY68" s="453"/>
      <c r="BZ68" s="453"/>
      <c r="CA68" s="453"/>
      <c r="CB68" s="453"/>
      <c r="CC68" s="453"/>
      <c r="CD68" s="453"/>
      <c r="CE68" s="453"/>
      <c r="CF68" s="453"/>
      <c r="CG68" s="453"/>
      <c r="CH68" s="453"/>
      <c r="CI68" s="453"/>
      <c r="CJ68" s="453"/>
      <c r="CK68" s="453"/>
      <c r="CL68" s="453"/>
      <c r="CM68" s="454"/>
      <c r="CN68" s="450" t="s">
        <v>91</v>
      </c>
      <c r="CO68" s="450"/>
      <c r="CP68" s="450"/>
      <c r="CQ68" s="450"/>
      <c r="CR68" s="450"/>
      <c r="CS68" s="450"/>
      <c r="CT68" s="450"/>
      <c r="CU68" s="450"/>
      <c r="CV68" s="450"/>
      <c r="CW68" s="455" t="s">
        <v>92</v>
      </c>
      <c r="CX68" s="455"/>
      <c r="CY68" s="455"/>
      <c r="CZ68" s="455"/>
      <c r="DA68" s="455"/>
      <c r="DB68" s="455"/>
      <c r="DC68" s="455"/>
      <c r="DD68" s="455"/>
      <c r="DE68" s="456"/>
    </row>
    <row r="69" spans="1:109" ht="15" customHeight="1">
      <c r="A69" s="449" t="s">
        <v>93</v>
      </c>
      <c r="B69" s="450"/>
      <c r="C69" s="450"/>
      <c r="D69" s="450"/>
      <c r="E69" s="450"/>
      <c r="F69" s="450"/>
      <c r="G69" s="450"/>
      <c r="H69" s="450"/>
      <c r="I69" s="450"/>
      <c r="J69" s="450"/>
      <c r="K69" s="444" t="s">
        <v>94</v>
      </c>
      <c r="L69" s="444"/>
      <c r="M69" s="444"/>
      <c r="N69" s="444"/>
      <c r="O69" s="444"/>
      <c r="P69" s="444"/>
      <c r="Q69" s="444"/>
      <c r="R69" s="444"/>
      <c r="S69" s="444"/>
      <c r="T69" s="451" t="s">
        <v>95</v>
      </c>
      <c r="U69" s="451"/>
      <c r="V69" s="451"/>
      <c r="W69" s="451"/>
      <c r="X69" s="451"/>
      <c r="Y69" s="451"/>
      <c r="Z69" s="451"/>
      <c r="AA69" s="451"/>
      <c r="AB69" s="451"/>
      <c r="AC69" s="444" t="s">
        <v>96</v>
      </c>
      <c r="AD69" s="444"/>
      <c r="AE69" s="444"/>
      <c r="AF69" s="444"/>
      <c r="AG69" s="444"/>
      <c r="AH69" s="444"/>
      <c r="AI69" s="444"/>
      <c r="AJ69" s="444"/>
      <c r="AK69" s="444"/>
      <c r="AL69" s="451" t="s">
        <v>97</v>
      </c>
      <c r="AM69" s="451"/>
      <c r="AN69" s="451"/>
      <c r="AO69" s="451"/>
      <c r="AP69" s="451"/>
      <c r="AQ69" s="451"/>
      <c r="AR69" s="451"/>
      <c r="AS69" s="451"/>
      <c r="AT69" s="451"/>
      <c r="AU69" s="444" t="s">
        <v>98</v>
      </c>
      <c r="AV69" s="444"/>
      <c r="AW69" s="444"/>
      <c r="AX69" s="444"/>
      <c r="AY69" s="444"/>
      <c r="AZ69" s="444"/>
      <c r="BA69" s="444"/>
      <c r="BB69" s="444"/>
      <c r="BC69" s="444"/>
      <c r="BD69" s="451" t="s">
        <v>99</v>
      </c>
      <c r="BE69" s="451"/>
      <c r="BF69" s="451"/>
      <c r="BG69" s="451"/>
      <c r="BH69" s="451"/>
      <c r="BI69" s="451"/>
      <c r="BJ69" s="451"/>
      <c r="BK69" s="451"/>
      <c r="BL69" s="451"/>
      <c r="BM69" s="452" t="s">
        <v>100</v>
      </c>
      <c r="BN69" s="453"/>
      <c r="BO69" s="453"/>
      <c r="BP69" s="453"/>
      <c r="BQ69" s="453"/>
      <c r="BR69" s="453"/>
      <c r="BS69" s="453"/>
      <c r="BT69" s="453"/>
      <c r="BU69" s="453"/>
      <c r="BV69" s="453"/>
      <c r="BW69" s="453"/>
      <c r="BX69" s="453"/>
      <c r="BY69" s="453"/>
      <c r="BZ69" s="453"/>
      <c r="CA69" s="453"/>
      <c r="CB69" s="453"/>
      <c r="CC69" s="453"/>
      <c r="CD69" s="453"/>
      <c r="CE69" s="453"/>
      <c r="CF69" s="453"/>
      <c r="CG69" s="453"/>
      <c r="CH69" s="453"/>
      <c r="CI69" s="453"/>
      <c r="CJ69" s="453"/>
      <c r="CK69" s="453"/>
      <c r="CL69" s="453"/>
      <c r="CM69" s="454"/>
      <c r="CN69" s="451" t="s">
        <v>101</v>
      </c>
      <c r="CO69" s="451"/>
      <c r="CP69" s="451"/>
      <c r="CQ69" s="451"/>
      <c r="CR69" s="451"/>
      <c r="CS69" s="451"/>
      <c r="CT69" s="451"/>
      <c r="CU69" s="451"/>
      <c r="CV69" s="451"/>
      <c r="CW69" s="444" t="s">
        <v>102</v>
      </c>
      <c r="CX69" s="444"/>
      <c r="CY69" s="444"/>
      <c r="CZ69" s="444"/>
      <c r="DA69" s="444"/>
      <c r="DB69" s="444"/>
      <c r="DC69" s="444"/>
      <c r="DD69" s="444"/>
      <c r="DE69" s="445"/>
    </row>
    <row r="70" spans="1:109" ht="15" customHeight="1">
      <c r="A70" s="446" t="s">
        <v>103</v>
      </c>
      <c r="B70" s="447"/>
      <c r="C70" s="447"/>
      <c r="D70" s="447"/>
      <c r="E70" s="447"/>
      <c r="F70" s="447"/>
      <c r="G70" s="447"/>
      <c r="H70" s="447"/>
      <c r="I70" s="447"/>
      <c r="J70" s="447"/>
      <c r="K70" s="447"/>
      <c r="L70" s="447"/>
      <c r="M70" s="447"/>
      <c r="N70" s="447"/>
      <c r="O70" s="447"/>
      <c r="P70" s="447"/>
      <c r="Q70" s="447"/>
      <c r="R70" s="447"/>
      <c r="S70" s="447"/>
      <c r="T70" s="447"/>
      <c r="U70" s="447"/>
      <c r="V70" s="447"/>
      <c r="W70" s="447"/>
      <c r="X70" s="447"/>
      <c r="Y70" s="447"/>
      <c r="Z70" s="447"/>
      <c r="AA70" s="447"/>
      <c r="AB70" s="447"/>
      <c r="AC70" s="447"/>
      <c r="AD70" s="447"/>
      <c r="AE70" s="447"/>
      <c r="AF70" s="447"/>
      <c r="AG70" s="447"/>
      <c r="AH70" s="447"/>
      <c r="AI70" s="447"/>
      <c r="AJ70" s="447"/>
      <c r="AK70" s="447"/>
      <c r="AL70" s="447"/>
      <c r="AM70" s="447"/>
      <c r="AN70" s="447"/>
      <c r="AO70" s="447"/>
      <c r="AP70" s="447"/>
      <c r="AQ70" s="447"/>
      <c r="AR70" s="447"/>
      <c r="AS70" s="447"/>
      <c r="AT70" s="447"/>
      <c r="AU70" s="447"/>
      <c r="AV70" s="447"/>
      <c r="AW70" s="447"/>
      <c r="AX70" s="447"/>
      <c r="AY70" s="447"/>
      <c r="AZ70" s="447"/>
      <c r="BA70" s="447"/>
      <c r="BB70" s="447"/>
      <c r="BC70" s="447"/>
      <c r="BD70" s="447"/>
      <c r="BE70" s="447"/>
      <c r="BF70" s="447"/>
      <c r="BG70" s="447"/>
      <c r="BH70" s="447"/>
      <c r="BI70" s="447"/>
      <c r="BJ70" s="447"/>
      <c r="BK70" s="447"/>
      <c r="BL70" s="447"/>
      <c r="BM70" s="447"/>
      <c r="BN70" s="447"/>
      <c r="BO70" s="447"/>
      <c r="BP70" s="447"/>
      <c r="BQ70" s="447"/>
      <c r="BR70" s="447"/>
      <c r="BS70" s="447"/>
      <c r="BT70" s="447"/>
      <c r="BU70" s="447"/>
      <c r="BV70" s="447"/>
      <c r="BW70" s="447"/>
      <c r="BX70" s="447"/>
      <c r="BY70" s="447"/>
      <c r="BZ70" s="447"/>
      <c r="CA70" s="447"/>
      <c r="CB70" s="447"/>
      <c r="CC70" s="447"/>
      <c r="CD70" s="447"/>
      <c r="CE70" s="447"/>
      <c r="CF70" s="447"/>
      <c r="CG70" s="447"/>
      <c r="CH70" s="447"/>
      <c r="CI70" s="447"/>
      <c r="CJ70" s="447"/>
      <c r="CK70" s="447"/>
      <c r="CL70" s="447"/>
      <c r="CM70" s="447"/>
      <c r="CN70" s="447"/>
      <c r="CO70" s="447"/>
      <c r="CP70" s="447"/>
      <c r="CQ70" s="447"/>
      <c r="CR70" s="447"/>
      <c r="CS70" s="447"/>
      <c r="CT70" s="447"/>
      <c r="CU70" s="447"/>
      <c r="CV70" s="447"/>
      <c r="CW70" s="447"/>
      <c r="CX70" s="447"/>
      <c r="CY70" s="447"/>
      <c r="CZ70" s="447"/>
      <c r="DA70" s="447"/>
      <c r="DB70" s="447"/>
      <c r="DC70" s="447"/>
      <c r="DD70" s="447"/>
      <c r="DE70" s="448"/>
    </row>
    <row r="71" spans="1:109" ht="15" customHeight="1">
      <c r="A71" s="3"/>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CN71" s="4"/>
      <c r="CO71" s="4"/>
      <c r="CP71" s="4"/>
      <c r="CQ71" s="4"/>
      <c r="CR71" s="4"/>
      <c r="CS71" s="4"/>
      <c r="CT71" s="4"/>
      <c r="CU71" s="4"/>
      <c r="CV71" s="4"/>
      <c r="CW71" s="4"/>
      <c r="CX71" s="4"/>
      <c r="CY71" s="4"/>
      <c r="CZ71" s="4"/>
      <c r="DA71" s="4"/>
      <c r="DB71" s="4"/>
      <c r="DC71" s="4"/>
      <c r="DD71" s="4"/>
      <c r="DE71" s="23"/>
    </row>
    <row r="72" spans="1:109" ht="15" customHeight="1">
      <c r="A72" s="6"/>
      <c r="B72" s="376" t="s">
        <v>19</v>
      </c>
      <c r="C72" s="377"/>
      <c r="D72" s="377"/>
      <c r="E72" s="377"/>
      <c r="F72" s="377"/>
      <c r="G72" s="377"/>
      <c r="H72" s="378"/>
      <c r="I72" s="376" t="s">
        <v>21</v>
      </c>
      <c r="J72" s="377"/>
      <c r="K72" s="377"/>
      <c r="L72" s="377"/>
      <c r="M72" s="377"/>
      <c r="N72" s="377"/>
      <c r="O72" s="378"/>
      <c r="P72" s="376" t="s">
        <v>104</v>
      </c>
      <c r="Q72" s="377"/>
      <c r="R72" s="377"/>
      <c r="S72" s="377"/>
      <c r="T72" s="377"/>
      <c r="U72" s="377"/>
      <c r="V72" s="378"/>
      <c r="W72" s="376" t="s">
        <v>26</v>
      </c>
      <c r="X72" s="377"/>
      <c r="Y72" s="377"/>
      <c r="Z72" s="377"/>
      <c r="AA72" s="377"/>
      <c r="AB72" s="377"/>
      <c r="AC72" s="378"/>
      <c r="AD72" s="376" t="s">
        <v>24</v>
      </c>
      <c r="AE72" s="377"/>
      <c r="AF72" s="377"/>
      <c r="AG72" s="377"/>
      <c r="AH72" s="377"/>
      <c r="AI72" s="377"/>
      <c r="AJ72" s="378"/>
      <c r="AK72" s="376" t="s">
        <v>25</v>
      </c>
      <c r="AL72" s="377"/>
      <c r="AM72" s="377"/>
      <c r="AN72" s="377"/>
      <c r="AO72" s="377"/>
      <c r="AP72" s="377"/>
      <c r="AQ72" s="378"/>
      <c r="AR72" s="376" t="s">
        <v>110</v>
      </c>
      <c r="AS72" s="377"/>
      <c r="AT72" s="377"/>
      <c r="AU72" s="377"/>
      <c r="AV72" s="377"/>
      <c r="AW72" s="377"/>
      <c r="AX72" s="378"/>
      <c r="AY72" s="376" t="s">
        <v>111</v>
      </c>
      <c r="AZ72" s="377"/>
      <c r="BA72" s="377"/>
      <c r="BB72" s="377"/>
      <c r="BC72" s="377"/>
      <c r="BD72" s="377"/>
      <c r="BE72" s="378"/>
      <c r="BF72" s="376" t="s">
        <v>108</v>
      </c>
      <c r="BG72" s="377"/>
      <c r="BH72" s="377"/>
      <c r="BI72" s="377"/>
      <c r="BJ72" s="377"/>
      <c r="BK72" s="377"/>
      <c r="BL72" s="378"/>
      <c r="BM72" s="376" t="s">
        <v>109</v>
      </c>
      <c r="BN72" s="377"/>
      <c r="BO72" s="377"/>
      <c r="BP72" s="377"/>
      <c r="BQ72" s="377"/>
      <c r="BR72" s="377"/>
      <c r="BS72" s="377"/>
      <c r="BT72" s="377"/>
      <c r="BU72" s="377"/>
      <c r="BV72" s="377"/>
      <c r="BW72" s="377"/>
      <c r="BX72" s="377"/>
      <c r="BY72" s="377"/>
      <c r="BZ72" s="377"/>
      <c r="CA72" s="377"/>
      <c r="CB72" s="377"/>
      <c r="CC72" s="377"/>
      <c r="CD72" s="377"/>
      <c r="CE72" s="377"/>
      <c r="CF72" s="377"/>
      <c r="CG72" s="377"/>
      <c r="CH72" s="377"/>
      <c r="CI72" s="377"/>
      <c r="CJ72" s="377"/>
      <c r="CK72" s="377"/>
      <c r="CL72" s="378"/>
      <c r="CM72" s="376" t="s">
        <v>30</v>
      </c>
      <c r="CN72" s="377"/>
      <c r="CO72" s="377"/>
      <c r="CP72" s="377"/>
      <c r="CQ72" s="377"/>
      <c r="CR72" s="377"/>
      <c r="CS72" s="377"/>
      <c r="CT72" s="377"/>
      <c r="CU72" s="377"/>
      <c r="CV72" s="377"/>
      <c r="CW72" s="377"/>
      <c r="CX72" s="377"/>
      <c r="CY72" s="377"/>
      <c r="CZ72" s="377"/>
      <c r="DA72" s="377"/>
      <c r="DB72" s="377"/>
      <c r="DC72" s="377"/>
      <c r="DD72" s="378"/>
      <c r="DE72" s="7"/>
    </row>
    <row r="73" spans="1:109" ht="15" customHeight="1">
      <c r="A73" s="6"/>
      <c r="B73" s="379"/>
      <c r="C73" s="380"/>
      <c r="D73" s="380"/>
      <c r="E73" s="380"/>
      <c r="F73" s="380"/>
      <c r="G73" s="380"/>
      <c r="H73" s="381"/>
      <c r="I73" s="379"/>
      <c r="J73" s="380"/>
      <c r="K73" s="380"/>
      <c r="L73" s="380"/>
      <c r="M73" s="380"/>
      <c r="N73" s="380"/>
      <c r="O73" s="381"/>
      <c r="P73" s="379"/>
      <c r="Q73" s="380"/>
      <c r="R73" s="380"/>
      <c r="S73" s="380"/>
      <c r="T73" s="380"/>
      <c r="U73" s="380"/>
      <c r="V73" s="381"/>
      <c r="W73" s="379"/>
      <c r="X73" s="380"/>
      <c r="Y73" s="380"/>
      <c r="Z73" s="380"/>
      <c r="AA73" s="380"/>
      <c r="AB73" s="380"/>
      <c r="AC73" s="381"/>
      <c r="AD73" s="379"/>
      <c r="AE73" s="380"/>
      <c r="AF73" s="380"/>
      <c r="AG73" s="380"/>
      <c r="AH73" s="380"/>
      <c r="AI73" s="380"/>
      <c r="AJ73" s="381"/>
      <c r="AK73" s="379"/>
      <c r="AL73" s="380"/>
      <c r="AM73" s="380"/>
      <c r="AN73" s="380"/>
      <c r="AO73" s="380"/>
      <c r="AP73" s="380"/>
      <c r="AQ73" s="381"/>
      <c r="AR73" s="379"/>
      <c r="AS73" s="380"/>
      <c r="AT73" s="380"/>
      <c r="AU73" s="380"/>
      <c r="AV73" s="380"/>
      <c r="AW73" s="380"/>
      <c r="AX73" s="381"/>
      <c r="AY73" s="379"/>
      <c r="AZ73" s="380"/>
      <c r="BA73" s="380"/>
      <c r="BB73" s="380"/>
      <c r="BC73" s="380"/>
      <c r="BD73" s="380"/>
      <c r="BE73" s="381"/>
      <c r="BF73" s="379"/>
      <c r="BG73" s="380"/>
      <c r="BH73" s="380"/>
      <c r="BI73" s="380"/>
      <c r="BJ73" s="380"/>
      <c r="BK73" s="380"/>
      <c r="BL73" s="381"/>
      <c r="BM73" s="379"/>
      <c r="BN73" s="380"/>
      <c r="BO73" s="380"/>
      <c r="BP73" s="380"/>
      <c r="BQ73" s="380"/>
      <c r="BR73" s="380"/>
      <c r="BS73" s="380"/>
      <c r="BT73" s="380"/>
      <c r="BU73" s="380"/>
      <c r="BV73" s="380"/>
      <c r="BW73" s="380"/>
      <c r="BX73" s="380"/>
      <c r="BY73" s="380"/>
      <c r="BZ73" s="380"/>
      <c r="CA73" s="380"/>
      <c r="CB73" s="380"/>
      <c r="CC73" s="380"/>
      <c r="CD73" s="380"/>
      <c r="CE73" s="380"/>
      <c r="CF73" s="380"/>
      <c r="CG73" s="380"/>
      <c r="CH73" s="380"/>
      <c r="CI73" s="380"/>
      <c r="CJ73" s="380"/>
      <c r="CK73" s="380"/>
      <c r="CL73" s="381"/>
      <c r="CM73" s="379"/>
      <c r="CN73" s="380"/>
      <c r="CO73" s="380"/>
      <c r="CP73" s="380"/>
      <c r="CQ73" s="380"/>
      <c r="CR73" s="380"/>
      <c r="CS73" s="380"/>
      <c r="CT73" s="380"/>
      <c r="CU73" s="380"/>
      <c r="CV73" s="380"/>
      <c r="CW73" s="380"/>
      <c r="CX73" s="380"/>
      <c r="CY73" s="380"/>
      <c r="CZ73" s="380"/>
      <c r="DA73" s="380"/>
      <c r="DB73" s="380"/>
      <c r="DC73" s="380"/>
      <c r="DD73" s="381"/>
      <c r="DE73" s="7"/>
    </row>
    <row r="74" spans="1:109" ht="15" customHeight="1">
      <c r="A74" s="6"/>
      <c r="B74" s="353"/>
      <c r="C74" s="354"/>
      <c r="D74" s="354"/>
      <c r="E74" s="354"/>
      <c r="F74" s="354"/>
      <c r="G74" s="354"/>
      <c r="H74" s="355"/>
      <c r="I74" s="353"/>
      <c r="J74" s="354"/>
      <c r="K74" s="354"/>
      <c r="L74" s="354"/>
      <c r="M74" s="354"/>
      <c r="N74" s="354"/>
      <c r="O74" s="355"/>
      <c r="P74" s="353"/>
      <c r="Q74" s="354"/>
      <c r="R74" s="354"/>
      <c r="S74" s="354"/>
      <c r="T74" s="354"/>
      <c r="U74" s="354"/>
      <c r="V74" s="355"/>
      <c r="W74" s="395"/>
      <c r="X74" s="396"/>
      <c r="Y74" s="396"/>
      <c r="Z74" s="396"/>
      <c r="AA74" s="396"/>
      <c r="AB74" s="396"/>
      <c r="AC74" s="397"/>
      <c r="AD74" s="395"/>
      <c r="AE74" s="396"/>
      <c r="AF74" s="396"/>
      <c r="AG74" s="396"/>
      <c r="AH74" s="396"/>
      <c r="AI74" s="396"/>
      <c r="AJ74" s="397"/>
      <c r="AK74" s="395"/>
      <c r="AL74" s="396"/>
      <c r="AM74" s="396"/>
      <c r="AN74" s="396"/>
      <c r="AO74" s="396"/>
      <c r="AP74" s="396"/>
      <c r="AQ74" s="397"/>
      <c r="AR74" s="395"/>
      <c r="AS74" s="396"/>
      <c r="AT74" s="396"/>
      <c r="AU74" s="396"/>
      <c r="AV74" s="396"/>
      <c r="AW74" s="396"/>
      <c r="AX74" s="397"/>
      <c r="AY74" s="395"/>
      <c r="AZ74" s="396"/>
      <c r="BA74" s="396"/>
      <c r="BB74" s="396"/>
      <c r="BC74" s="396"/>
      <c r="BD74" s="396"/>
      <c r="BE74" s="397"/>
      <c r="BF74" s="395"/>
      <c r="BG74" s="396"/>
      <c r="BH74" s="396"/>
      <c r="BI74" s="396"/>
      <c r="BJ74" s="396"/>
      <c r="BK74" s="396"/>
      <c r="BL74" s="397"/>
      <c r="BM74" s="353"/>
      <c r="BN74" s="354"/>
      <c r="BO74" s="354"/>
      <c r="BP74" s="354"/>
      <c r="BQ74" s="354"/>
      <c r="BR74" s="354"/>
      <c r="BS74" s="354"/>
      <c r="BT74" s="354"/>
      <c r="BU74" s="354"/>
      <c r="BV74" s="354"/>
      <c r="BW74" s="354"/>
      <c r="BX74" s="354"/>
      <c r="BY74" s="354"/>
      <c r="BZ74" s="354"/>
      <c r="CA74" s="354"/>
      <c r="CB74" s="354"/>
      <c r="CC74" s="354"/>
      <c r="CD74" s="354"/>
      <c r="CE74" s="354"/>
      <c r="CF74" s="354"/>
      <c r="CG74" s="354"/>
      <c r="CH74" s="354"/>
      <c r="CI74" s="354"/>
      <c r="CJ74" s="354"/>
      <c r="CK74" s="354"/>
      <c r="CL74" s="355"/>
      <c r="CM74" s="353"/>
      <c r="CN74" s="354"/>
      <c r="CO74" s="354"/>
      <c r="CP74" s="354"/>
      <c r="CQ74" s="354"/>
      <c r="CR74" s="354"/>
      <c r="CS74" s="354"/>
      <c r="CT74" s="354"/>
      <c r="CU74" s="354"/>
      <c r="CV74" s="354"/>
      <c r="CW74" s="354"/>
      <c r="CX74" s="354"/>
      <c r="CY74" s="354"/>
      <c r="CZ74" s="354"/>
      <c r="DA74" s="354"/>
      <c r="DB74" s="354"/>
      <c r="DC74" s="354"/>
      <c r="DD74" s="355"/>
      <c r="DE74" s="7"/>
    </row>
    <row r="75" spans="1:109" ht="15" customHeight="1">
      <c r="A75" s="6"/>
      <c r="B75" s="356"/>
      <c r="C75" s="357"/>
      <c r="D75" s="357"/>
      <c r="E75" s="357"/>
      <c r="F75" s="357"/>
      <c r="G75" s="357"/>
      <c r="H75" s="358"/>
      <c r="I75" s="356"/>
      <c r="J75" s="357"/>
      <c r="K75" s="357"/>
      <c r="L75" s="357"/>
      <c r="M75" s="357"/>
      <c r="N75" s="357"/>
      <c r="O75" s="358"/>
      <c r="P75" s="356"/>
      <c r="Q75" s="357"/>
      <c r="R75" s="357"/>
      <c r="S75" s="357"/>
      <c r="T75" s="357"/>
      <c r="U75" s="357"/>
      <c r="V75" s="358"/>
      <c r="W75" s="398"/>
      <c r="X75" s="399"/>
      <c r="Y75" s="399"/>
      <c r="Z75" s="399"/>
      <c r="AA75" s="399"/>
      <c r="AB75" s="399"/>
      <c r="AC75" s="400"/>
      <c r="AD75" s="398"/>
      <c r="AE75" s="399"/>
      <c r="AF75" s="399"/>
      <c r="AG75" s="399"/>
      <c r="AH75" s="399"/>
      <c r="AI75" s="399"/>
      <c r="AJ75" s="400"/>
      <c r="AK75" s="398"/>
      <c r="AL75" s="399"/>
      <c r="AM75" s="399"/>
      <c r="AN75" s="399"/>
      <c r="AO75" s="399"/>
      <c r="AP75" s="399"/>
      <c r="AQ75" s="400"/>
      <c r="AR75" s="398"/>
      <c r="AS75" s="399"/>
      <c r="AT75" s="399"/>
      <c r="AU75" s="399"/>
      <c r="AV75" s="399"/>
      <c r="AW75" s="399"/>
      <c r="AX75" s="400"/>
      <c r="AY75" s="398"/>
      <c r="AZ75" s="399"/>
      <c r="BA75" s="399"/>
      <c r="BB75" s="399"/>
      <c r="BC75" s="399"/>
      <c r="BD75" s="399"/>
      <c r="BE75" s="400"/>
      <c r="BF75" s="398"/>
      <c r="BG75" s="399"/>
      <c r="BH75" s="399"/>
      <c r="BI75" s="399"/>
      <c r="BJ75" s="399"/>
      <c r="BK75" s="399"/>
      <c r="BL75" s="400"/>
      <c r="BM75" s="356"/>
      <c r="BN75" s="357"/>
      <c r="BO75" s="357"/>
      <c r="BP75" s="357"/>
      <c r="BQ75" s="357"/>
      <c r="BR75" s="357"/>
      <c r="BS75" s="357"/>
      <c r="BT75" s="357"/>
      <c r="BU75" s="357"/>
      <c r="BV75" s="357"/>
      <c r="BW75" s="357"/>
      <c r="BX75" s="357"/>
      <c r="BY75" s="357"/>
      <c r="BZ75" s="357"/>
      <c r="CA75" s="357"/>
      <c r="CB75" s="357"/>
      <c r="CC75" s="357"/>
      <c r="CD75" s="357"/>
      <c r="CE75" s="357"/>
      <c r="CF75" s="357"/>
      <c r="CG75" s="357"/>
      <c r="CH75" s="357"/>
      <c r="CI75" s="357"/>
      <c r="CJ75" s="357"/>
      <c r="CK75" s="357"/>
      <c r="CL75" s="358"/>
      <c r="CM75" s="356"/>
      <c r="CN75" s="357"/>
      <c r="CO75" s="357"/>
      <c r="CP75" s="357"/>
      <c r="CQ75" s="357"/>
      <c r="CR75" s="357"/>
      <c r="CS75" s="357"/>
      <c r="CT75" s="357"/>
      <c r="CU75" s="357"/>
      <c r="CV75" s="357"/>
      <c r="CW75" s="357"/>
      <c r="CX75" s="357"/>
      <c r="CY75" s="357"/>
      <c r="CZ75" s="357"/>
      <c r="DA75" s="357"/>
      <c r="DB75" s="357"/>
      <c r="DC75" s="357"/>
      <c r="DD75" s="358"/>
      <c r="DE75" s="7"/>
    </row>
    <row r="76" spans="1:109" ht="15" customHeight="1">
      <c r="A76" s="3"/>
      <c r="B76" s="382"/>
      <c r="C76" s="383"/>
      <c r="D76" s="383"/>
      <c r="E76" s="383"/>
      <c r="F76" s="383"/>
      <c r="G76" s="383"/>
      <c r="H76" s="384"/>
      <c r="I76" s="382"/>
      <c r="J76" s="383"/>
      <c r="K76" s="383"/>
      <c r="L76" s="383"/>
      <c r="M76" s="383"/>
      <c r="N76" s="383"/>
      <c r="O76" s="384"/>
      <c r="P76" s="382"/>
      <c r="Q76" s="383"/>
      <c r="R76" s="383"/>
      <c r="S76" s="383"/>
      <c r="T76" s="383"/>
      <c r="U76" s="383"/>
      <c r="V76" s="384"/>
      <c r="W76" s="408"/>
      <c r="X76" s="409"/>
      <c r="Y76" s="409"/>
      <c r="Z76" s="409"/>
      <c r="AA76" s="409"/>
      <c r="AB76" s="409"/>
      <c r="AC76" s="410"/>
      <c r="AD76" s="408"/>
      <c r="AE76" s="409"/>
      <c r="AF76" s="409"/>
      <c r="AG76" s="409"/>
      <c r="AH76" s="409"/>
      <c r="AI76" s="409"/>
      <c r="AJ76" s="410"/>
      <c r="AK76" s="408"/>
      <c r="AL76" s="409"/>
      <c r="AM76" s="409"/>
      <c r="AN76" s="409"/>
      <c r="AO76" s="409"/>
      <c r="AP76" s="409"/>
      <c r="AQ76" s="410"/>
      <c r="AR76" s="408"/>
      <c r="AS76" s="409"/>
      <c r="AT76" s="409"/>
      <c r="AU76" s="409"/>
      <c r="AV76" s="409"/>
      <c r="AW76" s="409"/>
      <c r="AX76" s="410"/>
      <c r="AY76" s="408"/>
      <c r="AZ76" s="409"/>
      <c r="BA76" s="409"/>
      <c r="BB76" s="409"/>
      <c r="BC76" s="409"/>
      <c r="BD76" s="409"/>
      <c r="BE76" s="410"/>
      <c r="BF76" s="408"/>
      <c r="BG76" s="409"/>
      <c r="BH76" s="409"/>
      <c r="BI76" s="409"/>
      <c r="BJ76" s="409"/>
      <c r="BK76" s="409"/>
      <c r="BL76" s="410"/>
      <c r="BM76" s="382"/>
      <c r="BN76" s="383"/>
      <c r="BO76" s="383"/>
      <c r="BP76" s="383"/>
      <c r="BQ76" s="383"/>
      <c r="BR76" s="383"/>
      <c r="BS76" s="383"/>
      <c r="BT76" s="383"/>
      <c r="BU76" s="383"/>
      <c r="BV76" s="383"/>
      <c r="BW76" s="383"/>
      <c r="BX76" s="383"/>
      <c r="BY76" s="383"/>
      <c r="BZ76" s="383"/>
      <c r="CA76" s="383"/>
      <c r="CB76" s="383"/>
      <c r="CC76" s="383"/>
      <c r="CD76" s="383"/>
      <c r="CE76" s="383"/>
      <c r="CF76" s="383"/>
      <c r="CG76" s="383"/>
      <c r="CH76" s="383"/>
      <c r="CI76" s="383"/>
      <c r="CJ76" s="383"/>
      <c r="CK76" s="383"/>
      <c r="CL76" s="384"/>
      <c r="CM76" s="382"/>
      <c r="CN76" s="383"/>
      <c r="CO76" s="383"/>
      <c r="CP76" s="383"/>
      <c r="CQ76" s="383"/>
      <c r="CR76" s="383"/>
      <c r="CS76" s="383"/>
      <c r="CT76" s="383"/>
      <c r="CU76" s="383"/>
      <c r="CV76" s="383"/>
      <c r="CW76" s="383"/>
      <c r="CX76" s="383"/>
      <c r="CY76" s="383"/>
      <c r="CZ76" s="383"/>
      <c r="DA76" s="383"/>
      <c r="DB76" s="383"/>
      <c r="DC76" s="383"/>
      <c r="DD76" s="384"/>
      <c r="DE76" s="7"/>
    </row>
    <row r="77" spans="1:109" ht="15" customHeight="1">
      <c r="A77" s="6"/>
      <c r="B77" s="385"/>
      <c r="C77" s="386"/>
      <c r="D77" s="386"/>
      <c r="E77" s="386"/>
      <c r="F77" s="386"/>
      <c r="G77" s="386"/>
      <c r="H77" s="387"/>
      <c r="I77" s="385"/>
      <c r="J77" s="386"/>
      <c r="K77" s="386"/>
      <c r="L77" s="386"/>
      <c r="M77" s="386"/>
      <c r="N77" s="386"/>
      <c r="O77" s="387"/>
      <c r="P77" s="385"/>
      <c r="Q77" s="386"/>
      <c r="R77" s="386"/>
      <c r="S77" s="386"/>
      <c r="T77" s="386"/>
      <c r="U77" s="386"/>
      <c r="V77" s="387"/>
      <c r="W77" s="411"/>
      <c r="X77" s="412"/>
      <c r="Y77" s="412"/>
      <c r="Z77" s="412"/>
      <c r="AA77" s="412"/>
      <c r="AB77" s="412"/>
      <c r="AC77" s="413"/>
      <c r="AD77" s="411"/>
      <c r="AE77" s="412"/>
      <c r="AF77" s="412"/>
      <c r="AG77" s="412"/>
      <c r="AH77" s="412"/>
      <c r="AI77" s="412"/>
      <c r="AJ77" s="413"/>
      <c r="AK77" s="411"/>
      <c r="AL77" s="412"/>
      <c r="AM77" s="412"/>
      <c r="AN77" s="412"/>
      <c r="AO77" s="412"/>
      <c r="AP77" s="412"/>
      <c r="AQ77" s="413"/>
      <c r="AR77" s="411"/>
      <c r="AS77" s="412"/>
      <c r="AT77" s="412"/>
      <c r="AU77" s="412"/>
      <c r="AV77" s="412"/>
      <c r="AW77" s="412"/>
      <c r="AX77" s="413"/>
      <c r="AY77" s="411"/>
      <c r="AZ77" s="412"/>
      <c r="BA77" s="412"/>
      <c r="BB77" s="412"/>
      <c r="BC77" s="412"/>
      <c r="BD77" s="412"/>
      <c r="BE77" s="413"/>
      <c r="BF77" s="411"/>
      <c r="BG77" s="412"/>
      <c r="BH77" s="412"/>
      <c r="BI77" s="412"/>
      <c r="BJ77" s="412"/>
      <c r="BK77" s="412"/>
      <c r="BL77" s="413"/>
      <c r="BM77" s="385"/>
      <c r="BN77" s="386"/>
      <c r="BO77" s="386"/>
      <c r="BP77" s="386"/>
      <c r="BQ77" s="386"/>
      <c r="BR77" s="386"/>
      <c r="BS77" s="386"/>
      <c r="BT77" s="386"/>
      <c r="BU77" s="386"/>
      <c r="BV77" s="386"/>
      <c r="BW77" s="386"/>
      <c r="BX77" s="386"/>
      <c r="BY77" s="386"/>
      <c r="BZ77" s="386"/>
      <c r="CA77" s="386"/>
      <c r="CB77" s="386"/>
      <c r="CC77" s="386"/>
      <c r="CD77" s="386"/>
      <c r="CE77" s="386"/>
      <c r="CF77" s="386"/>
      <c r="CG77" s="386"/>
      <c r="CH77" s="386"/>
      <c r="CI77" s="386"/>
      <c r="CJ77" s="386"/>
      <c r="CK77" s="386"/>
      <c r="CL77" s="387"/>
      <c r="CM77" s="385"/>
      <c r="CN77" s="386"/>
      <c r="CO77" s="386"/>
      <c r="CP77" s="386"/>
      <c r="CQ77" s="386"/>
      <c r="CR77" s="386"/>
      <c r="CS77" s="386"/>
      <c r="CT77" s="386"/>
      <c r="CU77" s="386"/>
      <c r="CV77" s="386"/>
      <c r="CW77" s="386"/>
      <c r="CX77" s="386"/>
      <c r="CY77" s="386"/>
      <c r="CZ77" s="386"/>
      <c r="DA77" s="386"/>
      <c r="DB77" s="386"/>
      <c r="DC77" s="386"/>
      <c r="DD77" s="387"/>
      <c r="DE77" s="7"/>
    </row>
    <row r="78" spans="1:109" ht="15" customHeight="1">
      <c r="A78" s="8"/>
      <c r="B78" s="353"/>
      <c r="C78" s="354"/>
      <c r="D78" s="354"/>
      <c r="E78" s="354"/>
      <c r="F78" s="354"/>
      <c r="G78" s="354"/>
      <c r="H78" s="355"/>
      <c r="I78" s="352"/>
      <c r="J78" s="352"/>
      <c r="K78" s="352"/>
      <c r="L78" s="352"/>
      <c r="M78" s="352"/>
      <c r="N78" s="352"/>
      <c r="O78" s="352"/>
      <c r="P78" s="352"/>
      <c r="Q78" s="352"/>
      <c r="R78" s="352"/>
      <c r="S78" s="352"/>
      <c r="T78" s="352"/>
      <c r="U78" s="352"/>
      <c r="V78" s="352"/>
      <c r="W78" s="360"/>
      <c r="X78" s="360"/>
      <c r="Y78" s="360"/>
      <c r="Z78" s="360"/>
      <c r="AA78" s="360"/>
      <c r="AB78" s="360"/>
      <c r="AC78" s="360"/>
      <c r="AD78" s="360"/>
      <c r="AE78" s="360"/>
      <c r="AF78" s="360"/>
      <c r="AG78" s="360"/>
      <c r="AH78" s="360"/>
      <c r="AI78" s="360"/>
      <c r="AJ78" s="360"/>
      <c r="AK78" s="360"/>
      <c r="AL78" s="360"/>
      <c r="AM78" s="360"/>
      <c r="AN78" s="360"/>
      <c r="AO78" s="360"/>
      <c r="AP78" s="360"/>
      <c r="AQ78" s="360"/>
      <c r="AR78" s="360"/>
      <c r="AS78" s="360"/>
      <c r="AT78" s="360"/>
      <c r="AU78" s="360"/>
      <c r="AV78" s="360"/>
      <c r="AW78" s="360"/>
      <c r="AX78" s="360"/>
      <c r="AY78" s="360"/>
      <c r="AZ78" s="360"/>
      <c r="BA78" s="360"/>
      <c r="BB78" s="360"/>
      <c r="BC78" s="360"/>
      <c r="BD78" s="360"/>
      <c r="BE78" s="360"/>
      <c r="BF78" s="360"/>
      <c r="BG78" s="360"/>
      <c r="BH78" s="360"/>
      <c r="BI78" s="360"/>
      <c r="BJ78" s="360"/>
      <c r="BK78" s="360"/>
      <c r="BL78" s="360"/>
      <c r="BM78" s="352"/>
      <c r="BN78" s="352"/>
      <c r="BO78" s="352"/>
      <c r="BP78" s="352"/>
      <c r="BQ78" s="352"/>
      <c r="BR78" s="352"/>
      <c r="BS78" s="352"/>
      <c r="BT78" s="352"/>
      <c r="BU78" s="352"/>
      <c r="BV78" s="352"/>
      <c r="BW78" s="352"/>
      <c r="BX78" s="352"/>
      <c r="BY78" s="352"/>
      <c r="BZ78" s="352"/>
      <c r="CA78" s="352"/>
      <c r="CB78" s="352"/>
      <c r="CC78" s="352"/>
      <c r="CD78" s="352"/>
      <c r="CE78" s="352"/>
      <c r="CF78" s="352"/>
      <c r="CG78" s="352"/>
      <c r="CH78" s="352"/>
      <c r="CI78" s="352"/>
      <c r="CJ78" s="352"/>
      <c r="CK78" s="352"/>
      <c r="CL78" s="352"/>
      <c r="CM78" s="352"/>
      <c r="CN78" s="352"/>
      <c r="CO78" s="352"/>
      <c r="CP78" s="352"/>
      <c r="CQ78" s="352"/>
      <c r="CR78" s="352"/>
      <c r="CS78" s="352"/>
      <c r="CT78" s="352"/>
      <c r="CU78" s="352"/>
      <c r="CV78" s="352"/>
      <c r="CW78" s="352"/>
      <c r="CX78" s="352"/>
      <c r="CY78" s="352"/>
      <c r="CZ78" s="352"/>
      <c r="DA78" s="352"/>
      <c r="DB78" s="352"/>
      <c r="DC78" s="352"/>
      <c r="DD78" s="352"/>
      <c r="DE78" s="7"/>
    </row>
    <row r="79" spans="1:109" ht="15" customHeight="1">
      <c r="A79" s="8"/>
      <c r="B79" s="356"/>
      <c r="C79" s="357"/>
      <c r="D79" s="357"/>
      <c r="E79" s="357"/>
      <c r="F79" s="357"/>
      <c r="G79" s="357"/>
      <c r="H79" s="358"/>
      <c r="I79" s="352"/>
      <c r="J79" s="352"/>
      <c r="K79" s="352"/>
      <c r="L79" s="352"/>
      <c r="M79" s="352"/>
      <c r="N79" s="352"/>
      <c r="O79" s="352"/>
      <c r="P79" s="352"/>
      <c r="Q79" s="352"/>
      <c r="R79" s="352"/>
      <c r="S79" s="352"/>
      <c r="T79" s="352"/>
      <c r="U79" s="352"/>
      <c r="V79" s="352"/>
      <c r="W79" s="360"/>
      <c r="X79" s="360"/>
      <c r="Y79" s="360"/>
      <c r="Z79" s="360"/>
      <c r="AA79" s="360"/>
      <c r="AB79" s="360"/>
      <c r="AC79" s="360"/>
      <c r="AD79" s="360"/>
      <c r="AE79" s="360"/>
      <c r="AF79" s="360"/>
      <c r="AG79" s="360"/>
      <c r="AH79" s="360"/>
      <c r="AI79" s="360"/>
      <c r="AJ79" s="360"/>
      <c r="AK79" s="360"/>
      <c r="AL79" s="360"/>
      <c r="AM79" s="360"/>
      <c r="AN79" s="360"/>
      <c r="AO79" s="360"/>
      <c r="AP79" s="360"/>
      <c r="AQ79" s="360"/>
      <c r="AR79" s="360"/>
      <c r="AS79" s="360"/>
      <c r="AT79" s="360"/>
      <c r="AU79" s="360"/>
      <c r="AV79" s="360"/>
      <c r="AW79" s="360"/>
      <c r="AX79" s="360"/>
      <c r="AY79" s="360"/>
      <c r="AZ79" s="360"/>
      <c r="BA79" s="360"/>
      <c r="BB79" s="360"/>
      <c r="BC79" s="360"/>
      <c r="BD79" s="360"/>
      <c r="BE79" s="360"/>
      <c r="BF79" s="360"/>
      <c r="BG79" s="360"/>
      <c r="BH79" s="360"/>
      <c r="BI79" s="360"/>
      <c r="BJ79" s="360"/>
      <c r="BK79" s="360"/>
      <c r="BL79" s="360"/>
      <c r="BM79" s="352"/>
      <c r="BN79" s="352"/>
      <c r="BO79" s="352"/>
      <c r="BP79" s="352"/>
      <c r="BQ79" s="352"/>
      <c r="BR79" s="352"/>
      <c r="BS79" s="352"/>
      <c r="BT79" s="352"/>
      <c r="BU79" s="352"/>
      <c r="BV79" s="352"/>
      <c r="BW79" s="352"/>
      <c r="BX79" s="352"/>
      <c r="BY79" s="352"/>
      <c r="BZ79" s="352"/>
      <c r="CA79" s="352"/>
      <c r="CB79" s="352"/>
      <c r="CC79" s="352"/>
      <c r="CD79" s="352"/>
      <c r="CE79" s="352"/>
      <c r="CF79" s="352"/>
      <c r="CG79" s="352"/>
      <c r="CH79" s="352"/>
      <c r="CI79" s="352"/>
      <c r="CJ79" s="352"/>
      <c r="CK79" s="352"/>
      <c r="CL79" s="352"/>
      <c r="CM79" s="352"/>
      <c r="CN79" s="352"/>
      <c r="CO79" s="352"/>
      <c r="CP79" s="352"/>
      <c r="CQ79" s="352"/>
      <c r="CR79" s="352"/>
      <c r="CS79" s="352"/>
      <c r="CT79" s="352"/>
      <c r="CU79" s="352"/>
      <c r="CV79" s="352"/>
      <c r="CW79" s="352"/>
      <c r="CX79" s="352"/>
      <c r="CY79" s="352"/>
      <c r="CZ79" s="352"/>
      <c r="DA79" s="352"/>
      <c r="DB79" s="352"/>
      <c r="DC79" s="352"/>
      <c r="DD79" s="352"/>
      <c r="DE79" s="7"/>
    </row>
    <row r="80" spans="1:109" ht="15" customHeight="1">
      <c r="A80" s="3"/>
      <c r="B80" s="382"/>
      <c r="C80" s="383"/>
      <c r="D80" s="383"/>
      <c r="E80" s="383"/>
      <c r="F80" s="383"/>
      <c r="G80" s="383"/>
      <c r="H80" s="384"/>
      <c r="I80" s="351"/>
      <c r="J80" s="351"/>
      <c r="K80" s="351"/>
      <c r="L80" s="351"/>
      <c r="M80" s="351"/>
      <c r="N80" s="351"/>
      <c r="O80" s="351"/>
      <c r="P80" s="351"/>
      <c r="Q80" s="351"/>
      <c r="R80" s="351"/>
      <c r="S80" s="351"/>
      <c r="T80" s="351"/>
      <c r="U80" s="351"/>
      <c r="V80" s="351"/>
      <c r="W80" s="359"/>
      <c r="X80" s="359"/>
      <c r="Y80" s="359"/>
      <c r="Z80" s="359"/>
      <c r="AA80" s="359"/>
      <c r="AB80" s="359"/>
      <c r="AC80" s="359"/>
      <c r="AD80" s="359"/>
      <c r="AE80" s="359"/>
      <c r="AF80" s="359"/>
      <c r="AG80" s="359"/>
      <c r="AH80" s="359"/>
      <c r="AI80" s="359"/>
      <c r="AJ80" s="359"/>
      <c r="AK80" s="359"/>
      <c r="AL80" s="359"/>
      <c r="AM80" s="359"/>
      <c r="AN80" s="359"/>
      <c r="AO80" s="359"/>
      <c r="AP80" s="359"/>
      <c r="AQ80" s="359"/>
      <c r="AR80" s="359"/>
      <c r="AS80" s="359"/>
      <c r="AT80" s="359"/>
      <c r="AU80" s="359"/>
      <c r="AV80" s="359"/>
      <c r="AW80" s="359"/>
      <c r="AX80" s="359"/>
      <c r="AY80" s="359"/>
      <c r="AZ80" s="359"/>
      <c r="BA80" s="359"/>
      <c r="BB80" s="359"/>
      <c r="BC80" s="359"/>
      <c r="BD80" s="359"/>
      <c r="BE80" s="359"/>
      <c r="BF80" s="359"/>
      <c r="BG80" s="359"/>
      <c r="BH80" s="359"/>
      <c r="BI80" s="359"/>
      <c r="BJ80" s="359"/>
      <c r="BK80" s="359"/>
      <c r="BL80" s="359"/>
      <c r="BM80" s="351"/>
      <c r="BN80" s="351"/>
      <c r="BO80" s="351"/>
      <c r="BP80" s="351"/>
      <c r="BQ80" s="351"/>
      <c r="BR80" s="351"/>
      <c r="BS80" s="351"/>
      <c r="BT80" s="351"/>
      <c r="BU80" s="351"/>
      <c r="BV80" s="351"/>
      <c r="BW80" s="351"/>
      <c r="BX80" s="351"/>
      <c r="BY80" s="351"/>
      <c r="BZ80" s="351"/>
      <c r="CA80" s="351"/>
      <c r="CB80" s="351"/>
      <c r="CC80" s="351"/>
      <c r="CD80" s="351"/>
      <c r="CE80" s="351"/>
      <c r="CF80" s="351"/>
      <c r="CG80" s="351"/>
      <c r="CH80" s="351"/>
      <c r="CI80" s="351"/>
      <c r="CJ80" s="351"/>
      <c r="CK80" s="351"/>
      <c r="CL80" s="351"/>
      <c r="CM80" s="351"/>
      <c r="CN80" s="351"/>
      <c r="CO80" s="351"/>
      <c r="CP80" s="351"/>
      <c r="CQ80" s="351"/>
      <c r="CR80" s="351"/>
      <c r="CS80" s="351"/>
      <c r="CT80" s="351"/>
      <c r="CU80" s="351"/>
      <c r="CV80" s="351"/>
      <c r="CW80" s="351"/>
      <c r="CX80" s="351"/>
      <c r="CY80" s="351"/>
      <c r="CZ80" s="351"/>
      <c r="DA80" s="351"/>
      <c r="DB80" s="351"/>
      <c r="DC80" s="351"/>
      <c r="DD80" s="351"/>
      <c r="DE80" s="7"/>
    </row>
    <row r="81" spans="1:109" ht="15" customHeight="1">
      <c r="A81" s="3"/>
      <c r="B81" s="385"/>
      <c r="C81" s="386"/>
      <c r="D81" s="386"/>
      <c r="E81" s="386"/>
      <c r="F81" s="386"/>
      <c r="G81" s="386"/>
      <c r="H81" s="387"/>
      <c r="I81" s="351"/>
      <c r="J81" s="351"/>
      <c r="K81" s="351"/>
      <c r="L81" s="351"/>
      <c r="M81" s="351"/>
      <c r="N81" s="351"/>
      <c r="O81" s="351"/>
      <c r="P81" s="351"/>
      <c r="Q81" s="351"/>
      <c r="R81" s="351"/>
      <c r="S81" s="351"/>
      <c r="T81" s="351"/>
      <c r="U81" s="351"/>
      <c r="V81" s="351"/>
      <c r="W81" s="359"/>
      <c r="X81" s="359"/>
      <c r="Y81" s="359"/>
      <c r="Z81" s="359"/>
      <c r="AA81" s="359"/>
      <c r="AB81" s="359"/>
      <c r="AC81" s="359"/>
      <c r="AD81" s="359"/>
      <c r="AE81" s="359"/>
      <c r="AF81" s="359"/>
      <c r="AG81" s="359"/>
      <c r="AH81" s="359"/>
      <c r="AI81" s="359"/>
      <c r="AJ81" s="359"/>
      <c r="AK81" s="359"/>
      <c r="AL81" s="359"/>
      <c r="AM81" s="359"/>
      <c r="AN81" s="359"/>
      <c r="AO81" s="359"/>
      <c r="AP81" s="359"/>
      <c r="AQ81" s="359"/>
      <c r="AR81" s="359"/>
      <c r="AS81" s="359"/>
      <c r="AT81" s="359"/>
      <c r="AU81" s="359"/>
      <c r="AV81" s="359"/>
      <c r="AW81" s="359"/>
      <c r="AX81" s="359"/>
      <c r="AY81" s="359"/>
      <c r="AZ81" s="359"/>
      <c r="BA81" s="359"/>
      <c r="BB81" s="359"/>
      <c r="BC81" s="359"/>
      <c r="BD81" s="359"/>
      <c r="BE81" s="359"/>
      <c r="BF81" s="359"/>
      <c r="BG81" s="359"/>
      <c r="BH81" s="359"/>
      <c r="BI81" s="359"/>
      <c r="BJ81" s="359"/>
      <c r="BK81" s="359"/>
      <c r="BL81" s="359"/>
      <c r="BM81" s="351"/>
      <c r="BN81" s="351"/>
      <c r="BO81" s="351"/>
      <c r="BP81" s="351"/>
      <c r="BQ81" s="351"/>
      <c r="BR81" s="351"/>
      <c r="BS81" s="351"/>
      <c r="BT81" s="351"/>
      <c r="BU81" s="351"/>
      <c r="BV81" s="351"/>
      <c r="BW81" s="351"/>
      <c r="BX81" s="351"/>
      <c r="BY81" s="351"/>
      <c r="BZ81" s="351"/>
      <c r="CA81" s="351"/>
      <c r="CB81" s="351"/>
      <c r="CC81" s="351"/>
      <c r="CD81" s="351"/>
      <c r="CE81" s="351"/>
      <c r="CF81" s="351"/>
      <c r="CG81" s="351"/>
      <c r="CH81" s="351"/>
      <c r="CI81" s="351"/>
      <c r="CJ81" s="351"/>
      <c r="CK81" s="351"/>
      <c r="CL81" s="351"/>
      <c r="CM81" s="351"/>
      <c r="CN81" s="351"/>
      <c r="CO81" s="351"/>
      <c r="CP81" s="351"/>
      <c r="CQ81" s="351"/>
      <c r="CR81" s="351"/>
      <c r="CS81" s="351"/>
      <c r="CT81" s="351"/>
      <c r="CU81" s="351"/>
      <c r="CV81" s="351"/>
      <c r="CW81" s="351"/>
      <c r="CX81" s="351"/>
      <c r="CY81" s="351"/>
      <c r="CZ81" s="351"/>
      <c r="DA81" s="351"/>
      <c r="DB81" s="351"/>
      <c r="DC81" s="351"/>
      <c r="DD81" s="351"/>
      <c r="DE81" s="7"/>
    </row>
    <row r="82" spans="1:109" ht="15" customHeight="1">
      <c r="A82" s="3"/>
      <c r="B82" s="353"/>
      <c r="C82" s="354"/>
      <c r="D82" s="354"/>
      <c r="E82" s="354"/>
      <c r="F82" s="354"/>
      <c r="G82" s="354"/>
      <c r="H82" s="355"/>
      <c r="I82" s="352"/>
      <c r="J82" s="352"/>
      <c r="K82" s="352"/>
      <c r="L82" s="352"/>
      <c r="M82" s="352"/>
      <c r="N82" s="352"/>
      <c r="O82" s="352"/>
      <c r="P82" s="352"/>
      <c r="Q82" s="352"/>
      <c r="R82" s="352"/>
      <c r="S82" s="352"/>
      <c r="T82" s="352"/>
      <c r="U82" s="352"/>
      <c r="V82" s="352"/>
      <c r="W82" s="360"/>
      <c r="X82" s="360"/>
      <c r="Y82" s="360"/>
      <c r="Z82" s="360"/>
      <c r="AA82" s="360"/>
      <c r="AB82" s="360"/>
      <c r="AC82" s="360"/>
      <c r="AD82" s="360"/>
      <c r="AE82" s="360"/>
      <c r="AF82" s="360"/>
      <c r="AG82" s="360"/>
      <c r="AH82" s="360"/>
      <c r="AI82" s="360"/>
      <c r="AJ82" s="360"/>
      <c r="AK82" s="360"/>
      <c r="AL82" s="360"/>
      <c r="AM82" s="360"/>
      <c r="AN82" s="360"/>
      <c r="AO82" s="360"/>
      <c r="AP82" s="360"/>
      <c r="AQ82" s="360"/>
      <c r="AR82" s="360"/>
      <c r="AS82" s="360"/>
      <c r="AT82" s="360"/>
      <c r="AU82" s="360"/>
      <c r="AV82" s="360"/>
      <c r="AW82" s="360"/>
      <c r="AX82" s="360"/>
      <c r="AY82" s="360"/>
      <c r="AZ82" s="360"/>
      <c r="BA82" s="360"/>
      <c r="BB82" s="360"/>
      <c r="BC82" s="360"/>
      <c r="BD82" s="360"/>
      <c r="BE82" s="360"/>
      <c r="BF82" s="360"/>
      <c r="BG82" s="360"/>
      <c r="BH82" s="360"/>
      <c r="BI82" s="360"/>
      <c r="BJ82" s="360"/>
      <c r="BK82" s="360"/>
      <c r="BL82" s="360"/>
      <c r="BM82" s="416"/>
      <c r="BN82" s="352"/>
      <c r="BO82" s="352"/>
      <c r="BP82" s="352"/>
      <c r="BQ82" s="352"/>
      <c r="BR82" s="352"/>
      <c r="BS82" s="352"/>
      <c r="BT82" s="352"/>
      <c r="BU82" s="352"/>
      <c r="BV82" s="352"/>
      <c r="BW82" s="352"/>
      <c r="BX82" s="352"/>
      <c r="BY82" s="352"/>
      <c r="BZ82" s="352"/>
      <c r="CA82" s="352"/>
      <c r="CB82" s="352"/>
      <c r="CC82" s="352"/>
      <c r="CD82" s="352"/>
      <c r="CE82" s="352"/>
      <c r="CF82" s="352"/>
      <c r="CG82" s="352"/>
      <c r="CH82" s="352"/>
      <c r="CI82" s="352"/>
      <c r="CJ82" s="352"/>
      <c r="CK82" s="352"/>
      <c r="CL82" s="352"/>
      <c r="CM82" s="352"/>
      <c r="CN82" s="352"/>
      <c r="CO82" s="352"/>
      <c r="CP82" s="352"/>
      <c r="CQ82" s="352"/>
      <c r="CR82" s="352"/>
      <c r="CS82" s="352"/>
      <c r="CT82" s="352"/>
      <c r="CU82" s="352"/>
      <c r="CV82" s="352"/>
      <c r="CW82" s="352"/>
      <c r="CX82" s="352"/>
      <c r="CY82" s="352"/>
      <c r="CZ82" s="352"/>
      <c r="DA82" s="352"/>
      <c r="DB82" s="352"/>
      <c r="DC82" s="352"/>
      <c r="DD82" s="352"/>
      <c r="DE82" s="24"/>
    </row>
    <row r="83" spans="1:109" ht="15" customHeight="1">
      <c r="A83" s="3"/>
      <c r="B83" s="356"/>
      <c r="C83" s="357"/>
      <c r="D83" s="357"/>
      <c r="E83" s="357"/>
      <c r="F83" s="357"/>
      <c r="G83" s="357"/>
      <c r="H83" s="358"/>
      <c r="I83" s="352"/>
      <c r="J83" s="352"/>
      <c r="K83" s="352"/>
      <c r="L83" s="352"/>
      <c r="M83" s="352"/>
      <c r="N83" s="352"/>
      <c r="O83" s="352"/>
      <c r="P83" s="352"/>
      <c r="Q83" s="352"/>
      <c r="R83" s="352"/>
      <c r="S83" s="352"/>
      <c r="T83" s="352"/>
      <c r="U83" s="352"/>
      <c r="V83" s="352"/>
      <c r="W83" s="360"/>
      <c r="X83" s="360"/>
      <c r="Y83" s="360"/>
      <c r="Z83" s="360"/>
      <c r="AA83" s="360"/>
      <c r="AB83" s="360"/>
      <c r="AC83" s="360"/>
      <c r="AD83" s="360"/>
      <c r="AE83" s="360"/>
      <c r="AF83" s="360"/>
      <c r="AG83" s="360"/>
      <c r="AH83" s="360"/>
      <c r="AI83" s="360"/>
      <c r="AJ83" s="360"/>
      <c r="AK83" s="360"/>
      <c r="AL83" s="360"/>
      <c r="AM83" s="360"/>
      <c r="AN83" s="360"/>
      <c r="AO83" s="360"/>
      <c r="AP83" s="360"/>
      <c r="AQ83" s="360"/>
      <c r="AR83" s="360"/>
      <c r="AS83" s="360"/>
      <c r="AT83" s="360"/>
      <c r="AU83" s="360"/>
      <c r="AV83" s="360"/>
      <c r="AW83" s="360"/>
      <c r="AX83" s="360"/>
      <c r="AY83" s="360"/>
      <c r="AZ83" s="360"/>
      <c r="BA83" s="360"/>
      <c r="BB83" s="360"/>
      <c r="BC83" s="360"/>
      <c r="BD83" s="360"/>
      <c r="BE83" s="360"/>
      <c r="BF83" s="360"/>
      <c r="BG83" s="360"/>
      <c r="BH83" s="360"/>
      <c r="BI83" s="360"/>
      <c r="BJ83" s="360"/>
      <c r="BK83" s="360"/>
      <c r="BL83" s="360"/>
      <c r="BM83" s="352"/>
      <c r="BN83" s="352"/>
      <c r="BO83" s="352"/>
      <c r="BP83" s="352"/>
      <c r="BQ83" s="352"/>
      <c r="BR83" s="352"/>
      <c r="BS83" s="352"/>
      <c r="BT83" s="352"/>
      <c r="BU83" s="352"/>
      <c r="BV83" s="352"/>
      <c r="BW83" s="352"/>
      <c r="BX83" s="352"/>
      <c r="BY83" s="352"/>
      <c r="BZ83" s="352"/>
      <c r="CA83" s="352"/>
      <c r="CB83" s="352"/>
      <c r="CC83" s="352"/>
      <c r="CD83" s="352"/>
      <c r="CE83" s="352"/>
      <c r="CF83" s="352"/>
      <c r="CG83" s="352"/>
      <c r="CH83" s="352"/>
      <c r="CI83" s="352"/>
      <c r="CJ83" s="352"/>
      <c r="CK83" s="352"/>
      <c r="CL83" s="352"/>
      <c r="CM83" s="352"/>
      <c r="CN83" s="352"/>
      <c r="CO83" s="352"/>
      <c r="CP83" s="352"/>
      <c r="CQ83" s="352"/>
      <c r="CR83" s="352"/>
      <c r="CS83" s="352"/>
      <c r="CT83" s="352"/>
      <c r="CU83" s="352"/>
      <c r="CV83" s="352"/>
      <c r="CW83" s="352"/>
      <c r="CX83" s="352"/>
      <c r="CY83" s="352"/>
      <c r="CZ83" s="352"/>
      <c r="DA83" s="352"/>
      <c r="DB83" s="352"/>
      <c r="DC83" s="352"/>
      <c r="DD83" s="352"/>
      <c r="DE83" s="7"/>
    </row>
    <row r="84" spans="1:109" ht="15" customHeight="1">
      <c r="A84" s="8"/>
      <c r="B84" s="382"/>
      <c r="C84" s="383"/>
      <c r="D84" s="383"/>
      <c r="E84" s="383"/>
      <c r="F84" s="383"/>
      <c r="G84" s="383"/>
      <c r="H84" s="384"/>
      <c r="I84" s="351"/>
      <c r="J84" s="351"/>
      <c r="K84" s="351"/>
      <c r="L84" s="351"/>
      <c r="M84" s="351"/>
      <c r="N84" s="351"/>
      <c r="O84" s="351"/>
      <c r="P84" s="351"/>
      <c r="Q84" s="351"/>
      <c r="R84" s="351"/>
      <c r="S84" s="351"/>
      <c r="T84" s="351"/>
      <c r="U84" s="351"/>
      <c r="V84" s="351"/>
      <c r="W84" s="359"/>
      <c r="X84" s="359"/>
      <c r="Y84" s="359"/>
      <c r="Z84" s="359"/>
      <c r="AA84" s="359"/>
      <c r="AB84" s="359"/>
      <c r="AC84" s="359"/>
      <c r="AD84" s="359"/>
      <c r="AE84" s="359"/>
      <c r="AF84" s="359"/>
      <c r="AG84" s="359"/>
      <c r="AH84" s="359"/>
      <c r="AI84" s="359"/>
      <c r="AJ84" s="359"/>
      <c r="AK84" s="359"/>
      <c r="AL84" s="359"/>
      <c r="AM84" s="359"/>
      <c r="AN84" s="359"/>
      <c r="AO84" s="359"/>
      <c r="AP84" s="359"/>
      <c r="AQ84" s="359"/>
      <c r="AR84" s="359"/>
      <c r="AS84" s="359"/>
      <c r="AT84" s="359"/>
      <c r="AU84" s="359"/>
      <c r="AV84" s="359"/>
      <c r="AW84" s="359"/>
      <c r="AX84" s="359"/>
      <c r="AY84" s="359"/>
      <c r="AZ84" s="359"/>
      <c r="BA84" s="359"/>
      <c r="BB84" s="359"/>
      <c r="BC84" s="359"/>
      <c r="BD84" s="359"/>
      <c r="BE84" s="359"/>
      <c r="BF84" s="359"/>
      <c r="BG84" s="359"/>
      <c r="BH84" s="359"/>
      <c r="BI84" s="359"/>
      <c r="BJ84" s="359"/>
      <c r="BK84" s="359"/>
      <c r="BL84" s="359"/>
      <c r="BM84" s="351"/>
      <c r="BN84" s="351"/>
      <c r="BO84" s="351"/>
      <c r="BP84" s="351"/>
      <c r="BQ84" s="351"/>
      <c r="BR84" s="351"/>
      <c r="BS84" s="351"/>
      <c r="BT84" s="351"/>
      <c r="BU84" s="351"/>
      <c r="BV84" s="351"/>
      <c r="BW84" s="351"/>
      <c r="BX84" s="351"/>
      <c r="BY84" s="351"/>
      <c r="BZ84" s="351"/>
      <c r="CA84" s="351"/>
      <c r="CB84" s="351"/>
      <c r="CC84" s="351"/>
      <c r="CD84" s="351"/>
      <c r="CE84" s="351"/>
      <c r="CF84" s="351"/>
      <c r="CG84" s="351"/>
      <c r="CH84" s="351"/>
      <c r="CI84" s="351"/>
      <c r="CJ84" s="351"/>
      <c r="CK84" s="351"/>
      <c r="CL84" s="351"/>
      <c r="CM84" s="351"/>
      <c r="CN84" s="351"/>
      <c r="CO84" s="351"/>
      <c r="CP84" s="351"/>
      <c r="CQ84" s="351"/>
      <c r="CR84" s="351"/>
      <c r="CS84" s="351"/>
      <c r="CT84" s="351"/>
      <c r="CU84" s="351"/>
      <c r="CV84" s="351"/>
      <c r="CW84" s="351"/>
      <c r="CX84" s="351"/>
      <c r="CY84" s="351"/>
      <c r="CZ84" s="351"/>
      <c r="DA84" s="351"/>
      <c r="DB84" s="351"/>
      <c r="DC84" s="351"/>
      <c r="DD84" s="351"/>
      <c r="DE84" s="7"/>
    </row>
    <row r="85" spans="1:109" ht="15" customHeight="1">
      <c r="A85" s="6"/>
      <c r="B85" s="385"/>
      <c r="C85" s="386"/>
      <c r="D85" s="386"/>
      <c r="E85" s="386"/>
      <c r="F85" s="386"/>
      <c r="G85" s="386"/>
      <c r="H85" s="387"/>
      <c r="I85" s="351"/>
      <c r="J85" s="351"/>
      <c r="K85" s="351"/>
      <c r="L85" s="351"/>
      <c r="M85" s="351"/>
      <c r="N85" s="351"/>
      <c r="O85" s="351"/>
      <c r="P85" s="351"/>
      <c r="Q85" s="351"/>
      <c r="R85" s="351"/>
      <c r="S85" s="351"/>
      <c r="T85" s="351"/>
      <c r="U85" s="351"/>
      <c r="V85" s="351"/>
      <c r="W85" s="359"/>
      <c r="X85" s="359"/>
      <c r="Y85" s="359"/>
      <c r="Z85" s="359"/>
      <c r="AA85" s="359"/>
      <c r="AB85" s="359"/>
      <c r="AC85" s="359"/>
      <c r="AD85" s="359"/>
      <c r="AE85" s="359"/>
      <c r="AF85" s="359"/>
      <c r="AG85" s="359"/>
      <c r="AH85" s="359"/>
      <c r="AI85" s="359"/>
      <c r="AJ85" s="359"/>
      <c r="AK85" s="359"/>
      <c r="AL85" s="359"/>
      <c r="AM85" s="359"/>
      <c r="AN85" s="359"/>
      <c r="AO85" s="359"/>
      <c r="AP85" s="359"/>
      <c r="AQ85" s="359"/>
      <c r="AR85" s="359"/>
      <c r="AS85" s="359"/>
      <c r="AT85" s="359"/>
      <c r="AU85" s="359"/>
      <c r="AV85" s="359"/>
      <c r="AW85" s="359"/>
      <c r="AX85" s="359"/>
      <c r="AY85" s="359"/>
      <c r="AZ85" s="359"/>
      <c r="BA85" s="359"/>
      <c r="BB85" s="359"/>
      <c r="BC85" s="359"/>
      <c r="BD85" s="359"/>
      <c r="BE85" s="359"/>
      <c r="BF85" s="359"/>
      <c r="BG85" s="359"/>
      <c r="BH85" s="359"/>
      <c r="BI85" s="359"/>
      <c r="BJ85" s="359"/>
      <c r="BK85" s="359"/>
      <c r="BL85" s="359"/>
      <c r="BM85" s="351"/>
      <c r="BN85" s="351"/>
      <c r="BO85" s="351"/>
      <c r="BP85" s="351"/>
      <c r="BQ85" s="351"/>
      <c r="BR85" s="351"/>
      <c r="BS85" s="351"/>
      <c r="BT85" s="351"/>
      <c r="BU85" s="351"/>
      <c r="BV85" s="351"/>
      <c r="BW85" s="351"/>
      <c r="BX85" s="351"/>
      <c r="BY85" s="351"/>
      <c r="BZ85" s="351"/>
      <c r="CA85" s="351"/>
      <c r="CB85" s="351"/>
      <c r="CC85" s="351"/>
      <c r="CD85" s="351"/>
      <c r="CE85" s="351"/>
      <c r="CF85" s="351"/>
      <c r="CG85" s="351"/>
      <c r="CH85" s="351"/>
      <c r="CI85" s="351"/>
      <c r="CJ85" s="351"/>
      <c r="CK85" s="351"/>
      <c r="CL85" s="351"/>
      <c r="CM85" s="351"/>
      <c r="CN85" s="351"/>
      <c r="CO85" s="351"/>
      <c r="CP85" s="351"/>
      <c r="CQ85" s="351"/>
      <c r="CR85" s="351"/>
      <c r="CS85" s="351"/>
      <c r="CT85" s="351"/>
      <c r="CU85" s="351"/>
      <c r="CV85" s="351"/>
      <c r="CW85" s="351"/>
      <c r="CX85" s="351"/>
      <c r="CY85" s="351"/>
      <c r="CZ85" s="351"/>
      <c r="DA85" s="351"/>
      <c r="DB85" s="351"/>
      <c r="DC85" s="351"/>
      <c r="DD85" s="351"/>
      <c r="DE85" s="7"/>
    </row>
    <row r="86" spans="1:109" ht="15" customHeight="1">
      <c r="A86" s="3"/>
      <c r="B86" s="353"/>
      <c r="C86" s="354"/>
      <c r="D86" s="354"/>
      <c r="E86" s="354"/>
      <c r="F86" s="354"/>
      <c r="G86" s="354"/>
      <c r="H86" s="355"/>
      <c r="I86" s="352"/>
      <c r="J86" s="352"/>
      <c r="K86" s="352"/>
      <c r="L86" s="352"/>
      <c r="M86" s="352"/>
      <c r="N86" s="352"/>
      <c r="O86" s="352"/>
      <c r="P86" s="352"/>
      <c r="Q86" s="352"/>
      <c r="R86" s="352"/>
      <c r="S86" s="352"/>
      <c r="T86" s="352"/>
      <c r="U86" s="352"/>
      <c r="V86" s="352"/>
      <c r="W86" s="360"/>
      <c r="X86" s="360"/>
      <c r="Y86" s="360"/>
      <c r="Z86" s="360"/>
      <c r="AA86" s="360"/>
      <c r="AB86" s="360"/>
      <c r="AC86" s="360"/>
      <c r="AD86" s="360"/>
      <c r="AE86" s="360"/>
      <c r="AF86" s="360"/>
      <c r="AG86" s="360"/>
      <c r="AH86" s="360"/>
      <c r="AI86" s="360"/>
      <c r="AJ86" s="360"/>
      <c r="AK86" s="360"/>
      <c r="AL86" s="360"/>
      <c r="AM86" s="360"/>
      <c r="AN86" s="360"/>
      <c r="AO86" s="360"/>
      <c r="AP86" s="360"/>
      <c r="AQ86" s="360"/>
      <c r="AR86" s="360"/>
      <c r="AS86" s="360"/>
      <c r="AT86" s="360"/>
      <c r="AU86" s="360"/>
      <c r="AV86" s="360"/>
      <c r="AW86" s="360"/>
      <c r="AX86" s="360"/>
      <c r="AY86" s="360"/>
      <c r="AZ86" s="360"/>
      <c r="BA86" s="360"/>
      <c r="BB86" s="360"/>
      <c r="BC86" s="360"/>
      <c r="BD86" s="360"/>
      <c r="BE86" s="360"/>
      <c r="BF86" s="360"/>
      <c r="BG86" s="360"/>
      <c r="BH86" s="360"/>
      <c r="BI86" s="360"/>
      <c r="BJ86" s="360"/>
      <c r="BK86" s="360"/>
      <c r="BL86" s="360"/>
      <c r="BM86" s="352"/>
      <c r="BN86" s="352"/>
      <c r="BO86" s="352"/>
      <c r="BP86" s="352"/>
      <c r="BQ86" s="352"/>
      <c r="BR86" s="352"/>
      <c r="BS86" s="352"/>
      <c r="BT86" s="352"/>
      <c r="BU86" s="352"/>
      <c r="BV86" s="352"/>
      <c r="BW86" s="352"/>
      <c r="BX86" s="352"/>
      <c r="BY86" s="352"/>
      <c r="BZ86" s="352"/>
      <c r="CA86" s="352"/>
      <c r="CB86" s="352"/>
      <c r="CC86" s="352"/>
      <c r="CD86" s="352"/>
      <c r="CE86" s="352"/>
      <c r="CF86" s="352"/>
      <c r="CG86" s="352"/>
      <c r="CH86" s="352"/>
      <c r="CI86" s="352"/>
      <c r="CJ86" s="352"/>
      <c r="CK86" s="352"/>
      <c r="CL86" s="352"/>
      <c r="CM86" s="352"/>
      <c r="CN86" s="352"/>
      <c r="CO86" s="352"/>
      <c r="CP86" s="352"/>
      <c r="CQ86" s="352"/>
      <c r="CR86" s="352"/>
      <c r="CS86" s="352"/>
      <c r="CT86" s="352"/>
      <c r="CU86" s="352"/>
      <c r="CV86" s="352"/>
      <c r="CW86" s="352"/>
      <c r="CX86" s="352"/>
      <c r="CY86" s="352"/>
      <c r="CZ86" s="352"/>
      <c r="DA86" s="352"/>
      <c r="DB86" s="352"/>
      <c r="DC86" s="352"/>
      <c r="DD86" s="352"/>
      <c r="DE86" s="7"/>
    </row>
    <row r="87" spans="1:109" ht="15" customHeight="1">
      <c r="A87" s="6"/>
      <c r="B87" s="356"/>
      <c r="C87" s="357"/>
      <c r="D87" s="357"/>
      <c r="E87" s="357"/>
      <c r="F87" s="357"/>
      <c r="G87" s="357"/>
      <c r="H87" s="358"/>
      <c r="I87" s="352"/>
      <c r="J87" s="352"/>
      <c r="K87" s="352"/>
      <c r="L87" s="352"/>
      <c r="M87" s="352"/>
      <c r="N87" s="352"/>
      <c r="O87" s="352"/>
      <c r="P87" s="352"/>
      <c r="Q87" s="352"/>
      <c r="R87" s="352"/>
      <c r="S87" s="352"/>
      <c r="T87" s="352"/>
      <c r="U87" s="352"/>
      <c r="V87" s="352"/>
      <c r="W87" s="360"/>
      <c r="X87" s="360"/>
      <c r="Y87" s="360"/>
      <c r="Z87" s="360"/>
      <c r="AA87" s="360"/>
      <c r="AB87" s="360"/>
      <c r="AC87" s="360"/>
      <c r="AD87" s="360"/>
      <c r="AE87" s="360"/>
      <c r="AF87" s="360"/>
      <c r="AG87" s="360"/>
      <c r="AH87" s="360"/>
      <c r="AI87" s="360"/>
      <c r="AJ87" s="360"/>
      <c r="AK87" s="360"/>
      <c r="AL87" s="360"/>
      <c r="AM87" s="360"/>
      <c r="AN87" s="360"/>
      <c r="AO87" s="360"/>
      <c r="AP87" s="360"/>
      <c r="AQ87" s="360"/>
      <c r="AR87" s="360"/>
      <c r="AS87" s="360"/>
      <c r="AT87" s="360"/>
      <c r="AU87" s="360"/>
      <c r="AV87" s="360"/>
      <c r="AW87" s="360"/>
      <c r="AX87" s="360"/>
      <c r="AY87" s="360"/>
      <c r="AZ87" s="360"/>
      <c r="BA87" s="360"/>
      <c r="BB87" s="360"/>
      <c r="BC87" s="360"/>
      <c r="BD87" s="360"/>
      <c r="BE87" s="360"/>
      <c r="BF87" s="360"/>
      <c r="BG87" s="360"/>
      <c r="BH87" s="360"/>
      <c r="BI87" s="360"/>
      <c r="BJ87" s="360"/>
      <c r="BK87" s="360"/>
      <c r="BL87" s="360"/>
      <c r="BM87" s="352"/>
      <c r="BN87" s="352"/>
      <c r="BO87" s="352"/>
      <c r="BP87" s="352"/>
      <c r="BQ87" s="352"/>
      <c r="BR87" s="352"/>
      <c r="BS87" s="352"/>
      <c r="BT87" s="352"/>
      <c r="BU87" s="352"/>
      <c r="BV87" s="352"/>
      <c r="BW87" s="352"/>
      <c r="BX87" s="352"/>
      <c r="BY87" s="352"/>
      <c r="BZ87" s="352"/>
      <c r="CA87" s="352"/>
      <c r="CB87" s="352"/>
      <c r="CC87" s="352"/>
      <c r="CD87" s="352"/>
      <c r="CE87" s="352"/>
      <c r="CF87" s="352"/>
      <c r="CG87" s="352"/>
      <c r="CH87" s="352"/>
      <c r="CI87" s="352"/>
      <c r="CJ87" s="352"/>
      <c r="CK87" s="352"/>
      <c r="CL87" s="352"/>
      <c r="CM87" s="352"/>
      <c r="CN87" s="352"/>
      <c r="CO87" s="352"/>
      <c r="CP87" s="352"/>
      <c r="CQ87" s="352"/>
      <c r="CR87" s="352"/>
      <c r="CS87" s="352"/>
      <c r="CT87" s="352"/>
      <c r="CU87" s="352"/>
      <c r="CV87" s="352"/>
      <c r="CW87" s="352"/>
      <c r="CX87" s="352"/>
      <c r="CY87" s="352"/>
      <c r="CZ87" s="352"/>
      <c r="DA87" s="352"/>
      <c r="DB87" s="352"/>
      <c r="DC87" s="352"/>
      <c r="DD87" s="352"/>
      <c r="DE87" s="7"/>
    </row>
    <row r="88" spans="1:109" ht="15" customHeight="1">
      <c r="A88" s="6"/>
      <c r="B88" s="382"/>
      <c r="C88" s="383"/>
      <c r="D88" s="383"/>
      <c r="E88" s="383"/>
      <c r="F88" s="383"/>
      <c r="G88" s="383"/>
      <c r="H88" s="384"/>
      <c r="I88" s="351"/>
      <c r="J88" s="351"/>
      <c r="K88" s="351"/>
      <c r="L88" s="351"/>
      <c r="M88" s="351"/>
      <c r="N88" s="351"/>
      <c r="O88" s="351"/>
      <c r="P88" s="351"/>
      <c r="Q88" s="351"/>
      <c r="R88" s="351"/>
      <c r="S88" s="351"/>
      <c r="T88" s="351"/>
      <c r="U88" s="351"/>
      <c r="V88" s="351"/>
      <c r="W88" s="359"/>
      <c r="X88" s="359"/>
      <c r="Y88" s="359"/>
      <c r="Z88" s="359"/>
      <c r="AA88" s="359"/>
      <c r="AB88" s="359"/>
      <c r="AC88" s="359"/>
      <c r="AD88" s="359"/>
      <c r="AE88" s="359"/>
      <c r="AF88" s="359"/>
      <c r="AG88" s="359"/>
      <c r="AH88" s="359"/>
      <c r="AI88" s="359"/>
      <c r="AJ88" s="359"/>
      <c r="AK88" s="359"/>
      <c r="AL88" s="359"/>
      <c r="AM88" s="359"/>
      <c r="AN88" s="359"/>
      <c r="AO88" s="359"/>
      <c r="AP88" s="359"/>
      <c r="AQ88" s="359"/>
      <c r="AR88" s="359"/>
      <c r="AS88" s="359"/>
      <c r="AT88" s="359"/>
      <c r="AU88" s="359"/>
      <c r="AV88" s="359"/>
      <c r="AW88" s="359"/>
      <c r="AX88" s="359"/>
      <c r="AY88" s="359"/>
      <c r="AZ88" s="359"/>
      <c r="BA88" s="359"/>
      <c r="BB88" s="359"/>
      <c r="BC88" s="359"/>
      <c r="BD88" s="359"/>
      <c r="BE88" s="359"/>
      <c r="BF88" s="359"/>
      <c r="BG88" s="359"/>
      <c r="BH88" s="359"/>
      <c r="BI88" s="359"/>
      <c r="BJ88" s="359"/>
      <c r="BK88" s="359"/>
      <c r="BL88" s="359"/>
      <c r="BM88" s="351"/>
      <c r="BN88" s="351"/>
      <c r="BO88" s="351"/>
      <c r="BP88" s="351"/>
      <c r="BQ88" s="351"/>
      <c r="BR88" s="351"/>
      <c r="BS88" s="351"/>
      <c r="BT88" s="351"/>
      <c r="BU88" s="351"/>
      <c r="BV88" s="351"/>
      <c r="BW88" s="351"/>
      <c r="BX88" s="351"/>
      <c r="BY88" s="351"/>
      <c r="BZ88" s="351"/>
      <c r="CA88" s="351"/>
      <c r="CB88" s="351"/>
      <c r="CC88" s="351"/>
      <c r="CD88" s="351"/>
      <c r="CE88" s="351"/>
      <c r="CF88" s="351"/>
      <c r="CG88" s="351"/>
      <c r="CH88" s="351"/>
      <c r="CI88" s="351"/>
      <c r="CJ88" s="351"/>
      <c r="CK88" s="351"/>
      <c r="CL88" s="351"/>
      <c r="CM88" s="351"/>
      <c r="CN88" s="351"/>
      <c r="CO88" s="351"/>
      <c r="CP88" s="351"/>
      <c r="CQ88" s="351"/>
      <c r="CR88" s="351"/>
      <c r="CS88" s="351"/>
      <c r="CT88" s="351"/>
      <c r="CU88" s="351"/>
      <c r="CV88" s="351"/>
      <c r="CW88" s="351"/>
      <c r="CX88" s="351"/>
      <c r="CY88" s="351"/>
      <c r="CZ88" s="351"/>
      <c r="DA88" s="351"/>
      <c r="DB88" s="351"/>
      <c r="DC88" s="351"/>
      <c r="DD88" s="351"/>
      <c r="DE88" s="7"/>
    </row>
    <row r="89" spans="1:109" ht="15" customHeight="1">
      <c r="A89" s="3"/>
      <c r="B89" s="385"/>
      <c r="C89" s="386"/>
      <c r="D89" s="386"/>
      <c r="E89" s="386"/>
      <c r="F89" s="386"/>
      <c r="G89" s="386"/>
      <c r="H89" s="387"/>
      <c r="I89" s="351"/>
      <c r="J89" s="351"/>
      <c r="K89" s="351"/>
      <c r="L89" s="351"/>
      <c r="M89" s="351"/>
      <c r="N89" s="351"/>
      <c r="O89" s="351"/>
      <c r="P89" s="351"/>
      <c r="Q89" s="351"/>
      <c r="R89" s="351"/>
      <c r="S89" s="351"/>
      <c r="T89" s="351"/>
      <c r="U89" s="351"/>
      <c r="V89" s="351"/>
      <c r="W89" s="359"/>
      <c r="X89" s="359"/>
      <c r="Y89" s="359"/>
      <c r="Z89" s="359"/>
      <c r="AA89" s="359"/>
      <c r="AB89" s="359"/>
      <c r="AC89" s="359"/>
      <c r="AD89" s="359"/>
      <c r="AE89" s="359"/>
      <c r="AF89" s="359"/>
      <c r="AG89" s="359"/>
      <c r="AH89" s="359"/>
      <c r="AI89" s="359"/>
      <c r="AJ89" s="359"/>
      <c r="AK89" s="359"/>
      <c r="AL89" s="359"/>
      <c r="AM89" s="359"/>
      <c r="AN89" s="359"/>
      <c r="AO89" s="359"/>
      <c r="AP89" s="359"/>
      <c r="AQ89" s="359"/>
      <c r="AR89" s="359"/>
      <c r="AS89" s="359"/>
      <c r="AT89" s="359"/>
      <c r="AU89" s="359"/>
      <c r="AV89" s="359"/>
      <c r="AW89" s="359"/>
      <c r="AX89" s="359"/>
      <c r="AY89" s="359"/>
      <c r="AZ89" s="359"/>
      <c r="BA89" s="359"/>
      <c r="BB89" s="359"/>
      <c r="BC89" s="359"/>
      <c r="BD89" s="359"/>
      <c r="BE89" s="359"/>
      <c r="BF89" s="359"/>
      <c r="BG89" s="359"/>
      <c r="BH89" s="359"/>
      <c r="BI89" s="359"/>
      <c r="BJ89" s="359"/>
      <c r="BK89" s="359"/>
      <c r="BL89" s="359"/>
      <c r="BM89" s="351"/>
      <c r="BN89" s="351"/>
      <c r="BO89" s="351"/>
      <c r="BP89" s="351"/>
      <c r="BQ89" s="351"/>
      <c r="BR89" s="351"/>
      <c r="BS89" s="351"/>
      <c r="BT89" s="351"/>
      <c r="BU89" s="351"/>
      <c r="BV89" s="351"/>
      <c r="BW89" s="351"/>
      <c r="BX89" s="351"/>
      <c r="BY89" s="351"/>
      <c r="BZ89" s="351"/>
      <c r="CA89" s="351"/>
      <c r="CB89" s="351"/>
      <c r="CC89" s="351"/>
      <c r="CD89" s="351"/>
      <c r="CE89" s="351"/>
      <c r="CF89" s="351"/>
      <c r="CG89" s="351"/>
      <c r="CH89" s="351"/>
      <c r="CI89" s="351"/>
      <c r="CJ89" s="351"/>
      <c r="CK89" s="351"/>
      <c r="CL89" s="351"/>
      <c r="CM89" s="351"/>
      <c r="CN89" s="351"/>
      <c r="CO89" s="351"/>
      <c r="CP89" s="351"/>
      <c r="CQ89" s="351"/>
      <c r="CR89" s="351"/>
      <c r="CS89" s="351"/>
      <c r="CT89" s="351"/>
      <c r="CU89" s="351"/>
      <c r="CV89" s="351"/>
      <c r="CW89" s="351"/>
      <c r="CX89" s="351"/>
      <c r="CY89" s="351"/>
      <c r="CZ89" s="351"/>
      <c r="DA89" s="351"/>
      <c r="DB89" s="351"/>
      <c r="DC89" s="351"/>
      <c r="DD89" s="351"/>
      <c r="DE89" s="7"/>
    </row>
    <row r="90" spans="1:109" ht="15" customHeight="1">
      <c r="A90" s="6"/>
      <c r="B90" s="353"/>
      <c r="C90" s="354"/>
      <c r="D90" s="354"/>
      <c r="E90" s="354"/>
      <c r="F90" s="354"/>
      <c r="G90" s="354"/>
      <c r="H90" s="355"/>
      <c r="I90" s="352"/>
      <c r="J90" s="352"/>
      <c r="K90" s="352"/>
      <c r="L90" s="352"/>
      <c r="M90" s="352"/>
      <c r="N90" s="352"/>
      <c r="O90" s="352"/>
      <c r="P90" s="352"/>
      <c r="Q90" s="352"/>
      <c r="R90" s="352"/>
      <c r="S90" s="352"/>
      <c r="T90" s="352"/>
      <c r="U90" s="352"/>
      <c r="V90" s="352"/>
      <c r="W90" s="360"/>
      <c r="X90" s="360"/>
      <c r="Y90" s="360"/>
      <c r="Z90" s="360"/>
      <c r="AA90" s="360"/>
      <c r="AB90" s="360"/>
      <c r="AC90" s="360"/>
      <c r="AD90" s="360"/>
      <c r="AE90" s="360"/>
      <c r="AF90" s="360"/>
      <c r="AG90" s="360"/>
      <c r="AH90" s="360"/>
      <c r="AI90" s="360"/>
      <c r="AJ90" s="360"/>
      <c r="AK90" s="360"/>
      <c r="AL90" s="360"/>
      <c r="AM90" s="360"/>
      <c r="AN90" s="360"/>
      <c r="AO90" s="360"/>
      <c r="AP90" s="360"/>
      <c r="AQ90" s="360"/>
      <c r="AR90" s="360"/>
      <c r="AS90" s="360"/>
      <c r="AT90" s="360"/>
      <c r="AU90" s="360"/>
      <c r="AV90" s="360"/>
      <c r="AW90" s="360"/>
      <c r="AX90" s="360"/>
      <c r="AY90" s="360"/>
      <c r="AZ90" s="360"/>
      <c r="BA90" s="360"/>
      <c r="BB90" s="360"/>
      <c r="BC90" s="360"/>
      <c r="BD90" s="360"/>
      <c r="BE90" s="360"/>
      <c r="BF90" s="360"/>
      <c r="BG90" s="360"/>
      <c r="BH90" s="360"/>
      <c r="BI90" s="360"/>
      <c r="BJ90" s="360"/>
      <c r="BK90" s="360"/>
      <c r="BL90" s="360"/>
      <c r="BM90" s="352"/>
      <c r="BN90" s="352"/>
      <c r="BO90" s="352"/>
      <c r="BP90" s="352"/>
      <c r="BQ90" s="352"/>
      <c r="BR90" s="352"/>
      <c r="BS90" s="352"/>
      <c r="BT90" s="352"/>
      <c r="BU90" s="352"/>
      <c r="BV90" s="352"/>
      <c r="BW90" s="352"/>
      <c r="BX90" s="352"/>
      <c r="BY90" s="352"/>
      <c r="BZ90" s="352"/>
      <c r="CA90" s="352"/>
      <c r="CB90" s="352"/>
      <c r="CC90" s="352"/>
      <c r="CD90" s="352"/>
      <c r="CE90" s="352"/>
      <c r="CF90" s="352"/>
      <c r="CG90" s="352"/>
      <c r="CH90" s="352"/>
      <c r="CI90" s="352"/>
      <c r="CJ90" s="352"/>
      <c r="CK90" s="352"/>
      <c r="CL90" s="352"/>
      <c r="CM90" s="352"/>
      <c r="CN90" s="352"/>
      <c r="CO90" s="352"/>
      <c r="CP90" s="352"/>
      <c r="CQ90" s="352"/>
      <c r="CR90" s="352"/>
      <c r="CS90" s="352"/>
      <c r="CT90" s="352"/>
      <c r="CU90" s="352"/>
      <c r="CV90" s="352"/>
      <c r="CW90" s="352"/>
      <c r="CX90" s="352"/>
      <c r="CY90" s="352"/>
      <c r="CZ90" s="352"/>
      <c r="DA90" s="352"/>
      <c r="DB90" s="352"/>
      <c r="DC90" s="352"/>
      <c r="DD90" s="352"/>
      <c r="DE90" s="7"/>
    </row>
    <row r="91" spans="1:109" ht="15" customHeight="1">
      <c r="A91" s="8"/>
      <c r="B91" s="356"/>
      <c r="C91" s="357"/>
      <c r="D91" s="357"/>
      <c r="E91" s="357"/>
      <c r="F91" s="357"/>
      <c r="G91" s="357"/>
      <c r="H91" s="358"/>
      <c r="I91" s="352"/>
      <c r="J91" s="352"/>
      <c r="K91" s="352"/>
      <c r="L91" s="352"/>
      <c r="M91" s="352"/>
      <c r="N91" s="352"/>
      <c r="O91" s="352"/>
      <c r="P91" s="352"/>
      <c r="Q91" s="352"/>
      <c r="R91" s="352"/>
      <c r="S91" s="352"/>
      <c r="T91" s="352"/>
      <c r="U91" s="352"/>
      <c r="V91" s="352"/>
      <c r="W91" s="360"/>
      <c r="X91" s="360"/>
      <c r="Y91" s="360"/>
      <c r="Z91" s="360"/>
      <c r="AA91" s="360"/>
      <c r="AB91" s="360"/>
      <c r="AC91" s="360"/>
      <c r="AD91" s="360"/>
      <c r="AE91" s="360"/>
      <c r="AF91" s="360"/>
      <c r="AG91" s="360"/>
      <c r="AH91" s="360"/>
      <c r="AI91" s="360"/>
      <c r="AJ91" s="360"/>
      <c r="AK91" s="360"/>
      <c r="AL91" s="360"/>
      <c r="AM91" s="360"/>
      <c r="AN91" s="360"/>
      <c r="AO91" s="360"/>
      <c r="AP91" s="360"/>
      <c r="AQ91" s="360"/>
      <c r="AR91" s="360"/>
      <c r="AS91" s="360"/>
      <c r="AT91" s="360"/>
      <c r="AU91" s="360"/>
      <c r="AV91" s="360"/>
      <c r="AW91" s="360"/>
      <c r="AX91" s="360"/>
      <c r="AY91" s="360"/>
      <c r="AZ91" s="360"/>
      <c r="BA91" s="360"/>
      <c r="BB91" s="360"/>
      <c r="BC91" s="360"/>
      <c r="BD91" s="360"/>
      <c r="BE91" s="360"/>
      <c r="BF91" s="360"/>
      <c r="BG91" s="360"/>
      <c r="BH91" s="360"/>
      <c r="BI91" s="360"/>
      <c r="BJ91" s="360"/>
      <c r="BK91" s="360"/>
      <c r="BL91" s="360"/>
      <c r="BM91" s="352"/>
      <c r="BN91" s="352"/>
      <c r="BO91" s="352"/>
      <c r="BP91" s="352"/>
      <c r="BQ91" s="352"/>
      <c r="BR91" s="352"/>
      <c r="BS91" s="352"/>
      <c r="BT91" s="352"/>
      <c r="BU91" s="352"/>
      <c r="BV91" s="352"/>
      <c r="BW91" s="352"/>
      <c r="BX91" s="352"/>
      <c r="BY91" s="352"/>
      <c r="BZ91" s="352"/>
      <c r="CA91" s="352"/>
      <c r="CB91" s="352"/>
      <c r="CC91" s="352"/>
      <c r="CD91" s="352"/>
      <c r="CE91" s="352"/>
      <c r="CF91" s="352"/>
      <c r="CG91" s="352"/>
      <c r="CH91" s="352"/>
      <c r="CI91" s="352"/>
      <c r="CJ91" s="352"/>
      <c r="CK91" s="352"/>
      <c r="CL91" s="352"/>
      <c r="CM91" s="352"/>
      <c r="CN91" s="352"/>
      <c r="CO91" s="352"/>
      <c r="CP91" s="352"/>
      <c r="CQ91" s="352"/>
      <c r="CR91" s="352"/>
      <c r="CS91" s="352"/>
      <c r="CT91" s="352"/>
      <c r="CU91" s="352"/>
      <c r="CV91" s="352"/>
      <c r="CW91" s="352"/>
      <c r="CX91" s="352"/>
      <c r="CY91" s="352"/>
      <c r="CZ91" s="352"/>
      <c r="DA91" s="352"/>
      <c r="DB91" s="352"/>
      <c r="DC91" s="352"/>
      <c r="DD91" s="352"/>
      <c r="DE91" s="7"/>
    </row>
    <row r="92" spans="1:109" ht="15" customHeight="1">
      <c r="A92" s="8"/>
      <c r="B92" s="382"/>
      <c r="C92" s="383"/>
      <c r="D92" s="383"/>
      <c r="E92" s="383"/>
      <c r="F92" s="383"/>
      <c r="G92" s="383"/>
      <c r="H92" s="384"/>
      <c r="I92" s="351"/>
      <c r="J92" s="351"/>
      <c r="K92" s="351"/>
      <c r="L92" s="351"/>
      <c r="M92" s="351"/>
      <c r="N92" s="351"/>
      <c r="O92" s="351"/>
      <c r="P92" s="351"/>
      <c r="Q92" s="351"/>
      <c r="R92" s="351"/>
      <c r="S92" s="351"/>
      <c r="T92" s="351"/>
      <c r="U92" s="351"/>
      <c r="V92" s="351"/>
      <c r="W92" s="351"/>
      <c r="X92" s="351"/>
      <c r="Y92" s="351"/>
      <c r="Z92" s="351"/>
      <c r="AA92" s="351"/>
      <c r="AB92" s="351"/>
      <c r="AC92" s="351"/>
      <c r="AD92" s="417"/>
      <c r="AE92" s="351"/>
      <c r="AF92" s="351"/>
      <c r="AG92" s="351"/>
      <c r="AH92" s="351"/>
      <c r="AI92" s="351"/>
      <c r="AJ92" s="351"/>
      <c r="AK92" s="417"/>
      <c r="AL92" s="351"/>
      <c r="AM92" s="351"/>
      <c r="AN92" s="351"/>
      <c r="AO92" s="351"/>
      <c r="AP92" s="351"/>
      <c r="AQ92" s="351"/>
      <c r="AR92" s="351"/>
      <c r="AS92" s="351"/>
      <c r="AT92" s="351"/>
      <c r="AU92" s="351"/>
      <c r="AV92" s="351"/>
      <c r="AW92" s="351"/>
      <c r="AX92" s="351"/>
      <c r="AY92" s="351"/>
      <c r="AZ92" s="351"/>
      <c r="BA92" s="351"/>
      <c r="BB92" s="351"/>
      <c r="BC92" s="351"/>
      <c r="BD92" s="351"/>
      <c r="BE92" s="351"/>
      <c r="BF92" s="382"/>
      <c r="BG92" s="383"/>
      <c r="BH92" s="383"/>
      <c r="BI92" s="383"/>
      <c r="BJ92" s="383"/>
      <c r="BK92" s="383"/>
      <c r="BL92" s="384"/>
      <c r="BM92" s="382"/>
      <c r="BN92" s="383"/>
      <c r="BO92" s="383"/>
      <c r="BP92" s="383"/>
      <c r="BQ92" s="383"/>
      <c r="BR92" s="383"/>
      <c r="BS92" s="383"/>
      <c r="BT92" s="383"/>
      <c r="BU92" s="383"/>
      <c r="BV92" s="383"/>
      <c r="BW92" s="383"/>
      <c r="BX92" s="383"/>
      <c r="BY92" s="383"/>
      <c r="BZ92" s="383"/>
      <c r="CA92" s="383"/>
      <c r="CB92" s="383"/>
      <c r="CC92" s="383"/>
      <c r="CD92" s="383"/>
      <c r="CE92" s="383"/>
      <c r="CF92" s="383"/>
      <c r="CG92" s="383"/>
      <c r="CH92" s="383"/>
      <c r="CI92" s="383"/>
      <c r="CJ92" s="383"/>
      <c r="CK92" s="383"/>
      <c r="CL92" s="384"/>
      <c r="CM92" s="351"/>
      <c r="CN92" s="351"/>
      <c r="CO92" s="351"/>
      <c r="CP92" s="351"/>
      <c r="CQ92" s="351"/>
      <c r="CR92" s="351"/>
      <c r="CS92" s="351"/>
      <c r="CT92" s="351"/>
      <c r="CU92" s="351"/>
      <c r="CV92" s="351"/>
      <c r="CW92" s="351"/>
      <c r="CX92" s="351"/>
      <c r="CY92" s="351"/>
      <c r="CZ92" s="351"/>
      <c r="DA92" s="351"/>
      <c r="DB92" s="351"/>
      <c r="DC92" s="351"/>
      <c r="DD92" s="351"/>
      <c r="DE92" s="7"/>
    </row>
    <row r="93" spans="1:109" ht="15" customHeight="1">
      <c r="A93" s="3"/>
      <c r="B93" s="385"/>
      <c r="C93" s="386"/>
      <c r="D93" s="386"/>
      <c r="E93" s="386"/>
      <c r="F93" s="386"/>
      <c r="G93" s="386"/>
      <c r="H93" s="387"/>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85"/>
      <c r="BG93" s="386"/>
      <c r="BH93" s="386"/>
      <c r="BI93" s="386"/>
      <c r="BJ93" s="386"/>
      <c r="BK93" s="386"/>
      <c r="BL93" s="387"/>
      <c r="BM93" s="385"/>
      <c r="BN93" s="386"/>
      <c r="BO93" s="386"/>
      <c r="BP93" s="386"/>
      <c r="BQ93" s="386"/>
      <c r="BR93" s="386"/>
      <c r="BS93" s="386"/>
      <c r="BT93" s="386"/>
      <c r="BU93" s="386"/>
      <c r="BV93" s="386"/>
      <c r="BW93" s="386"/>
      <c r="BX93" s="386"/>
      <c r="BY93" s="386"/>
      <c r="BZ93" s="386"/>
      <c r="CA93" s="386"/>
      <c r="CB93" s="386"/>
      <c r="CC93" s="386"/>
      <c r="CD93" s="386"/>
      <c r="CE93" s="386"/>
      <c r="CF93" s="386"/>
      <c r="CG93" s="386"/>
      <c r="CH93" s="386"/>
      <c r="CI93" s="386"/>
      <c r="CJ93" s="386"/>
      <c r="CK93" s="386"/>
      <c r="CL93" s="387"/>
      <c r="CM93" s="351"/>
      <c r="CN93" s="351"/>
      <c r="CO93" s="351"/>
      <c r="CP93" s="351"/>
      <c r="CQ93" s="351"/>
      <c r="CR93" s="351"/>
      <c r="CS93" s="351"/>
      <c r="CT93" s="351"/>
      <c r="CU93" s="351"/>
      <c r="CV93" s="351"/>
      <c r="CW93" s="351"/>
      <c r="CX93" s="351"/>
      <c r="CY93" s="351"/>
      <c r="CZ93" s="351"/>
      <c r="DA93" s="351"/>
      <c r="DB93" s="351"/>
      <c r="DC93" s="351"/>
      <c r="DD93" s="351"/>
      <c r="DE93" s="7"/>
    </row>
    <row r="94" spans="1:109" ht="15" customHeight="1">
      <c r="A94" s="3"/>
      <c r="B94" s="352"/>
      <c r="C94" s="352"/>
      <c r="D94" s="352"/>
      <c r="E94" s="352"/>
      <c r="F94" s="352"/>
      <c r="G94" s="352"/>
      <c r="H94" s="352"/>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2"/>
      <c r="BL94" s="352"/>
      <c r="BM94" s="352"/>
      <c r="BN94" s="352"/>
      <c r="BO94" s="352"/>
      <c r="BP94" s="352"/>
      <c r="BQ94" s="352"/>
      <c r="BR94" s="352"/>
      <c r="BS94" s="352"/>
      <c r="BT94" s="352"/>
      <c r="BU94" s="352"/>
      <c r="BV94" s="352"/>
      <c r="BW94" s="352"/>
      <c r="BX94" s="352"/>
      <c r="BY94" s="352"/>
      <c r="BZ94" s="352"/>
      <c r="CA94" s="352"/>
      <c r="CB94" s="352"/>
      <c r="CC94" s="352"/>
      <c r="CD94" s="352"/>
      <c r="CE94" s="352"/>
      <c r="CF94" s="352"/>
      <c r="CG94" s="352"/>
      <c r="CH94" s="352"/>
      <c r="CI94" s="352"/>
      <c r="CJ94" s="352"/>
      <c r="CK94" s="352"/>
      <c r="CL94" s="352"/>
      <c r="CM94" s="352"/>
      <c r="CN94" s="352"/>
      <c r="CO94" s="352"/>
      <c r="CP94" s="352"/>
      <c r="CQ94" s="352"/>
      <c r="CR94" s="352"/>
      <c r="CS94" s="352"/>
      <c r="CT94" s="352"/>
      <c r="CU94" s="352"/>
      <c r="CV94" s="352"/>
      <c r="CW94" s="352"/>
      <c r="CX94" s="352"/>
      <c r="CY94" s="352"/>
      <c r="CZ94" s="352"/>
      <c r="DA94" s="352"/>
      <c r="DB94" s="352"/>
      <c r="DC94" s="352"/>
      <c r="DD94" s="352"/>
      <c r="DE94" s="7"/>
    </row>
    <row r="95" spans="1:109" ht="15" customHeight="1">
      <c r="A95" s="6"/>
      <c r="B95" s="352"/>
      <c r="C95" s="352"/>
      <c r="D95" s="352"/>
      <c r="E95" s="352"/>
      <c r="F95" s="352"/>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2"/>
      <c r="BL95" s="352"/>
      <c r="BM95" s="352"/>
      <c r="BN95" s="352"/>
      <c r="BO95" s="352"/>
      <c r="BP95" s="352"/>
      <c r="BQ95" s="352"/>
      <c r="BR95" s="352"/>
      <c r="BS95" s="352"/>
      <c r="BT95" s="352"/>
      <c r="BU95" s="352"/>
      <c r="BV95" s="352"/>
      <c r="BW95" s="352"/>
      <c r="BX95" s="352"/>
      <c r="BY95" s="352"/>
      <c r="BZ95" s="352"/>
      <c r="CA95" s="352"/>
      <c r="CB95" s="352"/>
      <c r="CC95" s="352"/>
      <c r="CD95" s="352"/>
      <c r="CE95" s="352"/>
      <c r="CF95" s="352"/>
      <c r="CG95" s="352"/>
      <c r="CH95" s="352"/>
      <c r="CI95" s="352"/>
      <c r="CJ95" s="352"/>
      <c r="CK95" s="352"/>
      <c r="CL95" s="352"/>
      <c r="CM95" s="352"/>
      <c r="CN95" s="352"/>
      <c r="CO95" s="352"/>
      <c r="CP95" s="352"/>
      <c r="CQ95" s="352"/>
      <c r="CR95" s="352"/>
      <c r="CS95" s="352"/>
      <c r="CT95" s="352"/>
      <c r="CU95" s="352"/>
      <c r="CV95" s="352"/>
      <c r="CW95" s="352"/>
      <c r="CX95" s="352"/>
      <c r="CY95" s="352"/>
      <c r="CZ95" s="352"/>
      <c r="DA95" s="352"/>
      <c r="DB95" s="352"/>
      <c r="DC95" s="352"/>
      <c r="DD95" s="352"/>
      <c r="DE95" s="7"/>
    </row>
    <row r="96" spans="1:109" ht="15" customHeight="1">
      <c r="A96" s="8"/>
      <c r="B96" s="382"/>
      <c r="C96" s="383"/>
      <c r="D96" s="383"/>
      <c r="E96" s="383"/>
      <c r="F96" s="383"/>
      <c r="G96" s="383"/>
      <c r="H96" s="384"/>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c r="BI96" s="351"/>
      <c r="BJ96" s="351"/>
      <c r="BK96" s="351"/>
      <c r="BL96" s="351"/>
      <c r="BM96" s="351"/>
      <c r="BN96" s="351"/>
      <c r="BO96" s="351"/>
      <c r="BP96" s="351"/>
      <c r="BQ96" s="351"/>
      <c r="BR96" s="351"/>
      <c r="BS96" s="351"/>
      <c r="BT96" s="351"/>
      <c r="BU96" s="351"/>
      <c r="BV96" s="351"/>
      <c r="BW96" s="351"/>
      <c r="BX96" s="351"/>
      <c r="BY96" s="351"/>
      <c r="BZ96" s="351"/>
      <c r="CA96" s="351"/>
      <c r="CB96" s="351"/>
      <c r="CC96" s="351"/>
      <c r="CD96" s="351"/>
      <c r="CE96" s="351"/>
      <c r="CF96" s="351"/>
      <c r="CG96" s="351"/>
      <c r="CH96" s="351"/>
      <c r="CI96" s="351"/>
      <c r="CJ96" s="351"/>
      <c r="CK96" s="351"/>
      <c r="CL96" s="351"/>
      <c r="CM96" s="351"/>
      <c r="CN96" s="351"/>
      <c r="CO96" s="351"/>
      <c r="CP96" s="351"/>
      <c r="CQ96" s="351"/>
      <c r="CR96" s="351"/>
      <c r="CS96" s="351"/>
      <c r="CT96" s="351"/>
      <c r="CU96" s="351"/>
      <c r="CV96" s="351"/>
      <c r="CW96" s="351"/>
      <c r="CX96" s="351"/>
      <c r="CY96" s="351"/>
      <c r="CZ96" s="351"/>
      <c r="DA96" s="351"/>
      <c r="DB96" s="351"/>
      <c r="DC96" s="351"/>
      <c r="DD96" s="351"/>
      <c r="DE96" s="7"/>
    </row>
    <row r="97" spans="1:109" ht="15" customHeight="1">
      <c r="A97" s="3"/>
      <c r="B97" s="385"/>
      <c r="C97" s="386"/>
      <c r="D97" s="386"/>
      <c r="E97" s="386"/>
      <c r="F97" s="386"/>
      <c r="G97" s="386"/>
      <c r="H97" s="387"/>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c r="BT97" s="351"/>
      <c r="BU97" s="351"/>
      <c r="BV97" s="351"/>
      <c r="BW97" s="351"/>
      <c r="BX97" s="351"/>
      <c r="BY97" s="351"/>
      <c r="BZ97" s="351"/>
      <c r="CA97" s="351"/>
      <c r="CB97" s="351"/>
      <c r="CC97" s="351"/>
      <c r="CD97" s="351"/>
      <c r="CE97" s="351"/>
      <c r="CF97" s="351"/>
      <c r="CG97" s="351"/>
      <c r="CH97" s="351"/>
      <c r="CI97" s="351"/>
      <c r="CJ97" s="351"/>
      <c r="CK97" s="351"/>
      <c r="CL97" s="351"/>
      <c r="CM97" s="351"/>
      <c r="CN97" s="351"/>
      <c r="CO97" s="351"/>
      <c r="CP97" s="351"/>
      <c r="CQ97" s="351"/>
      <c r="CR97" s="351"/>
      <c r="CS97" s="351"/>
      <c r="CT97" s="351"/>
      <c r="CU97" s="351"/>
      <c r="CV97" s="351"/>
      <c r="CW97" s="351"/>
      <c r="CX97" s="351"/>
      <c r="CY97" s="351"/>
      <c r="CZ97" s="351"/>
      <c r="DA97" s="351"/>
      <c r="DB97" s="351"/>
      <c r="DC97" s="351"/>
      <c r="DD97" s="351"/>
      <c r="DE97" s="7"/>
    </row>
    <row r="98" spans="1:109" ht="15" customHeight="1">
      <c r="A98" s="3"/>
      <c r="B98" s="353"/>
      <c r="C98" s="354"/>
      <c r="D98" s="354"/>
      <c r="E98" s="354"/>
      <c r="F98" s="354"/>
      <c r="G98" s="354"/>
      <c r="H98" s="355"/>
      <c r="I98" s="352"/>
      <c r="J98" s="352"/>
      <c r="K98" s="352"/>
      <c r="L98" s="352"/>
      <c r="M98" s="352"/>
      <c r="N98" s="352"/>
      <c r="O98" s="352"/>
      <c r="P98" s="352"/>
      <c r="Q98" s="352"/>
      <c r="R98" s="352"/>
      <c r="S98" s="352"/>
      <c r="T98" s="352"/>
      <c r="U98" s="352"/>
      <c r="V98" s="352"/>
      <c r="W98" s="352"/>
      <c r="X98" s="352"/>
      <c r="Y98" s="352"/>
      <c r="Z98" s="352"/>
      <c r="AA98" s="352"/>
      <c r="AB98" s="352"/>
      <c r="AC98" s="352"/>
      <c r="AD98" s="352"/>
      <c r="AE98" s="352"/>
      <c r="AF98" s="352"/>
      <c r="AG98" s="352"/>
      <c r="AH98" s="352"/>
      <c r="AI98" s="352"/>
      <c r="AJ98" s="352"/>
      <c r="AK98" s="352"/>
      <c r="AL98" s="352"/>
      <c r="AM98" s="352"/>
      <c r="AN98" s="352"/>
      <c r="AO98" s="352"/>
      <c r="AP98" s="352"/>
      <c r="AQ98" s="352"/>
      <c r="AR98" s="352"/>
      <c r="AS98" s="352"/>
      <c r="AT98" s="352"/>
      <c r="AU98" s="352"/>
      <c r="AV98" s="352"/>
      <c r="AW98" s="352"/>
      <c r="AX98" s="352"/>
      <c r="AY98" s="352"/>
      <c r="AZ98" s="352"/>
      <c r="BA98" s="352"/>
      <c r="BB98" s="352"/>
      <c r="BC98" s="352"/>
      <c r="BD98" s="352"/>
      <c r="BE98" s="352"/>
      <c r="BF98" s="352"/>
      <c r="BG98" s="352"/>
      <c r="BH98" s="352"/>
      <c r="BI98" s="352"/>
      <c r="BJ98" s="352"/>
      <c r="BK98" s="352"/>
      <c r="BL98" s="352"/>
      <c r="BM98" s="352"/>
      <c r="BN98" s="352"/>
      <c r="BO98" s="352"/>
      <c r="BP98" s="352"/>
      <c r="BQ98" s="352"/>
      <c r="BR98" s="352"/>
      <c r="BS98" s="352"/>
      <c r="BT98" s="352"/>
      <c r="BU98" s="352"/>
      <c r="BV98" s="352"/>
      <c r="BW98" s="352"/>
      <c r="BX98" s="352"/>
      <c r="BY98" s="352"/>
      <c r="BZ98" s="352"/>
      <c r="CA98" s="352"/>
      <c r="CB98" s="352"/>
      <c r="CC98" s="352"/>
      <c r="CD98" s="352"/>
      <c r="CE98" s="352"/>
      <c r="CF98" s="352"/>
      <c r="CG98" s="352"/>
      <c r="CH98" s="352"/>
      <c r="CI98" s="352"/>
      <c r="CJ98" s="352"/>
      <c r="CK98" s="352"/>
      <c r="CL98" s="352"/>
      <c r="CM98" s="352"/>
      <c r="CN98" s="352"/>
      <c r="CO98" s="352"/>
      <c r="CP98" s="352"/>
      <c r="CQ98" s="352"/>
      <c r="CR98" s="352"/>
      <c r="CS98" s="352"/>
      <c r="CT98" s="352"/>
      <c r="CU98" s="352"/>
      <c r="CV98" s="352"/>
      <c r="CW98" s="352"/>
      <c r="CX98" s="352"/>
      <c r="CY98" s="352"/>
      <c r="CZ98" s="352"/>
      <c r="DA98" s="352"/>
      <c r="DB98" s="352"/>
      <c r="DC98" s="352"/>
      <c r="DD98" s="352"/>
      <c r="DE98" s="7"/>
    </row>
    <row r="99" spans="1:109" ht="15" customHeight="1">
      <c r="A99" s="3"/>
      <c r="B99" s="356"/>
      <c r="C99" s="357"/>
      <c r="D99" s="357"/>
      <c r="E99" s="357"/>
      <c r="F99" s="357"/>
      <c r="G99" s="357"/>
      <c r="H99" s="358"/>
      <c r="I99" s="352"/>
      <c r="J99" s="352"/>
      <c r="K99" s="352"/>
      <c r="L99" s="352"/>
      <c r="M99" s="352"/>
      <c r="N99" s="352"/>
      <c r="O99" s="352"/>
      <c r="P99" s="352"/>
      <c r="Q99" s="352"/>
      <c r="R99" s="352"/>
      <c r="S99" s="352"/>
      <c r="T99" s="352"/>
      <c r="U99" s="352"/>
      <c r="V99" s="352"/>
      <c r="W99" s="352"/>
      <c r="X99" s="352"/>
      <c r="Y99" s="352"/>
      <c r="Z99" s="352"/>
      <c r="AA99" s="352"/>
      <c r="AB99" s="352"/>
      <c r="AC99" s="352"/>
      <c r="AD99" s="352"/>
      <c r="AE99" s="352"/>
      <c r="AF99" s="352"/>
      <c r="AG99" s="352"/>
      <c r="AH99" s="352"/>
      <c r="AI99" s="352"/>
      <c r="AJ99" s="352"/>
      <c r="AK99" s="352"/>
      <c r="AL99" s="352"/>
      <c r="AM99" s="352"/>
      <c r="AN99" s="352"/>
      <c r="AO99" s="352"/>
      <c r="AP99" s="352"/>
      <c r="AQ99" s="352"/>
      <c r="AR99" s="352"/>
      <c r="AS99" s="352"/>
      <c r="AT99" s="352"/>
      <c r="AU99" s="352"/>
      <c r="AV99" s="352"/>
      <c r="AW99" s="352"/>
      <c r="AX99" s="352"/>
      <c r="AY99" s="352"/>
      <c r="AZ99" s="352"/>
      <c r="BA99" s="352"/>
      <c r="BB99" s="352"/>
      <c r="BC99" s="352"/>
      <c r="BD99" s="352"/>
      <c r="BE99" s="352"/>
      <c r="BF99" s="352"/>
      <c r="BG99" s="352"/>
      <c r="BH99" s="352"/>
      <c r="BI99" s="352"/>
      <c r="BJ99" s="352"/>
      <c r="BK99" s="352"/>
      <c r="BL99" s="352"/>
      <c r="BM99" s="352"/>
      <c r="BN99" s="352"/>
      <c r="BO99" s="352"/>
      <c r="BP99" s="352"/>
      <c r="BQ99" s="352"/>
      <c r="BR99" s="352"/>
      <c r="BS99" s="352"/>
      <c r="BT99" s="352"/>
      <c r="BU99" s="352"/>
      <c r="BV99" s="352"/>
      <c r="BW99" s="352"/>
      <c r="BX99" s="352"/>
      <c r="BY99" s="352"/>
      <c r="BZ99" s="352"/>
      <c r="CA99" s="352"/>
      <c r="CB99" s="352"/>
      <c r="CC99" s="352"/>
      <c r="CD99" s="352"/>
      <c r="CE99" s="352"/>
      <c r="CF99" s="352"/>
      <c r="CG99" s="352"/>
      <c r="CH99" s="352"/>
      <c r="CI99" s="352"/>
      <c r="CJ99" s="352"/>
      <c r="CK99" s="352"/>
      <c r="CL99" s="352"/>
      <c r="CM99" s="352"/>
      <c r="CN99" s="352"/>
      <c r="CO99" s="352"/>
      <c r="CP99" s="352"/>
      <c r="CQ99" s="352"/>
      <c r="CR99" s="352"/>
      <c r="CS99" s="352"/>
      <c r="CT99" s="352"/>
      <c r="CU99" s="352"/>
      <c r="CV99" s="352"/>
      <c r="CW99" s="352"/>
      <c r="CX99" s="352"/>
      <c r="CY99" s="352"/>
      <c r="CZ99" s="352"/>
      <c r="DA99" s="352"/>
      <c r="DB99" s="352"/>
      <c r="DC99" s="352"/>
      <c r="DD99" s="352"/>
      <c r="DE99" s="7"/>
    </row>
    <row r="100" spans="1:109" ht="15" customHeight="1">
      <c r="A100" s="6"/>
      <c r="B100" s="382"/>
      <c r="C100" s="383"/>
      <c r="D100" s="383"/>
      <c r="E100" s="383"/>
      <c r="F100" s="383"/>
      <c r="G100" s="383"/>
      <c r="H100" s="384"/>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c r="BI100" s="351"/>
      <c r="BJ100" s="351"/>
      <c r="BK100" s="351"/>
      <c r="BL100" s="351"/>
      <c r="BM100" s="351"/>
      <c r="BN100" s="351"/>
      <c r="BO100" s="351"/>
      <c r="BP100" s="351"/>
      <c r="BQ100" s="351"/>
      <c r="BR100" s="351"/>
      <c r="BS100" s="351"/>
      <c r="BT100" s="351"/>
      <c r="BU100" s="351"/>
      <c r="BV100" s="351"/>
      <c r="BW100" s="351"/>
      <c r="BX100" s="351"/>
      <c r="BY100" s="351"/>
      <c r="BZ100" s="351"/>
      <c r="CA100" s="351"/>
      <c r="CB100" s="351"/>
      <c r="CC100" s="351"/>
      <c r="CD100" s="351"/>
      <c r="CE100" s="351"/>
      <c r="CF100" s="351"/>
      <c r="CG100" s="351"/>
      <c r="CH100" s="351"/>
      <c r="CI100" s="351"/>
      <c r="CJ100" s="351"/>
      <c r="CK100" s="351"/>
      <c r="CL100" s="351"/>
      <c r="CM100" s="351"/>
      <c r="CN100" s="351"/>
      <c r="CO100" s="351"/>
      <c r="CP100" s="351"/>
      <c r="CQ100" s="351"/>
      <c r="CR100" s="351"/>
      <c r="CS100" s="351"/>
      <c r="CT100" s="351"/>
      <c r="CU100" s="351"/>
      <c r="CV100" s="351"/>
      <c r="CW100" s="351"/>
      <c r="CX100" s="351"/>
      <c r="CY100" s="351"/>
      <c r="CZ100" s="351"/>
      <c r="DA100" s="351"/>
      <c r="DB100" s="351"/>
      <c r="DC100" s="351"/>
      <c r="DD100" s="351"/>
      <c r="DE100" s="7"/>
    </row>
    <row r="101" spans="1:109" ht="15" customHeight="1">
      <c r="A101" s="8"/>
      <c r="B101" s="385"/>
      <c r="C101" s="386"/>
      <c r="D101" s="386"/>
      <c r="E101" s="386"/>
      <c r="F101" s="386"/>
      <c r="G101" s="386"/>
      <c r="H101" s="387"/>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1"/>
      <c r="BO101" s="351"/>
      <c r="BP101" s="351"/>
      <c r="BQ101" s="351"/>
      <c r="BR101" s="351"/>
      <c r="BS101" s="351"/>
      <c r="BT101" s="351"/>
      <c r="BU101" s="351"/>
      <c r="BV101" s="351"/>
      <c r="BW101" s="351"/>
      <c r="BX101" s="351"/>
      <c r="BY101" s="351"/>
      <c r="BZ101" s="351"/>
      <c r="CA101" s="351"/>
      <c r="CB101" s="351"/>
      <c r="CC101" s="351"/>
      <c r="CD101" s="351"/>
      <c r="CE101" s="351"/>
      <c r="CF101" s="351"/>
      <c r="CG101" s="351"/>
      <c r="CH101" s="351"/>
      <c r="CI101" s="351"/>
      <c r="CJ101" s="351"/>
      <c r="CK101" s="351"/>
      <c r="CL101" s="351"/>
      <c r="CM101" s="351"/>
      <c r="CN101" s="351"/>
      <c r="CO101" s="351"/>
      <c r="CP101" s="351"/>
      <c r="CQ101" s="351"/>
      <c r="CR101" s="351"/>
      <c r="CS101" s="351"/>
      <c r="CT101" s="351"/>
      <c r="CU101" s="351"/>
      <c r="CV101" s="351"/>
      <c r="CW101" s="351"/>
      <c r="CX101" s="351"/>
      <c r="CY101" s="351"/>
      <c r="CZ101" s="351"/>
      <c r="DA101" s="351"/>
      <c r="DB101" s="351"/>
      <c r="DC101" s="351"/>
      <c r="DD101" s="351"/>
      <c r="DE101" s="7"/>
    </row>
    <row r="102" spans="1:109" ht="15" customHeight="1">
      <c r="A102" s="8"/>
      <c r="B102" s="353"/>
      <c r="C102" s="354"/>
      <c r="D102" s="354"/>
      <c r="E102" s="354"/>
      <c r="F102" s="354"/>
      <c r="G102" s="354"/>
      <c r="H102" s="355"/>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c r="AX102" s="352"/>
      <c r="AY102" s="352"/>
      <c r="AZ102" s="352"/>
      <c r="BA102" s="352"/>
      <c r="BB102" s="352"/>
      <c r="BC102" s="352"/>
      <c r="BD102" s="352"/>
      <c r="BE102" s="352"/>
      <c r="BF102" s="352"/>
      <c r="BG102" s="352"/>
      <c r="BH102" s="352"/>
      <c r="BI102" s="352"/>
      <c r="BJ102" s="352"/>
      <c r="BK102" s="352"/>
      <c r="BL102" s="352"/>
      <c r="BM102" s="352"/>
      <c r="BN102" s="352"/>
      <c r="BO102" s="352"/>
      <c r="BP102" s="352"/>
      <c r="BQ102" s="352"/>
      <c r="BR102" s="352"/>
      <c r="BS102" s="352"/>
      <c r="BT102" s="352"/>
      <c r="BU102" s="352"/>
      <c r="BV102" s="352"/>
      <c r="BW102" s="352"/>
      <c r="BX102" s="352"/>
      <c r="BY102" s="352"/>
      <c r="BZ102" s="352"/>
      <c r="CA102" s="352"/>
      <c r="CB102" s="352"/>
      <c r="CC102" s="352"/>
      <c r="CD102" s="352"/>
      <c r="CE102" s="352"/>
      <c r="CF102" s="352"/>
      <c r="CG102" s="352"/>
      <c r="CH102" s="352"/>
      <c r="CI102" s="352"/>
      <c r="CJ102" s="352"/>
      <c r="CK102" s="352"/>
      <c r="CL102" s="352"/>
      <c r="CM102" s="352"/>
      <c r="CN102" s="352"/>
      <c r="CO102" s="352"/>
      <c r="CP102" s="352"/>
      <c r="CQ102" s="352"/>
      <c r="CR102" s="352"/>
      <c r="CS102" s="352"/>
      <c r="CT102" s="352"/>
      <c r="CU102" s="352"/>
      <c r="CV102" s="352"/>
      <c r="CW102" s="352"/>
      <c r="CX102" s="352"/>
      <c r="CY102" s="352"/>
      <c r="CZ102" s="352"/>
      <c r="DA102" s="352"/>
      <c r="DB102" s="352"/>
      <c r="DC102" s="352"/>
      <c r="DD102" s="352"/>
      <c r="DE102" s="7"/>
    </row>
    <row r="103" spans="1:109" ht="15" customHeight="1">
      <c r="A103" s="8"/>
      <c r="B103" s="356"/>
      <c r="C103" s="357"/>
      <c r="D103" s="357"/>
      <c r="E103" s="357"/>
      <c r="F103" s="357"/>
      <c r="G103" s="357"/>
      <c r="H103" s="358"/>
      <c r="I103" s="352"/>
      <c r="J103" s="352"/>
      <c r="K103" s="352"/>
      <c r="L103" s="352"/>
      <c r="M103" s="352"/>
      <c r="N103" s="352"/>
      <c r="O103" s="352"/>
      <c r="P103" s="352"/>
      <c r="Q103" s="352"/>
      <c r="R103" s="352"/>
      <c r="S103" s="352"/>
      <c r="T103" s="352"/>
      <c r="U103" s="352"/>
      <c r="V103" s="352"/>
      <c r="W103" s="352"/>
      <c r="X103" s="352"/>
      <c r="Y103" s="352"/>
      <c r="Z103" s="352"/>
      <c r="AA103" s="352"/>
      <c r="AB103" s="352"/>
      <c r="AC103" s="352"/>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c r="AX103" s="352"/>
      <c r="AY103" s="352"/>
      <c r="AZ103" s="352"/>
      <c r="BA103" s="352"/>
      <c r="BB103" s="352"/>
      <c r="BC103" s="352"/>
      <c r="BD103" s="352"/>
      <c r="BE103" s="352"/>
      <c r="BF103" s="352"/>
      <c r="BG103" s="352"/>
      <c r="BH103" s="352"/>
      <c r="BI103" s="352"/>
      <c r="BJ103" s="352"/>
      <c r="BK103" s="352"/>
      <c r="BL103" s="352"/>
      <c r="BM103" s="352"/>
      <c r="BN103" s="352"/>
      <c r="BO103" s="352"/>
      <c r="BP103" s="352"/>
      <c r="BQ103" s="352"/>
      <c r="BR103" s="352"/>
      <c r="BS103" s="352"/>
      <c r="BT103" s="352"/>
      <c r="BU103" s="352"/>
      <c r="BV103" s="352"/>
      <c r="BW103" s="352"/>
      <c r="BX103" s="352"/>
      <c r="BY103" s="352"/>
      <c r="BZ103" s="352"/>
      <c r="CA103" s="352"/>
      <c r="CB103" s="352"/>
      <c r="CC103" s="352"/>
      <c r="CD103" s="352"/>
      <c r="CE103" s="352"/>
      <c r="CF103" s="352"/>
      <c r="CG103" s="352"/>
      <c r="CH103" s="352"/>
      <c r="CI103" s="352"/>
      <c r="CJ103" s="352"/>
      <c r="CK103" s="352"/>
      <c r="CL103" s="352"/>
      <c r="CM103" s="352"/>
      <c r="CN103" s="352"/>
      <c r="CO103" s="352"/>
      <c r="CP103" s="352"/>
      <c r="CQ103" s="352"/>
      <c r="CR103" s="352"/>
      <c r="CS103" s="352"/>
      <c r="CT103" s="352"/>
      <c r="CU103" s="352"/>
      <c r="CV103" s="352"/>
      <c r="CW103" s="352"/>
      <c r="CX103" s="352"/>
      <c r="CY103" s="352"/>
      <c r="CZ103" s="352"/>
      <c r="DA103" s="352"/>
      <c r="DB103" s="352"/>
      <c r="DC103" s="352"/>
      <c r="DD103" s="352"/>
      <c r="DE103" s="7"/>
    </row>
    <row r="104" spans="1:109" ht="15" customHeight="1">
      <c r="A104" s="3"/>
      <c r="B104" s="382"/>
      <c r="C104" s="383"/>
      <c r="D104" s="383"/>
      <c r="E104" s="383"/>
      <c r="F104" s="383"/>
      <c r="G104" s="383"/>
      <c r="H104" s="384"/>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c r="BI104" s="351"/>
      <c r="BJ104" s="351"/>
      <c r="BK104" s="351"/>
      <c r="BL104" s="351"/>
      <c r="BM104" s="351"/>
      <c r="BN104" s="351"/>
      <c r="BO104" s="351"/>
      <c r="BP104" s="351"/>
      <c r="BQ104" s="351"/>
      <c r="BR104" s="351"/>
      <c r="BS104" s="351"/>
      <c r="BT104" s="351"/>
      <c r="BU104" s="351"/>
      <c r="BV104" s="351"/>
      <c r="BW104" s="351"/>
      <c r="BX104" s="351"/>
      <c r="BY104" s="351"/>
      <c r="BZ104" s="351"/>
      <c r="CA104" s="351"/>
      <c r="CB104" s="351"/>
      <c r="CC104" s="351"/>
      <c r="CD104" s="351"/>
      <c r="CE104" s="351"/>
      <c r="CF104" s="351"/>
      <c r="CG104" s="351"/>
      <c r="CH104" s="351"/>
      <c r="CI104" s="351"/>
      <c r="CJ104" s="351"/>
      <c r="CK104" s="351"/>
      <c r="CL104" s="351"/>
      <c r="CM104" s="351"/>
      <c r="CN104" s="351"/>
      <c r="CO104" s="351"/>
      <c r="CP104" s="351"/>
      <c r="CQ104" s="351"/>
      <c r="CR104" s="351"/>
      <c r="CS104" s="351"/>
      <c r="CT104" s="351"/>
      <c r="CU104" s="351"/>
      <c r="CV104" s="351"/>
      <c r="CW104" s="351"/>
      <c r="CX104" s="351"/>
      <c r="CY104" s="351"/>
      <c r="CZ104" s="351"/>
      <c r="DA104" s="351"/>
      <c r="DB104" s="351"/>
      <c r="DC104" s="351"/>
      <c r="DD104" s="351"/>
      <c r="DE104" s="7"/>
    </row>
    <row r="105" spans="1:109" ht="15" customHeight="1">
      <c r="A105" s="3"/>
      <c r="B105" s="385"/>
      <c r="C105" s="386"/>
      <c r="D105" s="386"/>
      <c r="E105" s="386"/>
      <c r="F105" s="386"/>
      <c r="G105" s="386"/>
      <c r="H105" s="387"/>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c r="BI105" s="351"/>
      <c r="BJ105" s="351"/>
      <c r="BK105" s="351"/>
      <c r="BL105" s="351"/>
      <c r="BM105" s="351"/>
      <c r="BN105" s="351"/>
      <c r="BO105" s="351"/>
      <c r="BP105" s="351"/>
      <c r="BQ105" s="351"/>
      <c r="BR105" s="351"/>
      <c r="BS105" s="351"/>
      <c r="BT105" s="351"/>
      <c r="BU105" s="351"/>
      <c r="BV105" s="351"/>
      <c r="BW105" s="351"/>
      <c r="BX105" s="351"/>
      <c r="BY105" s="351"/>
      <c r="BZ105" s="351"/>
      <c r="CA105" s="351"/>
      <c r="CB105" s="351"/>
      <c r="CC105" s="351"/>
      <c r="CD105" s="351"/>
      <c r="CE105" s="351"/>
      <c r="CF105" s="351"/>
      <c r="CG105" s="351"/>
      <c r="CH105" s="351"/>
      <c r="CI105" s="351"/>
      <c r="CJ105" s="351"/>
      <c r="CK105" s="351"/>
      <c r="CL105" s="351"/>
      <c r="CM105" s="351"/>
      <c r="CN105" s="351"/>
      <c r="CO105" s="351"/>
      <c r="CP105" s="351"/>
      <c r="CQ105" s="351"/>
      <c r="CR105" s="351"/>
      <c r="CS105" s="351"/>
      <c r="CT105" s="351"/>
      <c r="CU105" s="351"/>
      <c r="CV105" s="351"/>
      <c r="CW105" s="351"/>
      <c r="CX105" s="351"/>
      <c r="CY105" s="351"/>
      <c r="CZ105" s="351"/>
      <c r="DA105" s="351"/>
      <c r="DB105" s="351"/>
      <c r="DC105" s="351"/>
      <c r="DD105" s="351"/>
      <c r="DE105" s="7"/>
    </row>
    <row r="106" spans="1:109" ht="15" customHeight="1">
      <c r="A106" s="3"/>
      <c r="B106" s="353"/>
      <c r="C106" s="354"/>
      <c r="D106" s="354"/>
      <c r="E106" s="354"/>
      <c r="F106" s="354"/>
      <c r="G106" s="354"/>
      <c r="H106" s="355"/>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c r="AX106" s="352"/>
      <c r="AY106" s="352"/>
      <c r="AZ106" s="352"/>
      <c r="BA106" s="352"/>
      <c r="BB106" s="352"/>
      <c r="BC106" s="352"/>
      <c r="BD106" s="352"/>
      <c r="BE106" s="352"/>
      <c r="BF106" s="352"/>
      <c r="BG106" s="352"/>
      <c r="BH106" s="352"/>
      <c r="BI106" s="352"/>
      <c r="BJ106" s="352"/>
      <c r="BK106" s="352"/>
      <c r="BL106" s="352"/>
      <c r="BM106" s="352"/>
      <c r="BN106" s="352"/>
      <c r="BO106" s="352"/>
      <c r="BP106" s="352"/>
      <c r="BQ106" s="352"/>
      <c r="BR106" s="352"/>
      <c r="BS106" s="352"/>
      <c r="BT106" s="352"/>
      <c r="BU106" s="352"/>
      <c r="BV106" s="352"/>
      <c r="BW106" s="352"/>
      <c r="BX106" s="352"/>
      <c r="BY106" s="352"/>
      <c r="BZ106" s="352"/>
      <c r="CA106" s="352"/>
      <c r="CB106" s="352"/>
      <c r="CC106" s="352"/>
      <c r="CD106" s="352"/>
      <c r="CE106" s="352"/>
      <c r="CF106" s="352"/>
      <c r="CG106" s="352"/>
      <c r="CH106" s="352"/>
      <c r="CI106" s="352"/>
      <c r="CJ106" s="352"/>
      <c r="CK106" s="352"/>
      <c r="CL106" s="352"/>
      <c r="CM106" s="352"/>
      <c r="CN106" s="352"/>
      <c r="CO106" s="352"/>
      <c r="CP106" s="352"/>
      <c r="CQ106" s="352"/>
      <c r="CR106" s="352"/>
      <c r="CS106" s="352"/>
      <c r="CT106" s="352"/>
      <c r="CU106" s="352"/>
      <c r="CV106" s="352"/>
      <c r="CW106" s="352"/>
      <c r="CX106" s="352"/>
      <c r="CY106" s="352"/>
      <c r="CZ106" s="352"/>
      <c r="DA106" s="352"/>
      <c r="DB106" s="352"/>
      <c r="DC106" s="352"/>
      <c r="DD106" s="352"/>
      <c r="DE106" s="24"/>
    </row>
    <row r="107" spans="1:109" ht="15" customHeight="1">
      <c r="A107" s="3"/>
      <c r="B107" s="356"/>
      <c r="C107" s="357"/>
      <c r="D107" s="357"/>
      <c r="E107" s="357"/>
      <c r="F107" s="357"/>
      <c r="G107" s="357"/>
      <c r="H107" s="358"/>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c r="AX107" s="352"/>
      <c r="AY107" s="352"/>
      <c r="AZ107" s="352"/>
      <c r="BA107" s="352"/>
      <c r="BB107" s="352"/>
      <c r="BC107" s="352"/>
      <c r="BD107" s="352"/>
      <c r="BE107" s="352"/>
      <c r="BF107" s="352"/>
      <c r="BG107" s="352"/>
      <c r="BH107" s="352"/>
      <c r="BI107" s="352"/>
      <c r="BJ107" s="352"/>
      <c r="BK107" s="352"/>
      <c r="BL107" s="352"/>
      <c r="BM107" s="352"/>
      <c r="BN107" s="352"/>
      <c r="BO107" s="352"/>
      <c r="BP107" s="352"/>
      <c r="BQ107" s="352"/>
      <c r="BR107" s="352"/>
      <c r="BS107" s="352"/>
      <c r="BT107" s="352"/>
      <c r="BU107" s="352"/>
      <c r="BV107" s="352"/>
      <c r="BW107" s="352"/>
      <c r="BX107" s="352"/>
      <c r="BY107" s="352"/>
      <c r="BZ107" s="352"/>
      <c r="CA107" s="352"/>
      <c r="CB107" s="352"/>
      <c r="CC107" s="352"/>
      <c r="CD107" s="352"/>
      <c r="CE107" s="352"/>
      <c r="CF107" s="352"/>
      <c r="CG107" s="352"/>
      <c r="CH107" s="352"/>
      <c r="CI107" s="352"/>
      <c r="CJ107" s="352"/>
      <c r="CK107" s="352"/>
      <c r="CL107" s="352"/>
      <c r="CM107" s="352"/>
      <c r="CN107" s="352"/>
      <c r="CO107" s="352"/>
      <c r="CP107" s="352"/>
      <c r="CQ107" s="352"/>
      <c r="CR107" s="352"/>
      <c r="CS107" s="352"/>
      <c r="CT107" s="352"/>
      <c r="CU107" s="352"/>
      <c r="CV107" s="352"/>
      <c r="CW107" s="352"/>
      <c r="CX107" s="352"/>
      <c r="CY107" s="352"/>
      <c r="CZ107" s="352"/>
      <c r="DA107" s="352"/>
      <c r="DB107" s="352"/>
      <c r="DC107" s="352"/>
      <c r="DD107" s="352"/>
      <c r="DE107" s="7"/>
    </row>
    <row r="108" spans="1:109" ht="15" customHeight="1">
      <c r="A108" s="3"/>
      <c r="B108" s="382"/>
      <c r="C108" s="383"/>
      <c r="D108" s="383"/>
      <c r="E108" s="383"/>
      <c r="F108" s="383"/>
      <c r="G108" s="383"/>
      <c r="H108" s="384"/>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c r="BI108" s="351"/>
      <c r="BJ108" s="351"/>
      <c r="BK108" s="351"/>
      <c r="BL108" s="351"/>
      <c r="BM108" s="351"/>
      <c r="BN108" s="351"/>
      <c r="BO108" s="351"/>
      <c r="BP108" s="351"/>
      <c r="BQ108" s="351"/>
      <c r="BR108" s="351"/>
      <c r="BS108" s="351"/>
      <c r="BT108" s="351"/>
      <c r="BU108" s="351"/>
      <c r="BV108" s="351"/>
      <c r="BW108" s="351"/>
      <c r="BX108" s="351"/>
      <c r="BY108" s="351"/>
      <c r="BZ108" s="351"/>
      <c r="CA108" s="351"/>
      <c r="CB108" s="351"/>
      <c r="CC108" s="351"/>
      <c r="CD108" s="351"/>
      <c r="CE108" s="351"/>
      <c r="CF108" s="351"/>
      <c r="CG108" s="351"/>
      <c r="CH108" s="351"/>
      <c r="CI108" s="351"/>
      <c r="CJ108" s="351"/>
      <c r="CK108" s="351"/>
      <c r="CL108" s="351"/>
      <c r="CM108" s="351"/>
      <c r="CN108" s="351"/>
      <c r="CO108" s="351"/>
      <c r="CP108" s="351"/>
      <c r="CQ108" s="351"/>
      <c r="CR108" s="351"/>
      <c r="CS108" s="351"/>
      <c r="CT108" s="351"/>
      <c r="CU108" s="351"/>
      <c r="CV108" s="351"/>
      <c r="CW108" s="351"/>
      <c r="CX108" s="351"/>
      <c r="CY108" s="351"/>
      <c r="CZ108" s="351"/>
      <c r="DA108" s="351"/>
      <c r="DB108" s="351"/>
      <c r="DC108" s="351"/>
      <c r="DD108" s="351"/>
      <c r="DE108" s="7"/>
    </row>
    <row r="109" spans="1:109" ht="15" customHeight="1">
      <c r="A109" s="6"/>
      <c r="B109" s="385"/>
      <c r="C109" s="386"/>
      <c r="D109" s="386"/>
      <c r="E109" s="386"/>
      <c r="F109" s="386"/>
      <c r="G109" s="386"/>
      <c r="H109" s="387"/>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c r="BI109" s="351"/>
      <c r="BJ109" s="351"/>
      <c r="BK109" s="351"/>
      <c r="BL109" s="351"/>
      <c r="BM109" s="351"/>
      <c r="BN109" s="351"/>
      <c r="BO109" s="351"/>
      <c r="BP109" s="351"/>
      <c r="BQ109" s="351"/>
      <c r="BR109" s="351"/>
      <c r="BS109" s="351"/>
      <c r="BT109" s="351"/>
      <c r="BU109" s="351"/>
      <c r="BV109" s="351"/>
      <c r="BW109" s="351"/>
      <c r="BX109" s="351"/>
      <c r="BY109" s="351"/>
      <c r="BZ109" s="351"/>
      <c r="CA109" s="351"/>
      <c r="CB109" s="351"/>
      <c r="CC109" s="351"/>
      <c r="CD109" s="351"/>
      <c r="CE109" s="351"/>
      <c r="CF109" s="351"/>
      <c r="CG109" s="351"/>
      <c r="CH109" s="351"/>
      <c r="CI109" s="351"/>
      <c r="CJ109" s="351"/>
      <c r="CK109" s="351"/>
      <c r="CL109" s="351"/>
      <c r="CM109" s="351"/>
      <c r="CN109" s="351"/>
      <c r="CO109" s="351"/>
      <c r="CP109" s="351"/>
      <c r="CQ109" s="351"/>
      <c r="CR109" s="351"/>
      <c r="CS109" s="351"/>
      <c r="CT109" s="351"/>
      <c r="CU109" s="351"/>
      <c r="CV109" s="351"/>
      <c r="CW109" s="351"/>
      <c r="CX109" s="351"/>
      <c r="CY109" s="351"/>
      <c r="CZ109" s="351"/>
      <c r="DA109" s="351"/>
      <c r="DB109" s="351"/>
      <c r="DC109" s="351"/>
      <c r="DD109" s="351"/>
      <c r="DE109" s="7"/>
    </row>
    <row r="110" spans="1:109" ht="15" customHeight="1" thickBot="1">
      <c r="A110" s="2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4"/>
    </row>
    <row r="111" spans="1:109" ht="15" customHeight="1">
      <c r="A111" s="388"/>
      <c r="B111" s="389"/>
      <c r="C111" s="389"/>
      <c r="D111" s="389"/>
      <c r="E111" s="389"/>
      <c r="F111" s="389"/>
      <c r="G111" s="389"/>
      <c r="H111" s="389"/>
      <c r="I111" s="389"/>
      <c r="J111" s="389"/>
      <c r="K111" s="389"/>
      <c r="L111" s="389"/>
      <c r="M111" s="389"/>
      <c r="N111" s="389"/>
      <c r="O111" s="389"/>
      <c r="P111" s="389"/>
      <c r="Q111" s="389"/>
      <c r="R111" s="389"/>
      <c r="S111" s="389"/>
      <c r="T111" s="389"/>
      <c r="U111" s="389"/>
      <c r="V111" s="389"/>
      <c r="W111" s="389"/>
      <c r="X111" s="389"/>
      <c r="Y111" s="389"/>
      <c r="Z111" s="389"/>
      <c r="AA111" s="389"/>
      <c r="AB111" s="389"/>
      <c r="AC111" s="389"/>
      <c r="AD111" s="389"/>
      <c r="AE111" s="389"/>
      <c r="AF111" s="389"/>
      <c r="AG111" s="389"/>
      <c r="AH111" s="389"/>
      <c r="AI111" s="389"/>
      <c r="AJ111" s="389"/>
      <c r="AK111" s="389"/>
      <c r="AL111" s="389"/>
      <c r="AM111" s="389"/>
      <c r="AN111" s="389"/>
      <c r="AO111" s="389"/>
      <c r="AP111" s="389"/>
      <c r="AQ111" s="389"/>
      <c r="AR111" s="389"/>
      <c r="AS111" s="389"/>
      <c r="AT111" s="389"/>
      <c r="AU111" s="389"/>
      <c r="AV111" s="389"/>
      <c r="AW111" s="389"/>
      <c r="AX111" s="389"/>
      <c r="AY111" s="389"/>
      <c r="AZ111" s="389"/>
      <c r="BA111" s="389"/>
      <c r="BB111" s="389"/>
      <c r="BC111" s="389"/>
      <c r="BD111" s="389"/>
      <c r="BE111" s="389"/>
      <c r="BF111" s="389"/>
      <c r="BG111" s="389"/>
      <c r="BH111" s="389"/>
      <c r="BI111" s="389"/>
      <c r="BJ111" s="389"/>
      <c r="BK111" s="389"/>
      <c r="BL111" s="389"/>
      <c r="BM111" s="389"/>
      <c r="BN111" s="389"/>
      <c r="BO111" s="389"/>
      <c r="BP111" s="389"/>
      <c r="BQ111" s="389"/>
      <c r="BR111" s="389"/>
      <c r="BS111" s="389"/>
      <c r="BT111" s="389"/>
      <c r="BU111" s="389"/>
      <c r="BV111" s="389"/>
      <c r="BW111" s="389"/>
      <c r="BX111" s="389"/>
      <c r="BY111" s="389"/>
      <c r="BZ111" s="389"/>
      <c r="CA111" s="389"/>
      <c r="CB111" s="389"/>
      <c r="CC111" s="389"/>
      <c r="CD111" s="389"/>
      <c r="CE111" s="389"/>
      <c r="CF111" s="389"/>
      <c r="CG111" s="389"/>
      <c r="CH111" s="389"/>
      <c r="CI111" s="389"/>
      <c r="CJ111" s="389"/>
      <c r="CK111" s="389"/>
      <c r="CL111" s="389"/>
      <c r="CM111" s="389"/>
      <c r="CN111" s="389"/>
      <c r="CO111" s="389"/>
      <c r="CP111" s="389"/>
      <c r="CQ111" s="389"/>
      <c r="CR111" s="389"/>
      <c r="CS111" s="389"/>
      <c r="CT111" s="389"/>
      <c r="CU111" s="389"/>
      <c r="CV111" s="361" t="s">
        <v>1</v>
      </c>
      <c r="CW111" s="361"/>
      <c r="CX111" s="361"/>
      <c r="CY111" s="361"/>
      <c r="CZ111" s="361"/>
      <c r="DA111" s="361"/>
      <c r="DB111" s="361"/>
      <c r="DC111" s="361"/>
      <c r="DD111" s="361"/>
      <c r="DE111" s="362"/>
    </row>
    <row r="112" spans="1:109" ht="15" customHeight="1">
      <c r="A112" s="390"/>
      <c r="B112" s="391"/>
      <c r="C112" s="391"/>
      <c r="D112" s="391"/>
      <c r="E112" s="391"/>
      <c r="F112" s="391"/>
      <c r="G112" s="391"/>
      <c r="H112" s="391"/>
      <c r="I112" s="391"/>
      <c r="J112" s="391"/>
      <c r="K112" s="391"/>
      <c r="L112" s="391"/>
      <c r="M112" s="391"/>
      <c r="N112" s="391"/>
      <c r="O112" s="391"/>
      <c r="P112" s="391"/>
      <c r="Q112" s="391"/>
      <c r="R112" s="391"/>
      <c r="S112" s="391"/>
      <c r="T112" s="391"/>
      <c r="U112" s="391"/>
      <c r="V112" s="391"/>
      <c r="W112" s="391"/>
      <c r="X112" s="391"/>
      <c r="Y112" s="391"/>
      <c r="Z112" s="391"/>
      <c r="AA112" s="391"/>
      <c r="AB112" s="391"/>
      <c r="AC112" s="391"/>
      <c r="AD112" s="391"/>
      <c r="AE112" s="391"/>
      <c r="AF112" s="391"/>
      <c r="AG112" s="391"/>
      <c r="AH112" s="391"/>
      <c r="AI112" s="391"/>
      <c r="AJ112" s="391"/>
      <c r="AK112" s="391"/>
      <c r="AL112" s="391"/>
      <c r="AM112" s="391"/>
      <c r="AN112" s="391"/>
      <c r="AO112" s="391"/>
      <c r="AP112" s="391"/>
      <c r="AQ112" s="391"/>
      <c r="AR112" s="391"/>
      <c r="AS112" s="391"/>
      <c r="AT112" s="391"/>
      <c r="AU112" s="391"/>
      <c r="AV112" s="391"/>
      <c r="AW112" s="391"/>
      <c r="AX112" s="391"/>
      <c r="AY112" s="391"/>
      <c r="AZ112" s="391"/>
      <c r="BA112" s="391"/>
      <c r="BB112" s="391"/>
      <c r="BC112" s="391"/>
      <c r="BD112" s="391"/>
      <c r="BE112" s="391"/>
      <c r="BF112" s="391"/>
      <c r="BG112" s="391"/>
      <c r="BH112" s="391"/>
      <c r="BI112" s="391"/>
      <c r="BJ112" s="391"/>
      <c r="BK112" s="391"/>
      <c r="BL112" s="391"/>
      <c r="BM112" s="391"/>
      <c r="BN112" s="391"/>
      <c r="BO112" s="391"/>
      <c r="BP112" s="391"/>
      <c r="BQ112" s="391"/>
      <c r="BR112" s="391"/>
      <c r="BS112" s="391"/>
      <c r="BT112" s="391"/>
      <c r="BU112" s="391"/>
      <c r="BV112" s="391"/>
      <c r="BW112" s="391"/>
      <c r="BX112" s="391"/>
      <c r="BY112" s="391"/>
      <c r="BZ112" s="391"/>
      <c r="CA112" s="391"/>
      <c r="CB112" s="391"/>
      <c r="CC112" s="391"/>
      <c r="CD112" s="391"/>
      <c r="CE112" s="391"/>
      <c r="CF112" s="391"/>
      <c r="CG112" s="391"/>
      <c r="CH112" s="391"/>
      <c r="CI112" s="391"/>
      <c r="CJ112" s="391"/>
      <c r="CK112" s="391"/>
      <c r="CL112" s="391"/>
      <c r="CM112" s="391"/>
      <c r="CN112" s="391"/>
      <c r="CO112" s="391"/>
      <c r="CP112" s="391"/>
      <c r="CQ112" s="391"/>
      <c r="CR112" s="391"/>
      <c r="CS112" s="391"/>
      <c r="CT112" s="391"/>
      <c r="CU112" s="391"/>
      <c r="CV112" s="363"/>
      <c r="CW112" s="363"/>
      <c r="CX112" s="363"/>
      <c r="CY112" s="363"/>
      <c r="CZ112" s="363"/>
      <c r="DA112" s="363"/>
      <c r="DB112" s="363"/>
      <c r="DC112" s="363"/>
      <c r="DD112" s="363"/>
      <c r="DE112" s="364"/>
    </row>
    <row r="113" spans="1:109" ht="15" customHeight="1">
      <c r="A113" s="390"/>
      <c r="B113" s="391"/>
      <c r="C113" s="391"/>
      <c r="D113" s="391"/>
      <c r="E113" s="391"/>
      <c r="F113" s="391"/>
      <c r="G113" s="391"/>
      <c r="H113" s="391"/>
      <c r="I113" s="391"/>
      <c r="J113" s="391"/>
      <c r="K113" s="391"/>
      <c r="L113" s="391"/>
      <c r="M113" s="391"/>
      <c r="N113" s="391"/>
      <c r="O113" s="391"/>
      <c r="P113" s="391"/>
      <c r="Q113" s="391"/>
      <c r="R113" s="391"/>
      <c r="S113" s="391"/>
      <c r="T113" s="391"/>
      <c r="U113" s="391"/>
      <c r="V113" s="391"/>
      <c r="W113" s="391"/>
      <c r="X113" s="391"/>
      <c r="Y113" s="391"/>
      <c r="Z113" s="391"/>
      <c r="AA113" s="391"/>
      <c r="AB113" s="391"/>
      <c r="AC113" s="391"/>
      <c r="AD113" s="391"/>
      <c r="AE113" s="391"/>
      <c r="AF113" s="391"/>
      <c r="AG113" s="391"/>
      <c r="AH113" s="391"/>
      <c r="AI113" s="391"/>
      <c r="AJ113" s="391"/>
      <c r="AK113" s="391"/>
      <c r="AL113" s="391"/>
      <c r="AM113" s="391"/>
      <c r="AN113" s="391"/>
      <c r="AO113" s="391"/>
      <c r="AP113" s="391"/>
      <c r="AQ113" s="391"/>
      <c r="AR113" s="391"/>
      <c r="AS113" s="391"/>
      <c r="AT113" s="391"/>
      <c r="AU113" s="391"/>
      <c r="AV113" s="391"/>
      <c r="AW113" s="391"/>
      <c r="AX113" s="391"/>
      <c r="AY113" s="391"/>
      <c r="AZ113" s="391"/>
      <c r="BA113" s="391"/>
      <c r="BB113" s="391"/>
      <c r="BC113" s="391"/>
      <c r="BD113" s="391"/>
      <c r="BE113" s="391"/>
      <c r="BF113" s="391"/>
      <c r="BG113" s="391"/>
      <c r="BH113" s="391"/>
      <c r="BI113" s="391"/>
      <c r="BJ113" s="391"/>
      <c r="BK113" s="391"/>
      <c r="BL113" s="391"/>
      <c r="BM113" s="391"/>
      <c r="BN113" s="391"/>
      <c r="BO113" s="391"/>
      <c r="BP113" s="391"/>
      <c r="BQ113" s="391"/>
      <c r="BR113" s="391"/>
      <c r="BS113" s="391"/>
      <c r="BT113" s="391"/>
      <c r="BU113" s="391"/>
      <c r="BV113" s="391"/>
      <c r="BW113" s="391"/>
      <c r="BX113" s="391"/>
      <c r="BY113" s="391"/>
      <c r="BZ113" s="391"/>
      <c r="CA113" s="391"/>
      <c r="CB113" s="391"/>
      <c r="CC113" s="391"/>
      <c r="CD113" s="391"/>
      <c r="CE113" s="391"/>
      <c r="CF113" s="391"/>
      <c r="CG113" s="391"/>
      <c r="CH113" s="391"/>
      <c r="CI113" s="391"/>
      <c r="CJ113" s="391"/>
      <c r="CK113" s="391"/>
      <c r="CL113" s="391"/>
      <c r="CM113" s="391"/>
      <c r="CN113" s="391"/>
      <c r="CO113" s="391"/>
      <c r="CP113" s="391"/>
      <c r="CQ113" s="391"/>
      <c r="CR113" s="391"/>
      <c r="CS113" s="391"/>
      <c r="CT113" s="391"/>
      <c r="CU113" s="391"/>
      <c r="CV113" s="363"/>
      <c r="CW113" s="363"/>
      <c r="CX113" s="363"/>
      <c r="CY113" s="363"/>
      <c r="CZ113" s="363"/>
      <c r="DA113" s="363"/>
      <c r="DB113" s="363"/>
      <c r="DC113" s="363"/>
      <c r="DD113" s="363"/>
      <c r="DE113" s="364"/>
    </row>
    <row r="114" spans="1:109" ht="15" customHeight="1">
      <c r="A114" s="390"/>
      <c r="B114" s="391"/>
      <c r="C114" s="391"/>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c r="AA114" s="391"/>
      <c r="AB114" s="391"/>
      <c r="AC114" s="391"/>
      <c r="AD114" s="391"/>
      <c r="AE114" s="391"/>
      <c r="AF114" s="391"/>
      <c r="AG114" s="391"/>
      <c r="AH114" s="391"/>
      <c r="AI114" s="391"/>
      <c r="AJ114" s="391"/>
      <c r="AK114" s="391"/>
      <c r="AL114" s="391"/>
      <c r="AM114" s="391"/>
      <c r="AN114" s="391"/>
      <c r="AO114" s="391"/>
      <c r="AP114" s="391"/>
      <c r="AQ114" s="391"/>
      <c r="AR114" s="391"/>
      <c r="AS114" s="391"/>
      <c r="AT114" s="391"/>
      <c r="AU114" s="391"/>
      <c r="AV114" s="391"/>
      <c r="AW114" s="391"/>
      <c r="AX114" s="391"/>
      <c r="AY114" s="391"/>
      <c r="AZ114" s="391"/>
      <c r="BA114" s="391"/>
      <c r="BB114" s="391"/>
      <c r="BC114" s="391"/>
      <c r="BD114" s="391"/>
      <c r="BE114" s="391"/>
      <c r="BF114" s="391"/>
      <c r="BG114" s="391"/>
      <c r="BH114" s="391"/>
      <c r="BI114" s="391"/>
      <c r="BJ114" s="391"/>
      <c r="BK114" s="391"/>
      <c r="BL114" s="391"/>
      <c r="BM114" s="391"/>
      <c r="BN114" s="391"/>
      <c r="BO114" s="391"/>
      <c r="BP114" s="391"/>
      <c r="BQ114" s="391"/>
      <c r="BR114" s="391"/>
      <c r="BS114" s="391"/>
      <c r="BT114" s="391"/>
      <c r="BU114" s="391"/>
      <c r="BV114" s="391"/>
      <c r="BW114" s="391"/>
      <c r="BX114" s="391"/>
      <c r="BY114" s="391"/>
      <c r="BZ114" s="391"/>
      <c r="CA114" s="391"/>
      <c r="CB114" s="391"/>
      <c r="CC114" s="391"/>
      <c r="CD114" s="391"/>
      <c r="CE114" s="391"/>
      <c r="CF114" s="391"/>
      <c r="CG114" s="391"/>
      <c r="CH114" s="391"/>
      <c r="CI114" s="391"/>
      <c r="CJ114" s="391"/>
      <c r="CK114" s="391"/>
      <c r="CL114" s="391"/>
      <c r="CM114" s="391"/>
      <c r="CN114" s="391"/>
      <c r="CO114" s="391"/>
      <c r="CP114" s="391"/>
      <c r="CQ114" s="391"/>
      <c r="CR114" s="391"/>
      <c r="CS114" s="391"/>
      <c r="CT114" s="391"/>
      <c r="CU114" s="391"/>
      <c r="CV114" s="363"/>
      <c r="CW114" s="363"/>
      <c r="CX114" s="363"/>
      <c r="CY114" s="363"/>
      <c r="CZ114" s="363"/>
      <c r="DA114" s="363"/>
      <c r="DB114" s="363"/>
      <c r="DC114" s="363"/>
      <c r="DD114" s="363"/>
      <c r="DE114" s="364"/>
    </row>
    <row r="115" spans="1:109" ht="15" customHeight="1">
      <c r="A115" s="390"/>
      <c r="B115" s="391"/>
      <c r="C115" s="391"/>
      <c r="D115" s="391"/>
      <c r="E115" s="391"/>
      <c r="F115" s="391"/>
      <c r="G115" s="391"/>
      <c r="H115" s="391"/>
      <c r="I115" s="391"/>
      <c r="J115" s="391"/>
      <c r="K115" s="391"/>
      <c r="L115" s="391"/>
      <c r="M115" s="391"/>
      <c r="N115" s="391"/>
      <c r="O115" s="391"/>
      <c r="P115" s="391"/>
      <c r="Q115" s="391"/>
      <c r="R115" s="391"/>
      <c r="S115" s="391"/>
      <c r="T115" s="391"/>
      <c r="U115" s="391"/>
      <c r="V115" s="391"/>
      <c r="W115" s="391"/>
      <c r="X115" s="391"/>
      <c r="Y115" s="391"/>
      <c r="Z115" s="391"/>
      <c r="AA115" s="391"/>
      <c r="AB115" s="391"/>
      <c r="AC115" s="391"/>
      <c r="AD115" s="391"/>
      <c r="AE115" s="391"/>
      <c r="AF115" s="391"/>
      <c r="AG115" s="391"/>
      <c r="AH115" s="391"/>
      <c r="AI115" s="391"/>
      <c r="AJ115" s="391"/>
      <c r="AK115" s="391"/>
      <c r="AL115" s="391"/>
      <c r="AM115" s="391"/>
      <c r="AN115" s="391"/>
      <c r="AO115" s="391"/>
      <c r="AP115" s="391"/>
      <c r="AQ115" s="391"/>
      <c r="AR115" s="391"/>
      <c r="AS115" s="391"/>
      <c r="AT115" s="391"/>
      <c r="AU115" s="391"/>
      <c r="AV115" s="391"/>
      <c r="AW115" s="391"/>
      <c r="AX115" s="391"/>
      <c r="AY115" s="391"/>
      <c r="AZ115" s="391"/>
      <c r="BA115" s="391"/>
      <c r="BB115" s="391"/>
      <c r="BC115" s="391"/>
      <c r="BD115" s="391"/>
      <c r="BE115" s="391"/>
      <c r="BF115" s="391"/>
      <c r="BG115" s="391"/>
      <c r="BH115" s="391"/>
      <c r="BI115" s="391"/>
      <c r="BJ115" s="391"/>
      <c r="BK115" s="391"/>
      <c r="BL115" s="391"/>
      <c r="BM115" s="391"/>
      <c r="BN115" s="391"/>
      <c r="BO115" s="391"/>
      <c r="BP115" s="391"/>
      <c r="BQ115" s="391"/>
      <c r="BR115" s="391"/>
      <c r="BS115" s="391"/>
      <c r="BT115" s="391"/>
      <c r="BU115" s="391"/>
      <c r="BV115" s="391"/>
      <c r="BW115" s="391"/>
      <c r="BX115" s="391"/>
      <c r="BY115" s="391"/>
      <c r="BZ115" s="391"/>
      <c r="CA115" s="391"/>
      <c r="CB115" s="391"/>
      <c r="CC115" s="391"/>
      <c r="CD115" s="391"/>
      <c r="CE115" s="391"/>
      <c r="CF115" s="391"/>
      <c r="CG115" s="391"/>
      <c r="CH115" s="391"/>
      <c r="CI115" s="391"/>
      <c r="CJ115" s="391"/>
      <c r="CK115" s="391"/>
      <c r="CL115" s="391"/>
      <c r="CM115" s="391"/>
      <c r="CN115" s="391"/>
      <c r="CO115" s="391"/>
      <c r="CP115" s="391"/>
      <c r="CQ115" s="391"/>
      <c r="CR115" s="391"/>
      <c r="CS115" s="391"/>
      <c r="CT115" s="391"/>
      <c r="CU115" s="391"/>
      <c r="CV115" s="363"/>
      <c r="CW115" s="363"/>
      <c r="CX115" s="363"/>
      <c r="CY115" s="363"/>
      <c r="CZ115" s="363"/>
      <c r="DA115" s="363"/>
      <c r="DB115" s="363"/>
      <c r="DC115" s="363"/>
      <c r="DD115" s="363"/>
      <c r="DE115" s="364"/>
    </row>
    <row r="116" spans="1:109" ht="15" customHeight="1" thickBot="1">
      <c r="A116" s="390"/>
      <c r="B116" s="391"/>
      <c r="C116" s="391"/>
      <c r="D116" s="391"/>
      <c r="E116" s="391"/>
      <c r="F116" s="391"/>
      <c r="G116" s="391"/>
      <c r="H116" s="391"/>
      <c r="I116" s="391"/>
      <c r="J116" s="391"/>
      <c r="K116" s="391"/>
      <c r="L116" s="391"/>
      <c r="M116" s="391"/>
      <c r="N116" s="391"/>
      <c r="O116" s="391"/>
      <c r="P116" s="391"/>
      <c r="Q116" s="391"/>
      <c r="R116" s="391"/>
      <c r="S116" s="391"/>
      <c r="T116" s="391"/>
      <c r="U116" s="391"/>
      <c r="V116" s="391"/>
      <c r="W116" s="391"/>
      <c r="X116" s="391"/>
      <c r="Y116" s="391"/>
      <c r="Z116" s="391"/>
      <c r="AA116" s="391"/>
      <c r="AB116" s="391"/>
      <c r="AC116" s="391"/>
      <c r="AD116" s="391"/>
      <c r="AE116" s="391"/>
      <c r="AF116" s="391"/>
      <c r="AG116" s="391"/>
      <c r="AH116" s="391"/>
      <c r="AI116" s="391"/>
      <c r="AJ116" s="391"/>
      <c r="AK116" s="391"/>
      <c r="AL116" s="391"/>
      <c r="AM116" s="391"/>
      <c r="AN116" s="391"/>
      <c r="AO116" s="391"/>
      <c r="AP116" s="391"/>
      <c r="AQ116" s="391"/>
      <c r="AR116" s="391"/>
      <c r="AS116" s="391"/>
      <c r="AT116" s="391"/>
      <c r="AU116" s="391"/>
      <c r="AV116" s="391"/>
      <c r="AW116" s="391"/>
      <c r="AX116" s="391"/>
      <c r="AY116" s="391"/>
      <c r="AZ116" s="391"/>
      <c r="BA116" s="391"/>
      <c r="BB116" s="391"/>
      <c r="BC116" s="391"/>
      <c r="BD116" s="391"/>
      <c r="BE116" s="391"/>
      <c r="BF116" s="391"/>
      <c r="BG116" s="391"/>
      <c r="BH116" s="391"/>
      <c r="BI116" s="391"/>
      <c r="BJ116" s="391"/>
      <c r="BK116" s="391"/>
      <c r="BL116" s="391"/>
      <c r="BM116" s="391"/>
      <c r="BN116" s="391"/>
      <c r="BO116" s="391"/>
      <c r="BP116" s="391"/>
      <c r="BQ116" s="391"/>
      <c r="BR116" s="391"/>
      <c r="BS116" s="391"/>
      <c r="BT116" s="391"/>
      <c r="BU116" s="391"/>
      <c r="BV116" s="391"/>
      <c r="BW116" s="391"/>
      <c r="BX116" s="391"/>
      <c r="BY116" s="391"/>
      <c r="BZ116" s="391"/>
      <c r="CA116" s="391"/>
      <c r="CB116" s="391"/>
      <c r="CC116" s="391"/>
      <c r="CD116" s="391"/>
      <c r="CE116" s="391"/>
      <c r="CF116" s="391"/>
      <c r="CG116" s="391"/>
      <c r="CH116" s="391"/>
      <c r="CI116" s="391"/>
      <c r="CJ116" s="391"/>
      <c r="CK116" s="391"/>
      <c r="CL116" s="391"/>
      <c r="CM116" s="391"/>
      <c r="CN116" s="391"/>
      <c r="CO116" s="391"/>
      <c r="CP116" s="391"/>
      <c r="CQ116" s="391"/>
      <c r="CR116" s="391"/>
      <c r="CS116" s="391"/>
      <c r="CT116" s="391"/>
      <c r="CU116" s="391"/>
      <c r="CV116" s="365"/>
      <c r="CW116" s="365"/>
      <c r="CX116" s="365"/>
      <c r="CY116" s="365"/>
      <c r="CZ116" s="365"/>
      <c r="DA116" s="365"/>
      <c r="DB116" s="365"/>
      <c r="DC116" s="365"/>
      <c r="DD116" s="365"/>
      <c r="DE116" s="366"/>
    </row>
    <row r="117" spans="1:109" ht="15" customHeight="1">
      <c r="A117" s="392" t="s">
        <v>83</v>
      </c>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3"/>
      <c r="BF117" s="393"/>
      <c r="BG117" s="393"/>
      <c r="BH117" s="393"/>
      <c r="BI117" s="393"/>
      <c r="BJ117" s="393"/>
      <c r="BK117" s="393"/>
      <c r="BL117" s="393"/>
      <c r="BM117" s="393"/>
      <c r="BN117" s="393"/>
      <c r="BO117" s="393"/>
      <c r="BP117" s="393"/>
      <c r="BQ117" s="393"/>
      <c r="BR117" s="393"/>
      <c r="BS117" s="393"/>
      <c r="BT117" s="393"/>
      <c r="BU117" s="393"/>
      <c r="BV117" s="393"/>
      <c r="BW117" s="393"/>
      <c r="BX117" s="393"/>
      <c r="BY117" s="393"/>
      <c r="BZ117" s="393"/>
      <c r="CA117" s="393"/>
      <c r="CB117" s="393"/>
      <c r="CC117" s="393"/>
      <c r="CD117" s="393"/>
      <c r="CE117" s="393"/>
      <c r="CF117" s="393"/>
      <c r="CG117" s="393"/>
      <c r="CH117" s="393"/>
      <c r="CI117" s="393"/>
      <c r="CJ117" s="393"/>
      <c r="CK117" s="393"/>
      <c r="CL117" s="393"/>
      <c r="CM117" s="393"/>
      <c r="CN117" s="393"/>
      <c r="CO117" s="393"/>
      <c r="CP117" s="367" t="s">
        <v>3</v>
      </c>
      <c r="CQ117" s="367"/>
      <c r="CR117" s="367"/>
      <c r="CS117" s="367"/>
      <c r="CT117" s="367"/>
      <c r="CU117" s="367"/>
      <c r="CV117" s="367"/>
      <c r="CW117" s="367"/>
      <c r="CX117" s="367"/>
      <c r="CY117" s="367"/>
      <c r="CZ117" s="367"/>
      <c r="DA117" s="367"/>
      <c r="DB117" s="367"/>
      <c r="DC117" s="367"/>
      <c r="DD117" s="367"/>
      <c r="DE117" s="368"/>
    </row>
    <row r="118" spans="1:109" ht="15" customHeight="1">
      <c r="A118" s="392"/>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3"/>
      <c r="BF118" s="393"/>
      <c r="BG118" s="393"/>
      <c r="BH118" s="393"/>
      <c r="BI118" s="393"/>
      <c r="BJ118" s="393"/>
      <c r="BK118" s="393"/>
      <c r="BL118" s="393"/>
      <c r="BM118" s="393"/>
      <c r="BN118" s="393"/>
      <c r="BO118" s="393"/>
      <c r="BP118" s="393"/>
      <c r="BQ118" s="393"/>
      <c r="BR118" s="393"/>
      <c r="BS118" s="393"/>
      <c r="BT118" s="393"/>
      <c r="BU118" s="393"/>
      <c r="BV118" s="393"/>
      <c r="BW118" s="393"/>
      <c r="BX118" s="393"/>
      <c r="BY118" s="393"/>
      <c r="BZ118" s="393"/>
      <c r="CA118" s="393"/>
      <c r="CB118" s="393"/>
      <c r="CC118" s="393"/>
      <c r="CD118" s="393"/>
      <c r="CE118" s="393"/>
      <c r="CF118" s="393"/>
      <c r="CG118" s="393"/>
      <c r="CH118" s="393"/>
      <c r="CI118" s="393"/>
      <c r="CJ118" s="393"/>
      <c r="CK118" s="393"/>
      <c r="CL118" s="393"/>
      <c r="CM118" s="393"/>
      <c r="CN118" s="393"/>
      <c r="CO118" s="393"/>
      <c r="CP118" s="367"/>
      <c r="CQ118" s="367"/>
      <c r="CR118" s="367"/>
      <c r="CS118" s="367"/>
      <c r="CT118" s="367"/>
      <c r="CU118" s="367"/>
      <c r="CV118" s="367"/>
      <c r="CW118" s="367"/>
      <c r="CX118" s="367"/>
      <c r="CY118" s="367"/>
      <c r="CZ118" s="367"/>
      <c r="DA118" s="367"/>
      <c r="DB118" s="367"/>
      <c r="DC118" s="367"/>
      <c r="DD118" s="367"/>
      <c r="DE118" s="368"/>
    </row>
    <row r="119" spans="1:109" ht="15" customHeight="1">
      <c r="A119" s="375" t="s">
        <v>4</v>
      </c>
      <c r="B119" s="369"/>
      <c r="C119" s="369"/>
      <c r="D119" s="369"/>
      <c r="E119" s="369"/>
      <c r="F119" s="369"/>
      <c r="G119" s="369"/>
      <c r="H119" s="369"/>
      <c r="I119" s="369"/>
      <c r="J119" s="369"/>
      <c r="K119" s="369"/>
      <c r="L119" s="369"/>
      <c r="M119" s="369"/>
      <c r="N119" s="369"/>
      <c r="O119" s="369"/>
      <c r="P119" s="369"/>
      <c r="Q119" s="369"/>
      <c r="R119" s="369"/>
      <c r="S119" s="370">
        <v>559082</v>
      </c>
      <c r="T119" s="370"/>
      <c r="U119" s="370"/>
      <c r="V119" s="370"/>
      <c r="W119" s="370"/>
      <c r="X119" s="370"/>
      <c r="Y119" s="370"/>
      <c r="Z119" s="370"/>
      <c r="AA119" s="370"/>
      <c r="AB119" s="370"/>
      <c r="AC119" s="370"/>
      <c r="AD119" s="370"/>
      <c r="AE119" s="369" t="s">
        <v>5</v>
      </c>
      <c r="AF119" s="369"/>
      <c r="AG119" s="369"/>
      <c r="AH119" s="369"/>
      <c r="AI119" s="369"/>
      <c r="AJ119" s="369"/>
      <c r="AK119" s="369"/>
      <c r="AL119" s="369"/>
      <c r="AM119" s="369"/>
      <c r="AN119" s="369"/>
      <c r="AO119" s="369"/>
      <c r="AP119" s="369"/>
      <c r="AQ119" s="369"/>
      <c r="AR119" s="369"/>
      <c r="AS119" s="394">
        <v>45678</v>
      </c>
      <c r="AT119" s="394"/>
      <c r="AU119" s="394"/>
      <c r="AV119" s="394"/>
      <c r="AW119" s="394"/>
      <c r="AX119" s="394"/>
      <c r="AY119" s="394"/>
      <c r="AZ119" s="394"/>
      <c r="BA119" s="394"/>
      <c r="BB119" s="394"/>
      <c r="BC119" s="394"/>
      <c r="BD119" s="394"/>
      <c r="BE119" s="394"/>
      <c r="BF119" s="394"/>
      <c r="BG119" s="369" t="s">
        <v>6</v>
      </c>
      <c r="BH119" s="369"/>
      <c r="BI119" s="369"/>
      <c r="BJ119" s="369"/>
      <c r="BK119" s="369"/>
      <c r="BL119" s="369"/>
      <c r="BM119" s="369"/>
      <c r="BN119" s="369"/>
      <c r="BO119" s="369"/>
      <c r="BP119" s="369"/>
      <c r="BQ119" s="369"/>
      <c r="BR119" s="369"/>
      <c r="BS119" s="369"/>
      <c r="BT119" s="369"/>
      <c r="BU119" s="369"/>
      <c r="BV119" s="369"/>
      <c r="BW119" s="369"/>
      <c r="BX119" s="369"/>
      <c r="BY119" s="369"/>
      <c r="BZ119" s="369"/>
      <c r="CA119" s="369"/>
      <c r="CB119" s="369"/>
      <c r="CC119" s="369"/>
      <c r="CD119" s="369"/>
      <c r="CE119" s="369"/>
      <c r="CF119" s="369"/>
      <c r="CG119" s="369"/>
      <c r="CH119" s="369"/>
      <c r="CI119" s="369"/>
      <c r="CJ119" s="369"/>
      <c r="CK119" s="369"/>
      <c r="CL119" s="369"/>
      <c r="CM119" s="369"/>
      <c r="CN119" s="371" t="s">
        <v>7</v>
      </c>
      <c r="CO119" s="371"/>
      <c r="CP119" s="371"/>
      <c r="CQ119" s="372" t="s">
        <v>8</v>
      </c>
      <c r="CR119" s="372"/>
      <c r="CS119" s="372"/>
      <c r="CT119" s="372"/>
      <c r="CU119" s="372"/>
      <c r="CV119" s="372"/>
      <c r="CW119" s="372"/>
      <c r="CX119" s="372"/>
      <c r="CY119" s="372"/>
      <c r="CZ119" s="372"/>
      <c r="DA119" s="372"/>
      <c r="DB119" s="372"/>
      <c r="DC119" s="372"/>
      <c r="DD119" s="372"/>
      <c r="DE119" s="373"/>
    </row>
    <row r="120" spans="1:109" ht="15" customHeight="1">
      <c r="A120" s="375" t="s">
        <v>9</v>
      </c>
      <c r="B120" s="369"/>
      <c r="C120" s="369"/>
      <c r="D120" s="369"/>
      <c r="E120" s="369"/>
      <c r="F120" s="369"/>
      <c r="G120" s="369"/>
      <c r="H120" s="369"/>
      <c r="I120" s="369"/>
      <c r="J120" s="369"/>
      <c r="K120" s="369"/>
      <c r="L120" s="369"/>
      <c r="M120" s="369"/>
      <c r="N120" s="369"/>
      <c r="O120" s="369"/>
      <c r="P120" s="369"/>
      <c r="Q120" s="369"/>
      <c r="R120" s="369"/>
      <c r="S120" s="370" t="s">
        <v>10</v>
      </c>
      <c r="T120" s="370"/>
      <c r="U120" s="370"/>
      <c r="V120" s="370"/>
      <c r="W120" s="370"/>
      <c r="X120" s="370"/>
      <c r="Y120" s="370"/>
      <c r="Z120" s="370"/>
      <c r="AA120" s="370"/>
      <c r="AB120" s="370"/>
      <c r="AC120" s="370"/>
      <c r="AD120" s="370"/>
      <c r="AE120" s="369" t="s">
        <v>11</v>
      </c>
      <c r="AF120" s="369"/>
      <c r="AG120" s="369"/>
      <c r="AH120" s="369"/>
      <c r="AI120" s="369"/>
      <c r="AJ120" s="369"/>
      <c r="AK120" s="369"/>
      <c r="AL120" s="369"/>
      <c r="AM120" s="369"/>
      <c r="AN120" s="369"/>
      <c r="AO120" s="369"/>
      <c r="AP120" s="369"/>
      <c r="AQ120" s="369"/>
      <c r="AR120" s="369"/>
      <c r="AS120" s="370" t="s">
        <v>12</v>
      </c>
      <c r="AT120" s="370"/>
      <c r="AU120" s="370"/>
      <c r="AV120" s="370"/>
      <c r="AW120" s="370"/>
      <c r="AX120" s="370"/>
      <c r="AY120" s="370"/>
      <c r="AZ120" s="370"/>
      <c r="BA120" s="370"/>
      <c r="BB120" s="370"/>
      <c r="BC120" s="370"/>
      <c r="BD120" s="370"/>
      <c r="BE120" s="370"/>
      <c r="BF120" s="370"/>
      <c r="BG120" s="369"/>
      <c r="BH120" s="369"/>
      <c r="BI120" s="369"/>
      <c r="BJ120" s="369"/>
      <c r="BK120" s="369"/>
      <c r="BL120" s="369"/>
      <c r="BM120" s="369"/>
      <c r="BN120" s="369"/>
      <c r="BO120" s="369"/>
      <c r="BP120" s="369"/>
      <c r="BQ120" s="369"/>
      <c r="BR120" s="369"/>
      <c r="BS120" s="369"/>
      <c r="BT120" s="369"/>
      <c r="BU120" s="369"/>
      <c r="BV120" s="369"/>
      <c r="BW120" s="369"/>
      <c r="BX120" s="369"/>
      <c r="BY120" s="369"/>
      <c r="BZ120" s="369"/>
      <c r="CA120" s="369"/>
      <c r="CB120" s="369"/>
      <c r="CC120" s="369"/>
      <c r="CD120" s="369"/>
      <c r="CE120" s="369"/>
      <c r="CF120" s="369"/>
      <c r="CG120" s="369"/>
      <c r="CH120" s="369"/>
      <c r="CI120" s="369"/>
      <c r="CJ120" s="369"/>
      <c r="CK120" s="369"/>
      <c r="CL120" s="369"/>
      <c r="CM120" s="369"/>
      <c r="CN120" s="371"/>
      <c r="CO120" s="371"/>
      <c r="CP120" s="371"/>
      <c r="CQ120" s="372" t="s">
        <v>13</v>
      </c>
      <c r="CR120" s="372"/>
      <c r="CS120" s="372"/>
      <c r="CT120" s="372"/>
      <c r="CU120" s="372"/>
      <c r="CV120" s="372"/>
      <c r="CW120" s="372"/>
      <c r="CX120" s="372"/>
      <c r="CY120" s="372"/>
      <c r="CZ120" s="372"/>
      <c r="DA120" s="372"/>
      <c r="DB120" s="372"/>
      <c r="DC120" s="372"/>
      <c r="DD120" s="372"/>
      <c r="DE120" s="373"/>
    </row>
    <row r="121" spans="1:109" ht="15" customHeight="1">
      <c r="A121" s="375" t="s">
        <v>14</v>
      </c>
      <c r="B121" s="369"/>
      <c r="C121" s="369"/>
      <c r="D121" s="369"/>
      <c r="E121" s="369"/>
      <c r="F121" s="369"/>
      <c r="G121" s="369"/>
      <c r="H121" s="369"/>
      <c r="I121" s="369"/>
      <c r="J121" s="369"/>
      <c r="K121" s="369"/>
      <c r="L121" s="369"/>
      <c r="M121" s="369"/>
      <c r="N121" s="369"/>
      <c r="O121" s="369"/>
      <c r="P121" s="369"/>
      <c r="Q121" s="369"/>
      <c r="R121" s="369"/>
      <c r="S121" s="370" t="s">
        <v>15</v>
      </c>
      <c r="T121" s="370"/>
      <c r="U121" s="370"/>
      <c r="V121" s="370"/>
      <c r="W121" s="370"/>
      <c r="X121" s="370"/>
      <c r="Y121" s="370"/>
      <c r="Z121" s="370"/>
      <c r="AA121" s="370"/>
      <c r="AB121" s="370"/>
      <c r="AC121" s="370"/>
      <c r="AD121" s="370"/>
      <c r="AE121" s="369" t="s">
        <v>16</v>
      </c>
      <c r="AF121" s="369"/>
      <c r="AG121" s="369"/>
      <c r="AH121" s="369"/>
      <c r="AI121" s="369"/>
      <c r="AJ121" s="369"/>
      <c r="AK121" s="369"/>
      <c r="AL121" s="369"/>
      <c r="AM121" s="369"/>
      <c r="AN121" s="369"/>
      <c r="AO121" s="369"/>
      <c r="AP121" s="369"/>
      <c r="AQ121" s="369"/>
      <c r="AR121" s="369"/>
      <c r="AS121" s="370" t="s">
        <v>17</v>
      </c>
      <c r="AT121" s="370"/>
      <c r="AU121" s="370"/>
      <c r="AV121" s="370"/>
      <c r="AW121" s="370"/>
      <c r="AX121" s="370"/>
      <c r="AY121" s="370"/>
      <c r="AZ121" s="370"/>
      <c r="BA121" s="370"/>
      <c r="BB121" s="370"/>
      <c r="BC121" s="370"/>
      <c r="BD121" s="370"/>
      <c r="BE121" s="370"/>
      <c r="BF121" s="370"/>
      <c r="BG121" s="369"/>
      <c r="BH121" s="369"/>
      <c r="BI121" s="369"/>
      <c r="BJ121" s="369"/>
      <c r="BK121" s="369"/>
      <c r="BL121" s="369"/>
      <c r="BM121" s="369"/>
      <c r="BN121" s="369"/>
      <c r="BO121" s="369"/>
      <c r="BP121" s="369"/>
      <c r="BQ121" s="369"/>
      <c r="BR121" s="369"/>
      <c r="BS121" s="369"/>
      <c r="BT121" s="369"/>
      <c r="BU121" s="369"/>
      <c r="BV121" s="369"/>
      <c r="BW121" s="369"/>
      <c r="BX121" s="369"/>
      <c r="BY121" s="369"/>
      <c r="BZ121" s="369"/>
      <c r="CA121" s="369"/>
      <c r="CB121" s="369"/>
      <c r="CC121" s="369"/>
      <c r="CD121" s="369"/>
      <c r="CE121" s="369"/>
      <c r="CF121" s="369"/>
      <c r="CG121" s="369"/>
      <c r="CH121" s="369"/>
      <c r="CI121" s="369"/>
      <c r="CJ121" s="369"/>
      <c r="CK121" s="369"/>
      <c r="CL121" s="369"/>
      <c r="CM121" s="369"/>
      <c r="CN121" s="371"/>
      <c r="CO121" s="371"/>
      <c r="CP121" s="371"/>
      <c r="CQ121" s="372" t="s">
        <v>18</v>
      </c>
      <c r="CR121" s="372"/>
      <c r="CS121" s="372"/>
      <c r="CT121" s="372"/>
      <c r="CU121" s="372"/>
      <c r="CV121" s="372"/>
      <c r="CW121" s="372"/>
      <c r="CX121" s="372"/>
      <c r="CY121" s="372"/>
      <c r="CZ121" s="372"/>
      <c r="DA121" s="372"/>
      <c r="DB121" s="372"/>
      <c r="DC121" s="372"/>
      <c r="DD121" s="372"/>
      <c r="DE121" s="373"/>
    </row>
    <row r="122" spans="1:109" ht="15" customHeight="1">
      <c r="A122" s="446" t="s">
        <v>84</v>
      </c>
      <c r="B122" s="447"/>
      <c r="C122" s="447"/>
      <c r="D122" s="447"/>
      <c r="E122" s="447"/>
      <c r="F122" s="447"/>
      <c r="G122" s="447"/>
      <c r="H122" s="447"/>
      <c r="I122" s="447"/>
      <c r="J122" s="447"/>
      <c r="K122" s="447"/>
      <c r="L122" s="447"/>
      <c r="M122" s="447"/>
      <c r="N122" s="447"/>
      <c r="O122" s="447"/>
      <c r="P122" s="447"/>
      <c r="Q122" s="447"/>
      <c r="R122" s="447"/>
      <c r="S122" s="447"/>
      <c r="T122" s="447"/>
      <c r="U122" s="447"/>
      <c r="V122" s="447"/>
      <c r="W122" s="447"/>
      <c r="X122" s="447"/>
      <c r="Y122" s="447"/>
      <c r="Z122" s="447"/>
      <c r="AA122" s="447"/>
      <c r="AB122" s="447"/>
      <c r="AC122" s="447"/>
      <c r="AD122" s="447"/>
      <c r="AE122" s="447"/>
      <c r="AF122" s="447"/>
      <c r="AG122" s="447"/>
      <c r="AH122" s="447"/>
      <c r="AI122" s="447"/>
      <c r="AJ122" s="447"/>
      <c r="AK122" s="447"/>
      <c r="AL122" s="447"/>
      <c r="AM122" s="447"/>
      <c r="AN122" s="447"/>
      <c r="AO122" s="447"/>
      <c r="AP122" s="447"/>
      <c r="AQ122" s="447"/>
      <c r="AR122" s="447"/>
      <c r="AS122" s="447"/>
      <c r="AT122" s="447"/>
      <c r="AU122" s="447"/>
      <c r="AV122" s="447"/>
      <c r="AW122" s="447"/>
      <c r="AX122" s="447"/>
      <c r="AY122" s="447"/>
      <c r="AZ122" s="447"/>
      <c r="BA122" s="447"/>
      <c r="BB122" s="447"/>
      <c r="BC122" s="447"/>
      <c r="BD122" s="447"/>
      <c r="BE122" s="447"/>
      <c r="BF122" s="447"/>
      <c r="BG122" s="447"/>
      <c r="BH122" s="447"/>
      <c r="BI122" s="447"/>
      <c r="BJ122" s="447"/>
      <c r="BK122" s="447"/>
      <c r="BL122" s="447"/>
      <c r="BM122" s="447"/>
      <c r="BN122" s="447"/>
      <c r="BO122" s="447"/>
      <c r="BP122" s="447"/>
      <c r="BQ122" s="447"/>
      <c r="BR122" s="447"/>
      <c r="BS122" s="447"/>
      <c r="BT122" s="447"/>
      <c r="BU122" s="447"/>
      <c r="BV122" s="447"/>
      <c r="BW122" s="447"/>
      <c r="BX122" s="447"/>
      <c r="BY122" s="447"/>
      <c r="BZ122" s="447"/>
      <c r="CA122" s="447"/>
      <c r="CB122" s="447"/>
      <c r="CC122" s="447"/>
      <c r="CD122" s="447"/>
      <c r="CE122" s="447"/>
      <c r="CF122" s="447"/>
      <c r="CG122" s="447"/>
      <c r="CH122" s="447"/>
      <c r="CI122" s="447"/>
      <c r="CJ122" s="447"/>
      <c r="CK122" s="447"/>
      <c r="CL122" s="447"/>
      <c r="CM122" s="447"/>
      <c r="CN122" s="447"/>
      <c r="CO122" s="447"/>
      <c r="CP122" s="447"/>
      <c r="CQ122" s="447"/>
      <c r="CR122" s="447"/>
      <c r="CS122" s="447"/>
      <c r="CT122" s="447"/>
      <c r="CU122" s="447"/>
      <c r="CV122" s="447"/>
      <c r="CW122" s="447"/>
      <c r="CX122" s="447"/>
      <c r="CY122" s="447"/>
      <c r="CZ122" s="447"/>
      <c r="DA122" s="447"/>
      <c r="DB122" s="447"/>
      <c r="DC122" s="447"/>
      <c r="DD122" s="447"/>
      <c r="DE122" s="448"/>
    </row>
    <row r="123" spans="1:109" ht="15" customHeight="1">
      <c r="A123" s="449" t="s">
        <v>85</v>
      </c>
      <c r="B123" s="450"/>
      <c r="C123" s="450"/>
      <c r="D123" s="450"/>
      <c r="E123" s="450"/>
      <c r="F123" s="450"/>
      <c r="G123" s="450"/>
      <c r="H123" s="450"/>
      <c r="I123" s="450"/>
      <c r="J123" s="450"/>
      <c r="K123" s="455" t="s">
        <v>86</v>
      </c>
      <c r="L123" s="455"/>
      <c r="M123" s="455"/>
      <c r="N123" s="455"/>
      <c r="O123" s="455"/>
      <c r="P123" s="455"/>
      <c r="Q123" s="455"/>
      <c r="R123" s="455"/>
      <c r="S123" s="455"/>
      <c r="T123" s="450" t="s">
        <v>87</v>
      </c>
      <c r="U123" s="450"/>
      <c r="V123" s="450"/>
      <c r="W123" s="450"/>
      <c r="X123" s="450"/>
      <c r="Y123" s="450"/>
      <c r="Z123" s="450"/>
      <c r="AA123" s="450"/>
      <c r="AB123" s="450"/>
      <c r="AC123" s="455">
        <v>1200</v>
      </c>
      <c r="AD123" s="455"/>
      <c r="AE123" s="455"/>
      <c r="AF123" s="455"/>
      <c r="AG123" s="455"/>
      <c r="AH123" s="455"/>
      <c r="AI123" s="455"/>
      <c r="AJ123" s="455"/>
      <c r="AK123" s="455"/>
      <c r="AL123" s="450" t="s">
        <v>88</v>
      </c>
      <c r="AM123" s="450"/>
      <c r="AN123" s="450"/>
      <c r="AO123" s="450"/>
      <c r="AP123" s="450"/>
      <c r="AQ123" s="450"/>
      <c r="AR123" s="450"/>
      <c r="AS123" s="450"/>
      <c r="AT123" s="450"/>
      <c r="AU123" s="455">
        <v>10</v>
      </c>
      <c r="AV123" s="455"/>
      <c r="AW123" s="455"/>
      <c r="AX123" s="455"/>
      <c r="AY123" s="455"/>
      <c r="AZ123" s="455"/>
      <c r="BA123" s="455"/>
      <c r="BB123" s="455"/>
      <c r="BC123" s="455"/>
      <c r="BD123" s="450" t="s">
        <v>89</v>
      </c>
      <c r="BE123" s="450"/>
      <c r="BF123" s="450"/>
      <c r="BG123" s="450"/>
      <c r="BH123" s="450"/>
      <c r="BI123" s="450"/>
      <c r="BJ123" s="450"/>
      <c r="BK123" s="450"/>
      <c r="BL123" s="450"/>
      <c r="BM123" s="452" t="s">
        <v>90</v>
      </c>
      <c r="BN123" s="453"/>
      <c r="BO123" s="453"/>
      <c r="BP123" s="453"/>
      <c r="BQ123" s="453"/>
      <c r="BR123" s="453"/>
      <c r="BS123" s="453"/>
      <c r="BT123" s="453"/>
      <c r="BU123" s="453"/>
      <c r="BV123" s="453"/>
      <c r="BW123" s="453"/>
      <c r="BX123" s="453"/>
      <c r="BY123" s="453"/>
      <c r="BZ123" s="453"/>
      <c r="CA123" s="453"/>
      <c r="CB123" s="453"/>
      <c r="CC123" s="453"/>
      <c r="CD123" s="453"/>
      <c r="CE123" s="453"/>
      <c r="CF123" s="453"/>
      <c r="CG123" s="453"/>
      <c r="CH123" s="453"/>
      <c r="CI123" s="453"/>
      <c r="CJ123" s="453"/>
      <c r="CK123" s="453"/>
      <c r="CL123" s="453"/>
      <c r="CM123" s="454"/>
      <c r="CN123" s="450" t="s">
        <v>91</v>
      </c>
      <c r="CO123" s="450"/>
      <c r="CP123" s="450"/>
      <c r="CQ123" s="450"/>
      <c r="CR123" s="450"/>
      <c r="CS123" s="450"/>
      <c r="CT123" s="450"/>
      <c r="CU123" s="450"/>
      <c r="CV123" s="450"/>
      <c r="CW123" s="455" t="s">
        <v>92</v>
      </c>
      <c r="CX123" s="455"/>
      <c r="CY123" s="455"/>
      <c r="CZ123" s="455"/>
      <c r="DA123" s="455"/>
      <c r="DB123" s="455"/>
      <c r="DC123" s="455"/>
      <c r="DD123" s="455"/>
      <c r="DE123" s="456"/>
    </row>
    <row r="124" spans="1:109" ht="15" customHeight="1">
      <c r="A124" s="449" t="s">
        <v>93</v>
      </c>
      <c r="B124" s="450"/>
      <c r="C124" s="450"/>
      <c r="D124" s="450"/>
      <c r="E124" s="450"/>
      <c r="F124" s="450"/>
      <c r="G124" s="450"/>
      <c r="H124" s="450"/>
      <c r="I124" s="450"/>
      <c r="J124" s="450"/>
      <c r="K124" s="444" t="s">
        <v>94</v>
      </c>
      <c r="L124" s="444"/>
      <c r="M124" s="444"/>
      <c r="N124" s="444"/>
      <c r="O124" s="444"/>
      <c r="P124" s="444"/>
      <c r="Q124" s="444"/>
      <c r="R124" s="444"/>
      <c r="S124" s="444"/>
      <c r="T124" s="451" t="s">
        <v>95</v>
      </c>
      <c r="U124" s="451"/>
      <c r="V124" s="451"/>
      <c r="W124" s="451"/>
      <c r="X124" s="451"/>
      <c r="Y124" s="451"/>
      <c r="Z124" s="451"/>
      <c r="AA124" s="451"/>
      <c r="AB124" s="451"/>
      <c r="AC124" s="444" t="s">
        <v>96</v>
      </c>
      <c r="AD124" s="444"/>
      <c r="AE124" s="444"/>
      <c r="AF124" s="444"/>
      <c r="AG124" s="444"/>
      <c r="AH124" s="444"/>
      <c r="AI124" s="444"/>
      <c r="AJ124" s="444"/>
      <c r="AK124" s="444"/>
      <c r="AL124" s="451" t="s">
        <v>97</v>
      </c>
      <c r="AM124" s="451"/>
      <c r="AN124" s="451"/>
      <c r="AO124" s="451"/>
      <c r="AP124" s="451"/>
      <c r="AQ124" s="451"/>
      <c r="AR124" s="451"/>
      <c r="AS124" s="451"/>
      <c r="AT124" s="451"/>
      <c r="AU124" s="444" t="s">
        <v>98</v>
      </c>
      <c r="AV124" s="444"/>
      <c r="AW124" s="444"/>
      <c r="AX124" s="444"/>
      <c r="AY124" s="444"/>
      <c r="AZ124" s="444"/>
      <c r="BA124" s="444"/>
      <c r="BB124" s="444"/>
      <c r="BC124" s="444"/>
      <c r="BD124" s="451" t="s">
        <v>99</v>
      </c>
      <c r="BE124" s="451"/>
      <c r="BF124" s="451"/>
      <c r="BG124" s="451"/>
      <c r="BH124" s="451"/>
      <c r="BI124" s="451"/>
      <c r="BJ124" s="451"/>
      <c r="BK124" s="451"/>
      <c r="BL124" s="451"/>
      <c r="BM124" s="452" t="s">
        <v>100</v>
      </c>
      <c r="BN124" s="453"/>
      <c r="BO124" s="453"/>
      <c r="BP124" s="453"/>
      <c r="BQ124" s="453"/>
      <c r="BR124" s="453"/>
      <c r="BS124" s="453"/>
      <c r="BT124" s="453"/>
      <c r="BU124" s="453"/>
      <c r="BV124" s="453"/>
      <c r="BW124" s="453"/>
      <c r="BX124" s="453"/>
      <c r="BY124" s="453"/>
      <c r="BZ124" s="453"/>
      <c r="CA124" s="453"/>
      <c r="CB124" s="453"/>
      <c r="CC124" s="453"/>
      <c r="CD124" s="453"/>
      <c r="CE124" s="453"/>
      <c r="CF124" s="453"/>
      <c r="CG124" s="453"/>
      <c r="CH124" s="453"/>
      <c r="CI124" s="453"/>
      <c r="CJ124" s="453"/>
      <c r="CK124" s="453"/>
      <c r="CL124" s="453"/>
      <c r="CM124" s="454"/>
      <c r="CN124" s="451" t="s">
        <v>101</v>
      </c>
      <c r="CO124" s="451"/>
      <c r="CP124" s="451"/>
      <c r="CQ124" s="451"/>
      <c r="CR124" s="451"/>
      <c r="CS124" s="451"/>
      <c r="CT124" s="451"/>
      <c r="CU124" s="451"/>
      <c r="CV124" s="451"/>
      <c r="CW124" s="444" t="s">
        <v>102</v>
      </c>
      <c r="CX124" s="444"/>
      <c r="CY124" s="444"/>
      <c r="CZ124" s="444"/>
      <c r="DA124" s="444"/>
      <c r="DB124" s="444"/>
      <c r="DC124" s="444"/>
      <c r="DD124" s="444"/>
      <c r="DE124" s="445"/>
    </row>
    <row r="125" spans="1:109" ht="15" customHeight="1">
      <c r="A125" s="446" t="s">
        <v>103</v>
      </c>
      <c r="B125" s="447"/>
      <c r="C125" s="447"/>
      <c r="D125" s="447"/>
      <c r="E125" s="447"/>
      <c r="F125" s="447"/>
      <c r="G125" s="447"/>
      <c r="H125" s="447"/>
      <c r="I125" s="447"/>
      <c r="J125" s="447"/>
      <c r="K125" s="447"/>
      <c r="L125" s="447"/>
      <c r="M125" s="447"/>
      <c r="N125" s="447"/>
      <c r="O125" s="447"/>
      <c r="P125" s="447"/>
      <c r="Q125" s="447"/>
      <c r="R125" s="447"/>
      <c r="S125" s="447"/>
      <c r="T125" s="447"/>
      <c r="U125" s="447"/>
      <c r="V125" s="447"/>
      <c r="W125" s="447"/>
      <c r="X125" s="447"/>
      <c r="Y125" s="447"/>
      <c r="Z125" s="447"/>
      <c r="AA125" s="447"/>
      <c r="AB125" s="447"/>
      <c r="AC125" s="447"/>
      <c r="AD125" s="447"/>
      <c r="AE125" s="447"/>
      <c r="AF125" s="447"/>
      <c r="AG125" s="447"/>
      <c r="AH125" s="447"/>
      <c r="AI125" s="447"/>
      <c r="AJ125" s="447"/>
      <c r="AK125" s="447"/>
      <c r="AL125" s="447"/>
      <c r="AM125" s="447"/>
      <c r="AN125" s="447"/>
      <c r="AO125" s="447"/>
      <c r="AP125" s="447"/>
      <c r="AQ125" s="447"/>
      <c r="AR125" s="447"/>
      <c r="AS125" s="447"/>
      <c r="AT125" s="447"/>
      <c r="AU125" s="447"/>
      <c r="AV125" s="447"/>
      <c r="AW125" s="447"/>
      <c r="AX125" s="447"/>
      <c r="AY125" s="447"/>
      <c r="AZ125" s="447"/>
      <c r="BA125" s="447"/>
      <c r="BB125" s="447"/>
      <c r="BC125" s="447"/>
      <c r="BD125" s="447"/>
      <c r="BE125" s="447"/>
      <c r="BF125" s="447"/>
      <c r="BG125" s="447"/>
      <c r="BH125" s="447"/>
      <c r="BI125" s="447"/>
      <c r="BJ125" s="447"/>
      <c r="BK125" s="447"/>
      <c r="BL125" s="447"/>
      <c r="BM125" s="447"/>
      <c r="BN125" s="447"/>
      <c r="BO125" s="447"/>
      <c r="BP125" s="447"/>
      <c r="BQ125" s="447"/>
      <c r="BR125" s="447"/>
      <c r="BS125" s="447"/>
      <c r="BT125" s="447"/>
      <c r="BU125" s="447"/>
      <c r="BV125" s="447"/>
      <c r="BW125" s="447"/>
      <c r="BX125" s="447"/>
      <c r="BY125" s="447"/>
      <c r="BZ125" s="447"/>
      <c r="CA125" s="447"/>
      <c r="CB125" s="447"/>
      <c r="CC125" s="447"/>
      <c r="CD125" s="447"/>
      <c r="CE125" s="447"/>
      <c r="CF125" s="447"/>
      <c r="CG125" s="447"/>
      <c r="CH125" s="447"/>
      <c r="CI125" s="447"/>
      <c r="CJ125" s="447"/>
      <c r="CK125" s="447"/>
      <c r="CL125" s="447"/>
      <c r="CM125" s="447"/>
      <c r="CN125" s="447"/>
      <c r="CO125" s="447"/>
      <c r="CP125" s="447"/>
      <c r="CQ125" s="447"/>
      <c r="CR125" s="447"/>
      <c r="CS125" s="447"/>
      <c r="CT125" s="447"/>
      <c r="CU125" s="447"/>
      <c r="CV125" s="447"/>
      <c r="CW125" s="447"/>
      <c r="CX125" s="447"/>
      <c r="CY125" s="447"/>
      <c r="CZ125" s="447"/>
      <c r="DA125" s="447"/>
      <c r="DB125" s="447"/>
      <c r="DC125" s="447"/>
      <c r="DD125" s="447"/>
      <c r="DE125" s="448"/>
    </row>
    <row r="126" spans="1:109" ht="15" customHeight="1">
      <c r="A126" s="3"/>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CN126" s="4"/>
      <c r="CO126" s="4"/>
      <c r="CP126" s="4"/>
      <c r="CQ126" s="4"/>
      <c r="CR126" s="4"/>
      <c r="CS126" s="4"/>
      <c r="CT126" s="4"/>
      <c r="CU126" s="4"/>
      <c r="CV126" s="4"/>
      <c r="CW126" s="4"/>
      <c r="CX126" s="4"/>
      <c r="CY126" s="4"/>
      <c r="CZ126" s="4"/>
      <c r="DA126" s="4"/>
      <c r="DB126" s="4"/>
      <c r="DC126" s="4"/>
      <c r="DD126" s="4"/>
      <c r="DE126" s="23"/>
    </row>
    <row r="127" spans="1:109" ht="15" customHeight="1">
      <c r="A127" s="6"/>
      <c r="B127" s="376" t="s">
        <v>19</v>
      </c>
      <c r="C127" s="377"/>
      <c r="D127" s="377"/>
      <c r="E127" s="377"/>
      <c r="F127" s="377"/>
      <c r="G127" s="377"/>
      <c r="H127" s="378"/>
      <c r="I127" s="376" t="s">
        <v>21</v>
      </c>
      <c r="J127" s="377"/>
      <c r="K127" s="377"/>
      <c r="L127" s="377"/>
      <c r="M127" s="377"/>
      <c r="N127" s="377"/>
      <c r="O127" s="378"/>
      <c r="P127" s="376" t="s">
        <v>104</v>
      </c>
      <c r="Q127" s="377"/>
      <c r="R127" s="377"/>
      <c r="S127" s="377"/>
      <c r="T127" s="377"/>
      <c r="U127" s="377"/>
      <c r="V127" s="378"/>
      <c r="W127" s="376" t="s">
        <v>26</v>
      </c>
      <c r="X127" s="377"/>
      <c r="Y127" s="377"/>
      <c r="Z127" s="377"/>
      <c r="AA127" s="377"/>
      <c r="AB127" s="377"/>
      <c r="AC127" s="378"/>
      <c r="AD127" s="376" t="s">
        <v>24</v>
      </c>
      <c r="AE127" s="377"/>
      <c r="AF127" s="377"/>
      <c r="AG127" s="377"/>
      <c r="AH127" s="377"/>
      <c r="AI127" s="377"/>
      <c r="AJ127" s="378"/>
      <c r="AK127" s="376" t="s">
        <v>25</v>
      </c>
      <c r="AL127" s="377"/>
      <c r="AM127" s="377"/>
      <c r="AN127" s="377"/>
      <c r="AO127" s="377"/>
      <c r="AP127" s="377"/>
      <c r="AQ127" s="378"/>
      <c r="AR127" s="376" t="s">
        <v>110</v>
      </c>
      <c r="AS127" s="377"/>
      <c r="AT127" s="377"/>
      <c r="AU127" s="377"/>
      <c r="AV127" s="377"/>
      <c r="AW127" s="377"/>
      <c r="AX127" s="378"/>
      <c r="AY127" s="376" t="s">
        <v>111</v>
      </c>
      <c r="AZ127" s="377"/>
      <c r="BA127" s="377"/>
      <c r="BB127" s="377"/>
      <c r="BC127" s="377"/>
      <c r="BD127" s="377"/>
      <c r="BE127" s="378"/>
      <c r="BF127" s="376" t="s">
        <v>108</v>
      </c>
      <c r="BG127" s="377"/>
      <c r="BH127" s="377"/>
      <c r="BI127" s="377"/>
      <c r="BJ127" s="377"/>
      <c r="BK127" s="377"/>
      <c r="BL127" s="378"/>
      <c r="BM127" s="376" t="s">
        <v>109</v>
      </c>
      <c r="BN127" s="377"/>
      <c r="BO127" s="377"/>
      <c r="BP127" s="377"/>
      <c r="BQ127" s="377"/>
      <c r="BR127" s="377"/>
      <c r="BS127" s="377"/>
      <c r="BT127" s="377"/>
      <c r="BU127" s="377"/>
      <c r="BV127" s="377"/>
      <c r="BW127" s="377"/>
      <c r="BX127" s="377"/>
      <c r="BY127" s="377"/>
      <c r="BZ127" s="377"/>
      <c r="CA127" s="377"/>
      <c r="CB127" s="377"/>
      <c r="CC127" s="377"/>
      <c r="CD127" s="377"/>
      <c r="CE127" s="377"/>
      <c r="CF127" s="377"/>
      <c r="CG127" s="377"/>
      <c r="CH127" s="377"/>
      <c r="CI127" s="377"/>
      <c r="CJ127" s="377"/>
      <c r="CK127" s="377"/>
      <c r="CL127" s="378"/>
      <c r="CM127" s="376" t="s">
        <v>30</v>
      </c>
      <c r="CN127" s="377"/>
      <c r="CO127" s="377"/>
      <c r="CP127" s="377"/>
      <c r="CQ127" s="377"/>
      <c r="CR127" s="377"/>
      <c r="CS127" s="377"/>
      <c r="CT127" s="377"/>
      <c r="CU127" s="377"/>
      <c r="CV127" s="377"/>
      <c r="CW127" s="377"/>
      <c r="CX127" s="377"/>
      <c r="CY127" s="377"/>
      <c r="CZ127" s="377"/>
      <c r="DA127" s="377"/>
      <c r="DB127" s="377"/>
      <c r="DC127" s="377"/>
      <c r="DD127" s="378"/>
      <c r="DE127" s="7"/>
    </row>
    <row r="128" spans="1:109" ht="15" customHeight="1">
      <c r="A128" s="6"/>
      <c r="B128" s="379"/>
      <c r="C128" s="380"/>
      <c r="D128" s="380"/>
      <c r="E128" s="380"/>
      <c r="F128" s="380"/>
      <c r="G128" s="380"/>
      <c r="H128" s="381"/>
      <c r="I128" s="379"/>
      <c r="J128" s="380"/>
      <c r="K128" s="380"/>
      <c r="L128" s="380"/>
      <c r="M128" s="380"/>
      <c r="N128" s="380"/>
      <c r="O128" s="381"/>
      <c r="P128" s="379"/>
      <c r="Q128" s="380"/>
      <c r="R128" s="380"/>
      <c r="S128" s="380"/>
      <c r="T128" s="380"/>
      <c r="U128" s="380"/>
      <c r="V128" s="381"/>
      <c r="W128" s="379"/>
      <c r="X128" s="380"/>
      <c r="Y128" s="380"/>
      <c r="Z128" s="380"/>
      <c r="AA128" s="380"/>
      <c r="AB128" s="380"/>
      <c r="AC128" s="381"/>
      <c r="AD128" s="379"/>
      <c r="AE128" s="380"/>
      <c r="AF128" s="380"/>
      <c r="AG128" s="380"/>
      <c r="AH128" s="380"/>
      <c r="AI128" s="380"/>
      <c r="AJ128" s="381"/>
      <c r="AK128" s="379"/>
      <c r="AL128" s="380"/>
      <c r="AM128" s="380"/>
      <c r="AN128" s="380"/>
      <c r="AO128" s="380"/>
      <c r="AP128" s="380"/>
      <c r="AQ128" s="381"/>
      <c r="AR128" s="379"/>
      <c r="AS128" s="380"/>
      <c r="AT128" s="380"/>
      <c r="AU128" s="380"/>
      <c r="AV128" s="380"/>
      <c r="AW128" s="380"/>
      <c r="AX128" s="381"/>
      <c r="AY128" s="379"/>
      <c r="AZ128" s="380"/>
      <c r="BA128" s="380"/>
      <c r="BB128" s="380"/>
      <c r="BC128" s="380"/>
      <c r="BD128" s="380"/>
      <c r="BE128" s="381"/>
      <c r="BF128" s="379"/>
      <c r="BG128" s="380"/>
      <c r="BH128" s="380"/>
      <c r="BI128" s="380"/>
      <c r="BJ128" s="380"/>
      <c r="BK128" s="380"/>
      <c r="BL128" s="381"/>
      <c r="BM128" s="379"/>
      <c r="BN128" s="380"/>
      <c r="BO128" s="380"/>
      <c r="BP128" s="380"/>
      <c r="BQ128" s="380"/>
      <c r="BR128" s="380"/>
      <c r="BS128" s="380"/>
      <c r="BT128" s="380"/>
      <c r="BU128" s="380"/>
      <c r="BV128" s="380"/>
      <c r="BW128" s="380"/>
      <c r="BX128" s="380"/>
      <c r="BY128" s="380"/>
      <c r="BZ128" s="380"/>
      <c r="CA128" s="380"/>
      <c r="CB128" s="380"/>
      <c r="CC128" s="380"/>
      <c r="CD128" s="380"/>
      <c r="CE128" s="380"/>
      <c r="CF128" s="380"/>
      <c r="CG128" s="380"/>
      <c r="CH128" s="380"/>
      <c r="CI128" s="380"/>
      <c r="CJ128" s="380"/>
      <c r="CK128" s="380"/>
      <c r="CL128" s="381"/>
      <c r="CM128" s="379"/>
      <c r="CN128" s="380"/>
      <c r="CO128" s="380"/>
      <c r="CP128" s="380"/>
      <c r="CQ128" s="380"/>
      <c r="CR128" s="380"/>
      <c r="CS128" s="380"/>
      <c r="CT128" s="380"/>
      <c r="CU128" s="380"/>
      <c r="CV128" s="380"/>
      <c r="CW128" s="380"/>
      <c r="CX128" s="380"/>
      <c r="CY128" s="380"/>
      <c r="CZ128" s="380"/>
      <c r="DA128" s="380"/>
      <c r="DB128" s="380"/>
      <c r="DC128" s="380"/>
      <c r="DD128" s="381"/>
      <c r="DE128" s="7"/>
    </row>
    <row r="129" spans="1:109" ht="15" customHeight="1">
      <c r="A129" s="6"/>
      <c r="B129" s="353"/>
      <c r="C129" s="354"/>
      <c r="D129" s="354"/>
      <c r="E129" s="354"/>
      <c r="F129" s="354"/>
      <c r="G129" s="354"/>
      <c r="H129" s="355"/>
      <c r="I129" s="353"/>
      <c r="J129" s="354"/>
      <c r="K129" s="354"/>
      <c r="L129" s="354"/>
      <c r="M129" s="354"/>
      <c r="N129" s="354"/>
      <c r="O129" s="355"/>
      <c r="P129" s="353"/>
      <c r="Q129" s="354"/>
      <c r="R129" s="354"/>
      <c r="S129" s="354"/>
      <c r="T129" s="354"/>
      <c r="U129" s="354"/>
      <c r="V129" s="355"/>
      <c r="W129" s="395"/>
      <c r="X129" s="396"/>
      <c r="Y129" s="396"/>
      <c r="Z129" s="396"/>
      <c r="AA129" s="396"/>
      <c r="AB129" s="396"/>
      <c r="AC129" s="397"/>
      <c r="AD129" s="395"/>
      <c r="AE129" s="396"/>
      <c r="AF129" s="396"/>
      <c r="AG129" s="396"/>
      <c r="AH129" s="396"/>
      <c r="AI129" s="396"/>
      <c r="AJ129" s="397"/>
      <c r="AK129" s="395"/>
      <c r="AL129" s="396"/>
      <c r="AM129" s="396"/>
      <c r="AN129" s="396"/>
      <c r="AO129" s="396"/>
      <c r="AP129" s="396"/>
      <c r="AQ129" s="397"/>
      <c r="AR129" s="395"/>
      <c r="AS129" s="396"/>
      <c r="AT129" s="396"/>
      <c r="AU129" s="396"/>
      <c r="AV129" s="396"/>
      <c r="AW129" s="396"/>
      <c r="AX129" s="397"/>
      <c r="AY129" s="395"/>
      <c r="AZ129" s="396"/>
      <c r="BA129" s="396"/>
      <c r="BB129" s="396"/>
      <c r="BC129" s="396"/>
      <c r="BD129" s="396"/>
      <c r="BE129" s="397"/>
      <c r="BF129" s="395"/>
      <c r="BG129" s="396"/>
      <c r="BH129" s="396"/>
      <c r="BI129" s="396"/>
      <c r="BJ129" s="396"/>
      <c r="BK129" s="396"/>
      <c r="BL129" s="397"/>
      <c r="BM129" s="353"/>
      <c r="BN129" s="354"/>
      <c r="BO129" s="354"/>
      <c r="BP129" s="354"/>
      <c r="BQ129" s="354"/>
      <c r="BR129" s="354"/>
      <c r="BS129" s="354"/>
      <c r="BT129" s="354"/>
      <c r="BU129" s="354"/>
      <c r="BV129" s="354"/>
      <c r="BW129" s="354"/>
      <c r="BX129" s="354"/>
      <c r="BY129" s="354"/>
      <c r="BZ129" s="354"/>
      <c r="CA129" s="354"/>
      <c r="CB129" s="354"/>
      <c r="CC129" s="354"/>
      <c r="CD129" s="354"/>
      <c r="CE129" s="354"/>
      <c r="CF129" s="354"/>
      <c r="CG129" s="354"/>
      <c r="CH129" s="354"/>
      <c r="CI129" s="354"/>
      <c r="CJ129" s="354"/>
      <c r="CK129" s="354"/>
      <c r="CL129" s="355"/>
      <c r="CM129" s="353"/>
      <c r="CN129" s="354"/>
      <c r="CO129" s="354"/>
      <c r="CP129" s="354"/>
      <c r="CQ129" s="354"/>
      <c r="CR129" s="354"/>
      <c r="CS129" s="354"/>
      <c r="CT129" s="354"/>
      <c r="CU129" s="354"/>
      <c r="CV129" s="354"/>
      <c r="CW129" s="354"/>
      <c r="CX129" s="354"/>
      <c r="CY129" s="354"/>
      <c r="CZ129" s="354"/>
      <c r="DA129" s="354"/>
      <c r="DB129" s="354"/>
      <c r="DC129" s="354"/>
      <c r="DD129" s="355"/>
      <c r="DE129" s="7"/>
    </row>
    <row r="130" spans="1:109" ht="15" customHeight="1">
      <c r="A130" s="6"/>
      <c r="B130" s="356"/>
      <c r="C130" s="357"/>
      <c r="D130" s="357"/>
      <c r="E130" s="357"/>
      <c r="F130" s="357"/>
      <c r="G130" s="357"/>
      <c r="H130" s="358"/>
      <c r="I130" s="356"/>
      <c r="J130" s="357"/>
      <c r="K130" s="357"/>
      <c r="L130" s="357"/>
      <c r="M130" s="357"/>
      <c r="N130" s="357"/>
      <c r="O130" s="358"/>
      <c r="P130" s="356"/>
      <c r="Q130" s="357"/>
      <c r="R130" s="357"/>
      <c r="S130" s="357"/>
      <c r="T130" s="357"/>
      <c r="U130" s="357"/>
      <c r="V130" s="358"/>
      <c r="W130" s="398"/>
      <c r="X130" s="399"/>
      <c r="Y130" s="399"/>
      <c r="Z130" s="399"/>
      <c r="AA130" s="399"/>
      <c r="AB130" s="399"/>
      <c r="AC130" s="400"/>
      <c r="AD130" s="398"/>
      <c r="AE130" s="399"/>
      <c r="AF130" s="399"/>
      <c r="AG130" s="399"/>
      <c r="AH130" s="399"/>
      <c r="AI130" s="399"/>
      <c r="AJ130" s="400"/>
      <c r="AK130" s="398"/>
      <c r="AL130" s="399"/>
      <c r="AM130" s="399"/>
      <c r="AN130" s="399"/>
      <c r="AO130" s="399"/>
      <c r="AP130" s="399"/>
      <c r="AQ130" s="400"/>
      <c r="AR130" s="398"/>
      <c r="AS130" s="399"/>
      <c r="AT130" s="399"/>
      <c r="AU130" s="399"/>
      <c r="AV130" s="399"/>
      <c r="AW130" s="399"/>
      <c r="AX130" s="400"/>
      <c r="AY130" s="398"/>
      <c r="AZ130" s="399"/>
      <c r="BA130" s="399"/>
      <c r="BB130" s="399"/>
      <c r="BC130" s="399"/>
      <c r="BD130" s="399"/>
      <c r="BE130" s="400"/>
      <c r="BF130" s="398"/>
      <c r="BG130" s="399"/>
      <c r="BH130" s="399"/>
      <c r="BI130" s="399"/>
      <c r="BJ130" s="399"/>
      <c r="BK130" s="399"/>
      <c r="BL130" s="400"/>
      <c r="BM130" s="356"/>
      <c r="BN130" s="357"/>
      <c r="BO130" s="357"/>
      <c r="BP130" s="357"/>
      <c r="BQ130" s="357"/>
      <c r="BR130" s="357"/>
      <c r="BS130" s="357"/>
      <c r="BT130" s="357"/>
      <c r="BU130" s="357"/>
      <c r="BV130" s="357"/>
      <c r="BW130" s="357"/>
      <c r="BX130" s="357"/>
      <c r="BY130" s="357"/>
      <c r="BZ130" s="357"/>
      <c r="CA130" s="357"/>
      <c r="CB130" s="357"/>
      <c r="CC130" s="357"/>
      <c r="CD130" s="357"/>
      <c r="CE130" s="357"/>
      <c r="CF130" s="357"/>
      <c r="CG130" s="357"/>
      <c r="CH130" s="357"/>
      <c r="CI130" s="357"/>
      <c r="CJ130" s="357"/>
      <c r="CK130" s="357"/>
      <c r="CL130" s="358"/>
      <c r="CM130" s="356"/>
      <c r="CN130" s="357"/>
      <c r="CO130" s="357"/>
      <c r="CP130" s="357"/>
      <c r="CQ130" s="357"/>
      <c r="CR130" s="357"/>
      <c r="CS130" s="357"/>
      <c r="CT130" s="357"/>
      <c r="CU130" s="357"/>
      <c r="CV130" s="357"/>
      <c r="CW130" s="357"/>
      <c r="CX130" s="357"/>
      <c r="CY130" s="357"/>
      <c r="CZ130" s="357"/>
      <c r="DA130" s="357"/>
      <c r="DB130" s="357"/>
      <c r="DC130" s="357"/>
      <c r="DD130" s="358"/>
      <c r="DE130" s="7"/>
    </row>
    <row r="131" spans="1:109" ht="15" customHeight="1">
      <c r="A131" s="3"/>
      <c r="B131" s="382"/>
      <c r="C131" s="383"/>
      <c r="D131" s="383"/>
      <c r="E131" s="383"/>
      <c r="F131" s="383"/>
      <c r="G131" s="383"/>
      <c r="H131" s="384"/>
      <c r="I131" s="382"/>
      <c r="J131" s="383"/>
      <c r="K131" s="383"/>
      <c r="L131" s="383"/>
      <c r="M131" s="383"/>
      <c r="N131" s="383"/>
      <c r="O131" s="384"/>
      <c r="P131" s="382"/>
      <c r="Q131" s="383"/>
      <c r="R131" s="383"/>
      <c r="S131" s="383"/>
      <c r="T131" s="383"/>
      <c r="U131" s="383"/>
      <c r="V131" s="384"/>
      <c r="W131" s="408"/>
      <c r="X131" s="409"/>
      <c r="Y131" s="409"/>
      <c r="Z131" s="409"/>
      <c r="AA131" s="409"/>
      <c r="AB131" s="409"/>
      <c r="AC131" s="410"/>
      <c r="AD131" s="408"/>
      <c r="AE131" s="409"/>
      <c r="AF131" s="409"/>
      <c r="AG131" s="409"/>
      <c r="AH131" s="409"/>
      <c r="AI131" s="409"/>
      <c r="AJ131" s="410"/>
      <c r="AK131" s="408"/>
      <c r="AL131" s="409"/>
      <c r="AM131" s="409"/>
      <c r="AN131" s="409"/>
      <c r="AO131" s="409"/>
      <c r="AP131" s="409"/>
      <c r="AQ131" s="410"/>
      <c r="AR131" s="408"/>
      <c r="AS131" s="409"/>
      <c r="AT131" s="409"/>
      <c r="AU131" s="409"/>
      <c r="AV131" s="409"/>
      <c r="AW131" s="409"/>
      <c r="AX131" s="410"/>
      <c r="AY131" s="408"/>
      <c r="AZ131" s="409"/>
      <c r="BA131" s="409"/>
      <c r="BB131" s="409"/>
      <c r="BC131" s="409"/>
      <c r="BD131" s="409"/>
      <c r="BE131" s="410"/>
      <c r="BF131" s="408"/>
      <c r="BG131" s="409"/>
      <c r="BH131" s="409"/>
      <c r="BI131" s="409"/>
      <c r="BJ131" s="409"/>
      <c r="BK131" s="409"/>
      <c r="BL131" s="410"/>
      <c r="BM131" s="382"/>
      <c r="BN131" s="383"/>
      <c r="BO131" s="383"/>
      <c r="BP131" s="383"/>
      <c r="BQ131" s="383"/>
      <c r="BR131" s="383"/>
      <c r="BS131" s="383"/>
      <c r="BT131" s="383"/>
      <c r="BU131" s="383"/>
      <c r="BV131" s="383"/>
      <c r="BW131" s="383"/>
      <c r="BX131" s="383"/>
      <c r="BY131" s="383"/>
      <c r="BZ131" s="383"/>
      <c r="CA131" s="383"/>
      <c r="CB131" s="383"/>
      <c r="CC131" s="383"/>
      <c r="CD131" s="383"/>
      <c r="CE131" s="383"/>
      <c r="CF131" s="383"/>
      <c r="CG131" s="383"/>
      <c r="CH131" s="383"/>
      <c r="CI131" s="383"/>
      <c r="CJ131" s="383"/>
      <c r="CK131" s="383"/>
      <c r="CL131" s="384"/>
      <c r="CM131" s="382"/>
      <c r="CN131" s="383"/>
      <c r="CO131" s="383"/>
      <c r="CP131" s="383"/>
      <c r="CQ131" s="383"/>
      <c r="CR131" s="383"/>
      <c r="CS131" s="383"/>
      <c r="CT131" s="383"/>
      <c r="CU131" s="383"/>
      <c r="CV131" s="383"/>
      <c r="CW131" s="383"/>
      <c r="CX131" s="383"/>
      <c r="CY131" s="383"/>
      <c r="CZ131" s="383"/>
      <c r="DA131" s="383"/>
      <c r="DB131" s="383"/>
      <c r="DC131" s="383"/>
      <c r="DD131" s="384"/>
      <c r="DE131" s="7"/>
    </row>
    <row r="132" spans="1:109" ht="15" customHeight="1">
      <c r="A132" s="6"/>
      <c r="B132" s="385"/>
      <c r="C132" s="386"/>
      <c r="D132" s="386"/>
      <c r="E132" s="386"/>
      <c r="F132" s="386"/>
      <c r="G132" s="386"/>
      <c r="H132" s="387"/>
      <c r="I132" s="385"/>
      <c r="J132" s="386"/>
      <c r="K132" s="386"/>
      <c r="L132" s="386"/>
      <c r="M132" s="386"/>
      <c r="N132" s="386"/>
      <c r="O132" s="387"/>
      <c r="P132" s="385"/>
      <c r="Q132" s="386"/>
      <c r="R132" s="386"/>
      <c r="S132" s="386"/>
      <c r="T132" s="386"/>
      <c r="U132" s="386"/>
      <c r="V132" s="387"/>
      <c r="W132" s="411"/>
      <c r="X132" s="412"/>
      <c r="Y132" s="412"/>
      <c r="Z132" s="412"/>
      <c r="AA132" s="412"/>
      <c r="AB132" s="412"/>
      <c r="AC132" s="413"/>
      <c r="AD132" s="411"/>
      <c r="AE132" s="412"/>
      <c r="AF132" s="412"/>
      <c r="AG132" s="412"/>
      <c r="AH132" s="412"/>
      <c r="AI132" s="412"/>
      <c r="AJ132" s="413"/>
      <c r="AK132" s="411"/>
      <c r="AL132" s="412"/>
      <c r="AM132" s="412"/>
      <c r="AN132" s="412"/>
      <c r="AO132" s="412"/>
      <c r="AP132" s="412"/>
      <c r="AQ132" s="413"/>
      <c r="AR132" s="411"/>
      <c r="AS132" s="412"/>
      <c r="AT132" s="412"/>
      <c r="AU132" s="412"/>
      <c r="AV132" s="412"/>
      <c r="AW132" s="412"/>
      <c r="AX132" s="413"/>
      <c r="AY132" s="411"/>
      <c r="AZ132" s="412"/>
      <c r="BA132" s="412"/>
      <c r="BB132" s="412"/>
      <c r="BC132" s="412"/>
      <c r="BD132" s="412"/>
      <c r="BE132" s="413"/>
      <c r="BF132" s="411"/>
      <c r="BG132" s="412"/>
      <c r="BH132" s="412"/>
      <c r="BI132" s="412"/>
      <c r="BJ132" s="412"/>
      <c r="BK132" s="412"/>
      <c r="BL132" s="413"/>
      <c r="BM132" s="385"/>
      <c r="BN132" s="386"/>
      <c r="BO132" s="386"/>
      <c r="BP132" s="386"/>
      <c r="BQ132" s="386"/>
      <c r="BR132" s="386"/>
      <c r="BS132" s="386"/>
      <c r="BT132" s="386"/>
      <c r="BU132" s="386"/>
      <c r="BV132" s="386"/>
      <c r="BW132" s="386"/>
      <c r="BX132" s="386"/>
      <c r="BY132" s="386"/>
      <c r="BZ132" s="386"/>
      <c r="CA132" s="386"/>
      <c r="CB132" s="386"/>
      <c r="CC132" s="386"/>
      <c r="CD132" s="386"/>
      <c r="CE132" s="386"/>
      <c r="CF132" s="386"/>
      <c r="CG132" s="386"/>
      <c r="CH132" s="386"/>
      <c r="CI132" s="386"/>
      <c r="CJ132" s="386"/>
      <c r="CK132" s="386"/>
      <c r="CL132" s="387"/>
      <c r="CM132" s="385"/>
      <c r="CN132" s="386"/>
      <c r="CO132" s="386"/>
      <c r="CP132" s="386"/>
      <c r="CQ132" s="386"/>
      <c r="CR132" s="386"/>
      <c r="CS132" s="386"/>
      <c r="CT132" s="386"/>
      <c r="CU132" s="386"/>
      <c r="CV132" s="386"/>
      <c r="CW132" s="386"/>
      <c r="CX132" s="386"/>
      <c r="CY132" s="386"/>
      <c r="CZ132" s="386"/>
      <c r="DA132" s="386"/>
      <c r="DB132" s="386"/>
      <c r="DC132" s="386"/>
      <c r="DD132" s="387"/>
      <c r="DE132" s="7"/>
    </row>
    <row r="133" spans="1:109" ht="15" customHeight="1">
      <c r="A133" s="8"/>
      <c r="B133" s="353"/>
      <c r="C133" s="354"/>
      <c r="D133" s="354"/>
      <c r="E133" s="354"/>
      <c r="F133" s="354"/>
      <c r="G133" s="354"/>
      <c r="H133" s="355"/>
      <c r="I133" s="352"/>
      <c r="J133" s="352"/>
      <c r="K133" s="352"/>
      <c r="L133" s="352"/>
      <c r="M133" s="352"/>
      <c r="N133" s="352"/>
      <c r="O133" s="352"/>
      <c r="P133" s="352"/>
      <c r="Q133" s="352"/>
      <c r="R133" s="352"/>
      <c r="S133" s="352"/>
      <c r="T133" s="352"/>
      <c r="U133" s="352"/>
      <c r="V133" s="352"/>
      <c r="W133" s="360"/>
      <c r="X133" s="360"/>
      <c r="Y133" s="360"/>
      <c r="Z133" s="360"/>
      <c r="AA133" s="360"/>
      <c r="AB133" s="360"/>
      <c r="AC133" s="360"/>
      <c r="AD133" s="360"/>
      <c r="AE133" s="360"/>
      <c r="AF133" s="360"/>
      <c r="AG133" s="360"/>
      <c r="AH133" s="360"/>
      <c r="AI133" s="360"/>
      <c r="AJ133" s="360"/>
      <c r="AK133" s="360"/>
      <c r="AL133" s="360"/>
      <c r="AM133" s="360"/>
      <c r="AN133" s="360"/>
      <c r="AO133" s="360"/>
      <c r="AP133" s="360"/>
      <c r="AQ133" s="360"/>
      <c r="AR133" s="360"/>
      <c r="AS133" s="360"/>
      <c r="AT133" s="360"/>
      <c r="AU133" s="360"/>
      <c r="AV133" s="360"/>
      <c r="AW133" s="360"/>
      <c r="AX133" s="360"/>
      <c r="AY133" s="360"/>
      <c r="AZ133" s="360"/>
      <c r="BA133" s="360"/>
      <c r="BB133" s="360"/>
      <c r="BC133" s="360"/>
      <c r="BD133" s="360"/>
      <c r="BE133" s="360"/>
      <c r="BF133" s="360"/>
      <c r="BG133" s="360"/>
      <c r="BH133" s="360"/>
      <c r="BI133" s="360"/>
      <c r="BJ133" s="360"/>
      <c r="BK133" s="360"/>
      <c r="BL133" s="360"/>
      <c r="BM133" s="352"/>
      <c r="BN133" s="352"/>
      <c r="BO133" s="352"/>
      <c r="BP133" s="352"/>
      <c r="BQ133" s="352"/>
      <c r="BR133" s="352"/>
      <c r="BS133" s="352"/>
      <c r="BT133" s="352"/>
      <c r="BU133" s="352"/>
      <c r="BV133" s="352"/>
      <c r="BW133" s="352"/>
      <c r="BX133" s="352"/>
      <c r="BY133" s="352"/>
      <c r="BZ133" s="352"/>
      <c r="CA133" s="352"/>
      <c r="CB133" s="352"/>
      <c r="CC133" s="352"/>
      <c r="CD133" s="352"/>
      <c r="CE133" s="352"/>
      <c r="CF133" s="352"/>
      <c r="CG133" s="352"/>
      <c r="CH133" s="352"/>
      <c r="CI133" s="352"/>
      <c r="CJ133" s="352"/>
      <c r="CK133" s="352"/>
      <c r="CL133" s="352"/>
      <c r="CM133" s="352"/>
      <c r="CN133" s="352"/>
      <c r="CO133" s="352"/>
      <c r="CP133" s="352"/>
      <c r="CQ133" s="352"/>
      <c r="CR133" s="352"/>
      <c r="CS133" s="352"/>
      <c r="CT133" s="352"/>
      <c r="CU133" s="352"/>
      <c r="CV133" s="352"/>
      <c r="CW133" s="352"/>
      <c r="CX133" s="352"/>
      <c r="CY133" s="352"/>
      <c r="CZ133" s="352"/>
      <c r="DA133" s="352"/>
      <c r="DB133" s="352"/>
      <c r="DC133" s="352"/>
      <c r="DD133" s="352"/>
      <c r="DE133" s="7"/>
    </row>
    <row r="134" spans="1:109" ht="15" customHeight="1">
      <c r="A134" s="8"/>
      <c r="B134" s="356"/>
      <c r="C134" s="357"/>
      <c r="D134" s="357"/>
      <c r="E134" s="357"/>
      <c r="F134" s="357"/>
      <c r="G134" s="357"/>
      <c r="H134" s="358"/>
      <c r="I134" s="352"/>
      <c r="J134" s="352"/>
      <c r="K134" s="352"/>
      <c r="L134" s="352"/>
      <c r="M134" s="352"/>
      <c r="N134" s="352"/>
      <c r="O134" s="352"/>
      <c r="P134" s="352"/>
      <c r="Q134" s="352"/>
      <c r="R134" s="352"/>
      <c r="S134" s="352"/>
      <c r="T134" s="352"/>
      <c r="U134" s="352"/>
      <c r="V134" s="352"/>
      <c r="W134" s="360"/>
      <c r="X134" s="360"/>
      <c r="Y134" s="360"/>
      <c r="Z134" s="360"/>
      <c r="AA134" s="360"/>
      <c r="AB134" s="360"/>
      <c r="AC134" s="360"/>
      <c r="AD134" s="360"/>
      <c r="AE134" s="360"/>
      <c r="AF134" s="360"/>
      <c r="AG134" s="360"/>
      <c r="AH134" s="360"/>
      <c r="AI134" s="360"/>
      <c r="AJ134" s="360"/>
      <c r="AK134" s="360"/>
      <c r="AL134" s="360"/>
      <c r="AM134" s="360"/>
      <c r="AN134" s="360"/>
      <c r="AO134" s="360"/>
      <c r="AP134" s="360"/>
      <c r="AQ134" s="360"/>
      <c r="AR134" s="360"/>
      <c r="AS134" s="360"/>
      <c r="AT134" s="360"/>
      <c r="AU134" s="360"/>
      <c r="AV134" s="360"/>
      <c r="AW134" s="360"/>
      <c r="AX134" s="360"/>
      <c r="AY134" s="360"/>
      <c r="AZ134" s="360"/>
      <c r="BA134" s="360"/>
      <c r="BB134" s="360"/>
      <c r="BC134" s="360"/>
      <c r="BD134" s="360"/>
      <c r="BE134" s="360"/>
      <c r="BF134" s="360"/>
      <c r="BG134" s="360"/>
      <c r="BH134" s="360"/>
      <c r="BI134" s="360"/>
      <c r="BJ134" s="360"/>
      <c r="BK134" s="360"/>
      <c r="BL134" s="360"/>
      <c r="BM134" s="352"/>
      <c r="BN134" s="352"/>
      <c r="BO134" s="352"/>
      <c r="BP134" s="352"/>
      <c r="BQ134" s="352"/>
      <c r="BR134" s="352"/>
      <c r="BS134" s="352"/>
      <c r="BT134" s="352"/>
      <c r="BU134" s="352"/>
      <c r="BV134" s="352"/>
      <c r="BW134" s="352"/>
      <c r="BX134" s="352"/>
      <c r="BY134" s="352"/>
      <c r="BZ134" s="352"/>
      <c r="CA134" s="352"/>
      <c r="CB134" s="352"/>
      <c r="CC134" s="352"/>
      <c r="CD134" s="352"/>
      <c r="CE134" s="352"/>
      <c r="CF134" s="352"/>
      <c r="CG134" s="352"/>
      <c r="CH134" s="352"/>
      <c r="CI134" s="352"/>
      <c r="CJ134" s="352"/>
      <c r="CK134" s="352"/>
      <c r="CL134" s="352"/>
      <c r="CM134" s="352"/>
      <c r="CN134" s="352"/>
      <c r="CO134" s="352"/>
      <c r="CP134" s="352"/>
      <c r="CQ134" s="352"/>
      <c r="CR134" s="352"/>
      <c r="CS134" s="352"/>
      <c r="CT134" s="352"/>
      <c r="CU134" s="352"/>
      <c r="CV134" s="352"/>
      <c r="CW134" s="352"/>
      <c r="CX134" s="352"/>
      <c r="CY134" s="352"/>
      <c r="CZ134" s="352"/>
      <c r="DA134" s="352"/>
      <c r="DB134" s="352"/>
      <c r="DC134" s="352"/>
      <c r="DD134" s="352"/>
      <c r="DE134" s="7"/>
    </row>
    <row r="135" spans="1:109" ht="15" customHeight="1">
      <c r="A135" s="3"/>
      <c r="B135" s="382"/>
      <c r="C135" s="383"/>
      <c r="D135" s="383"/>
      <c r="E135" s="383"/>
      <c r="F135" s="383"/>
      <c r="G135" s="383"/>
      <c r="H135" s="384"/>
      <c r="I135" s="351"/>
      <c r="J135" s="351"/>
      <c r="K135" s="351"/>
      <c r="L135" s="351"/>
      <c r="M135" s="351"/>
      <c r="N135" s="351"/>
      <c r="O135" s="351"/>
      <c r="P135" s="351"/>
      <c r="Q135" s="351"/>
      <c r="R135" s="351"/>
      <c r="S135" s="351"/>
      <c r="T135" s="351"/>
      <c r="U135" s="351"/>
      <c r="V135" s="351"/>
      <c r="W135" s="359"/>
      <c r="X135" s="359"/>
      <c r="Y135" s="359"/>
      <c r="Z135" s="359"/>
      <c r="AA135" s="359"/>
      <c r="AB135" s="359"/>
      <c r="AC135" s="359"/>
      <c r="AD135" s="359"/>
      <c r="AE135" s="359"/>
      <c r="AF135" s="359"/>
      <c r="AG135" s="359"/>
      <c r="AH135" s="359"/>
      <c r="AI135" s="359"/>
      <c r="AJ135" s="359"/>
      <c r="AK135" s="359"/>
      <c r="AL135" s="359"/>
      <c r="AM135" s="359"/>
      <c r="AN135" s="359"/>
      <c r="AO135" s="359"/>
      <c r="AP135" s="359"/>
      <c r="AQ135" s="359"/>
      <c r="AR135" s="359"/>
      <c r="AS135" s="359"/>
      <c r="AT135" s="359"/>
      <c r="AU135" s="359"/>
      <c r="AV135" s="359"/>
      <c r="AW135" s="359"/>
      <c r="AX135" s="359"/>
      <c r="AY135" s="359"/>
      <c r="AZ135" s="359"/>
      <c r="BA135" s="359"/>
      <c r="BB135" s="359"/>
      <c r="BC135" s="359"/>
      <c r="BD135" s="359"/>
      <c r="BE135" s="359"/>
      <c r="BF135" s="359"/>
      <c r="BG135" s="359"/>
      <c r="BH135" s="359"/>
      <c r="BI135" s="359"/>
      <c r="BJ135" s="359"/>
      <c r="BK135" s="359"/>
      <c r="BL135" s="359"/>
      <c r="BM135" s="351"/>
      <c r="BN135" s="351"/>
      <c r="BO135" s="351"/>
      <c r="BP135" s="351"/>
      <c r="BQ135" s="351"/>
      <c r="BR135" s="351"/>
      <c r="BS135" s="351"/>
      <c r="BT135" s="351"/>
      <c r="BU135" s="351"/>
      <c r="BV135" s="351"/>
      <c r="BW135" s="351"/>
      <c r="BX135" s="351"/>
      <c r="BY135" s="351"/>
      <c r="BZ135" s="351"/>
      <c r="CA135" s="351"/>
      <c r="CB135" s="351"/>
      <c r="CC135" s="351"/>
      <c r="CD135" s="351"/>
      <c r="CE135" s="351"/>
      <c r="CF135" s="351"/>
      <c r="CG135" s="351"/>
      <c r="CH135" s="351"/>
      <c r="CI135" s="351"/>
      <c r="CJ135" s="351"/>
      <c r="CK135" s="351"/>
      <c r="CL135" s="351"/>
      <c r="CM135" s="351"/>
      <c r="CN135" s="351"/>
      <c r="CO135" s="351"/>
      <c r="CP135" s="351"/>
      <c r="CQ135" s="351"/>
      <c r="CR135" s="351"/>
      <c r="CS135" s="351"/>
      <c r="CT135" s="351"/>
      <c r="CU135" s="351"/>
      <c r="CV135" s="351"/>
      <c r="CW135" s="351"/>
      <c r="CX135" s="351"/>
      <c r="CY135" s="351"/>
      <c r="CZ135" s="351"/>
      <c r="DA135" s="351"/>
      <c r="DB135" s="351"/>
      <c r="DC135" s="351"/>
      <c r="DD135" s="351"/>
      <c r="DE135" s="7"/>
    </row>
    <row r="136" spans="1:109" ht="15" customHeight="1">
      <c r="A136" s="3"/>
      <c r="B136" s="385"/>
      <c r="C136" s="386"/>
      <c r="D136" s="386"/>
      <c r="E136" s="386"/>
      <c r="F136" s="386"/>
      <c r="G136" s="386"/>
      <c r="H136" s="387"/>
      <c r="I136" s="351"/>
      <c r="J136" s="351"/>
      <c r="K136" s="351"/>
      <c r="L136" s="351"/>
      <c r="M136" s="351"/>
      <c r="N136" s="351"/>
      <c r="O136" s="351"/>
      <c r="P136" s="351"/>
      <c r="Q136" s="351"/>
      <c r="R136" s="351"/>
      <c r="S136" s="351"/>
      <c r="T136" s="351"/>
      <c r="U136" s="351"/>
      <c r="V136" s="351"/>
      <c r="W136" s="359"/>
      <c r="X136" s="359"/>
      <c r="Y136" s="359"/>
      <c r="Z136" s="359"/>
      <c r="AA136" s="359"/>
      <c r="AB136" s="359"/>
      <c r="AC136" s="359"/>
      <c r="AD136" s="359"/>
      <c r="AE136" s="359"/>
      <c r="AF136" s="359"/>
      <c r="AG136" s="359"/>
      <c r="AH136" s="359"/>
      <c r="AI136" s="359"/>
      <c r="AJ136" s="359"/>
      <c r="AK136" s="359"/>
      <c r="AL136" s="359"/>
      <c r="AM136" s="359"/>
      <c r="AN136" s="359"/>
      <c r="AO136" s="359"/>
      <c r="AP136" s="359"/>
      <c r="AQ136" s="359"/>
      <c r="AR136" s="359"/>
      <c r="AS136" s="359"/>
      <c r="AT136" s="359"/>
      <c r="AU136" s="359"/>
      <c r="AV136" s="359"/>
      <c r="AW136" s="359"/>
      <c r="AX136" s="359"/>
      <c r="AY136" s="359"/>
      <c r="AZ136" s="359"/>
      <c r="BA136" s="359"/>
      <c r="BB136" s="359"/>
      <c r="BC136" s="359"/>
      <c r="BD136" s="359"/>
      <c r="BE136" s="359"/>
      <c r="BF136" s="359"/>
      <c r="BG136" s="359"/>
      <c r="BH136" s="359"/>
      <c r="BI136" s="359"/>
      <c r="BJ136" s="359"/>
      <c r="BK136" s="359"/>
      <c r="BL136" s="359"/>
      <c r="BM136" s="351"/>
      <c r="BN136" s="351"/>
      <c r="BO136" s="351"/>
      <c r="BP136" s="351"/>
      <c r="BQ136" s="351"/>
      <c r="BR136" s="351"/>
      <c r="BS136" s="351"/>
      <c r="BT136" s="351"/>
      <c r="BU136" s="351"/>
      <c r="BV136" s="351"/>
      <c r="BW136" s="351"/>
      <c r="BX136" s="351"/>
      <c r="BY136" s="351"/>
      <c r="BZ136" s="351"/>
      <c r="CA136" s="351"/>
      <c r="CB136" s="351"/>
      <c r="CC136" s="351"/>
      <c r="CD136" s="351"/>
      <c r="CE136" s="351"/>
      <c r="CF136" s="351"/>
      <c r="CG136" s="351"/>
      <c r="CH136" s="351"/>
      <c r="CI136" s="351"/>
      <c r="CJ136" s="351"/>
      <c r="CK136" s="351"/>
      <c r="CL136" s="351"/>
      <c r="CM136" s="351"/>
      <c r="CN136" s="351"/>
      <c r="CO136" s="351"/>
      <c r="CP136" s="351"/>
      <c r="CQ136" s="351"/>
      <c r="CR136" s="351"/>
      <c r="CS136" s="351"/>
      <c r="CT136" s="351"/>
      <c r="CU136" s="351"/>
      <c r="CV136" s="351"/>
      <c r="CW136" s="351"/>
      <c r="CX136" s="351"/>
      <c r="CY136" s="351"/>
      <c r="CZ136" s="351"/>
      <c r="DA136" s="351"/>
      <c r="DB136" s="351"/>
      <c r="DC136" s="351"/>
      <c r="DD136" s="351"/>
      <c r="DE136" s="7"/>
    </row>
    <row r="137" spans="1:109" ht="15" customHeight="1">
      <c r="A137" s="3"/>
      <c r="B137" s="353"/>
      <c r="C137" s="354"/>
      <c r="D137" s="354"/>
      <c r="E137" s="354"/>
      <c r="F137" s="354"/>
      <c r="G137" s="354"/>
      <c r="H137" s="355"/>
      <c r="I137" s="352"/>
      <c r="J137" s="352"/>
      <c r="K137" s="352"/>
      <c r="L137" s="352"/>
      <c r="M137" s="352"/>
      <c r="N137" s="352"/>
      <c r="O137" s="352"/>
      <c r="P137" s="352"/>
      <c r="Q137" s="352"/>
      <c r="R137" s="352"/>
      <c r="S137" s="352"/>
      <c r="T137" s="352"/>
      <c r="U137" s="352"/>
      <c r="V137" s="352"/>
      <c r="W137" s="360"/>
      <c r="X137" s="360"/>
      <c r="Y137" s="360"/>
      <c r="Z137" s="360"/>
      <c r="AA137" s="360"/>
      <c r="AB137" s="360"/>
      <c r="AC137" s="360"/>
      <c r="AD137" s="360"/>
      <c r="AE137" s="360"/>
      <c r="AF137" s="360"/>
      <c r="AG137" s="360"/>
      <c r="AH137" s="360"/>
      <c r="AI137" s="360"/>
      <c r="AJ137" s="360"/>
      <c r="AK137" s="360"/>
      <c r="AL137" s="360"/>
      <c r="AM137" s="360"/>
      <c r="AN137" s="360"/>
      <c r="AO137" s="360"/>
      <c r="AP137" s="360"/>
      <c r="AQ137" s="360"/>
      <c r="AR137" s="360"/>
      <c r="AS137" s="360"/>
      <c r="AT137" s="360"/>
      <c r="AU137" s="360"/>
      <c r="AV137" s="360"/>
      <c r="AW137" s="360"/>
      <c r="AX137" s="360"/>
      <c r="AY137" s="360"/>
      <c r="AZ137" s="360"/>
      <c r="BA137" s="360"/>
      <c r="BB137" s="360"/>
      <c r="BC137" s="360"/>
      <c r="BD137" s="360"/>
      <c r="BE137" s="360"/>
      <c r="BF137" s="360"/>
      <c r="BG137" s="360"/>
      <c r="BH137" s="360"/>
      <c r="BI137" s="360"/>
      <c r="BJ137" s="360"/>
      <c r="BK137" s="360"/>
      <c r="BL137" s="360"/>
      <c r="BM137" s="416"/>
      <c r="BN137" s="352"/>
      <c r="BO137" s="352"/>
      <c r="BP137" s="352"/>
      <c r="BQ137" s="352"/>
      <c r="BR137" s="352"/>
      <c r="BS137" s="352"/>
      <c r="BT137" s="352"/>
      <c r="BU137" s="352"/>
      <c r="BV137" s="352"/>
      <c r="BW137" s="352"/>
      <c r="BX137" s="352"/>
      <c r="BY137" s="352"/>
      <c r="BZ137" s="352"/>
      <c r="CA137" s="352"/>
      <c r="CB137" s="352"/>
      <c r="CC137" s="352"/>
      <c r="CD137" s="352"/>
      <c r="CE137" s="352"/>
      <c r="CF137" s="352"/>
      <c r="CG137" s="352"/>
      <c r="CH137" s="352"/>
      <c r="CI137" s="352"/>
      <c r="CJ137" s="352"/>
      <c r="CK137" s="352"/>
      <c r="CL137" s="352"/>
      <c r="CM137" s="352"/>
      <c r="CN137" s="352"/>
      <c r="CO137" s="352"/>
      <c r="CP137" s="352"/>
      <c r="CQ137" s="352"/>
      <c r="CR137" s="352"/>
      <c r="CS137" s="352"/>
      <c r="CT137" s="352"/>
      <c r="CU137" s="352"/>
      <c r="CV137" s="352"/>
      <c r="CW137" s="352"/>
      <c r="CX137" s="352"/>
      <c r="CY137" s="352"/>
      <c r="CZ137" s="352"/>
      <c r="DA137" s="352"/>
      <c r="DB137" s="352"/>
      <c r="DC137" s="352"/>
      <c r="DD137" s="352"/>
      <c r="DE137" s="24"/>
    </row>
    <row r="138" spans="1:109" ht="15" customHeight="1">
      <c r="A138" s="3"/>
      <c r="B138" s="356"/>
      <c r="C138" s="357"/>
      <c r="D138" s="357"/>
      <c r="E138" s="357"/>
      <c r="F138" s="357"/>
      <c r="G138" s="357"/>
      <c r="H138" s="358"/>
      <c r="I138" s="352"/>
      <c r="J138" s="352"/>
      <c r="K138" s="352"/>
      <c r="L138" s="352"/>
      <c r="M138" s="352"/>
      <c r="N138" s="352"/>
      <c r="O138" s="352"/>
      <c r="P138" s="352"/>
      <c r="Q138" s="352"/>
      <c r="R138" s="352"/>
      <c r="S138" s="352"/>
      <c r="T138" s="352"/>
      <c r="U138" s="352"/>
      <c r="V138" s="352"/>
      <c r="W138" s="360"/>
      <c r="X138" s="360"/>
      <c r="Y138" s="360"/>
      <c r="Z138" s="360"/>
      <c r="AA138" s="360"/>
      <c r="AB138" s="360"/>
      <c r="AC138" s="360"/>
      <c r="AD138" s="360"/>
      <c r="AE138" s="360"/>
      <c r="AF138" s="360"/>
      <c r="AG138" s="360"/>
      <c r="AH138" s="360"/>
      <c r="AI138" s="360"/>
      <c r="AJ138" s="360"/>
      <c r="AK138" s="360"/>
      <c r="AL138" s="360"/>
      <c r="AM138" s="360"/>
      <c r="AN138" s="360"/>
      <c r="AO138" s="360"/>
      <c r="AP138" s="360"/>
      <c r="AQ138" s="360"/>
      <c r="AR138" s="360"/>
      <c r="AS138" s="360"/>
      <c r="AT138" s="360"/>
      <c r="AU138" s="360"/>
      <c r="AV138" s="360"/>
      <c r="AW138" s="360"/>
      <c r="AX138" s="360"/>
      <c r="AY138" s="360"/>
      <c r="AZ138" s="360"/>
      <c r="BA138" s="360"/>
      <c r="BB138" s="360"/>
      <c r="BC138" s="360"/>
      <c r="BD138" s="360"/>
      <c r="BE138" s="360"/>
      <c r="BF138" s="360"/>
      <c r="BG138" s="360"/>
      <c r="BH138" s="360"/>
      <c r="BI138" s="360"/>
      <c r="BJ138" s="360"/>
      <c r="BK138" s="360"/>
      <c r="BL138" s="360"/>
      <c r="BM138" s="352"/>
      <c r="BN138" s="352"/>
      <c r="BO138" s="352"/>
      <c r="BP138" s="352"/>
      <c r="BQ138" s="352"/>
      <c r="BR138" s="352"/>
      <c r="BS138" s="352"/>
      <c r="BT138" s="352"/>
      <c r="BU138" s="352"/>
      <c r="BV138" s="352"/>
      <c r="BW138" s="352"/>
      <c r="BX138" s="352"/>
      <c r="BY138" s="352"/>
      <c r="BZ138" s="352"/>
      <c r="CA138" s="352"/>
      <c r="CB138" s="352"/>
      <c r="CC138" s="352"/>
      <c r="CD138" s="352"/>
      <c r="CE138" s="352"/>
      <c r="CF138" s="352"/>
      <c r="CG138" s="352"/>
      <c r="CH138" s="352"/>
      <c r="CI138" s="352"/>
      <c r="CJ138" s="352"/>
      <c r="CK138" s="352"/>
      <c r="CL138" s="352"/>
      <c r="CM138" s="352"/>
      <c r="CN138" s="352"/>
      <c r="CO138" s="352"/>
      <c r="CP138" s="352"/>
      <c r="CQ138" s="352"/>
      <c r="CR138" s="352"/>
      <c r="CS138" s="352"/>
      <c r="CT138" s="352"/>
      <c r="CU138" s="352"/>
      <c r="CV138" s="352"/>
      <c r="CW138" s="352"/>
      <c r="CX138" s="352"/>
      <c r="CY138" s="352"/>
      <c r="CZ138" s="352"/>
      <c r="DA138" s="352"/>
      <c r="DB138" s="352"/>
      <c r="DC138" s="352"/>
      <c r="DD138" s="352"/>
      <c r="DE138" s="7"/>
    </row>
    <row r="139" spans="1:109" ht="15" customHeight="1">
      <c r="A139" s="8"/>
      <c r="B139" s="382"/>
      <c r="C139" s="383"/>
      <c r="D139" s="383"/>
      <c r="E139" s="383"/>
      <c r="F139" s="383"/>
      <c r="G139" s="383"/>
      <c r="H139" s="384"/>
      <c r="I139" s="351"/>
      <c r="J139" s="351"/>
      <c r="K139" s="351"/>
      <c r="L139" s="351"/>
      <c r="M139" s="351"/>
      <c r="N139" s="351"/>
      <c r="O139" s="351"/>
      <c r="P139" s="351"/>
      <c r="Q139" s="351"/>
      <c r="R139" s="351"/>
      <c r="S139" s="351"/>
      <c r="T139" s="351"/>
      <c r="U139" s="351"/>
      <c r="V139" s="351"/>
      <c r="W139" s="359"/>
      <c r="X139" s="359"/>
      <c r="Y139" s="359"/>
      <c r="Z139" s="359"/>
      <c r="AA139" s="359"/>
      <c r="AB139" s="359"/>
      <c r="AC139" s="359"/>
      <c r="AD139" s="359"/>
      <c r="AE139" s="359"/>
      <c r="AF139" s="359"/>
      <c r="AG139" s="359"/>
      <c r="AH139" s="359"/>
      <c r="AI139" s="359"/>
      <c r="AJ139" s="359"/>
      <c r="AK139" s="359"/>
      <c r="AL139" s="359"/>
      <c r="AM139" s="359"/>
      <c r="AN139" s="359"/>
      <c r="AO139" s="359"/>
      <c r="AP139" s="359"/>
      <c r="AQ139" s="359"/>
      <c r="AR139" s="359"/>
      <c r="AS139" s="359"/>
      <c r="AT139" s="359"/>
      <c r="AU139" s="359"/>
      <c r="AV139" s="359"/>
      <c r="AW139" s="359"/>
      <c r="AX139" s="359"/>
      <c r="AY139" s="359"/>
      <c r="AZ139" s="359"/>
      <c r="BA139" s="359"/>
      <c r="BB139" s="359"/>
      <c r="BC139" s="359"/>
      <c r="BD139" s="359"/>
      <c r="BE139" s="359"/>
      <c r="BF139" s="359"/>
      <c r="BG139" s="359"/>
      <c r="BH139" s="359"/>
      <c r="BI139" s="359"/>
      <c r="BJ139" s="359"/>
      <c r="BK139" s="359"/>
      <c r="BL139" s="359"/>
      <c r="BM139" s="351"/>
      <c r="BN139" s="351"/>
      <c r="BO139" s="351"/>
      <c r="BP139" s="351"/>
      <c r="BQ139" s="351"/>
      <c r="BR139" s="351"/>
      <c r="BS139" s="351"/>
      <c r="BT139" s="351"/>
      <c r="BU139" s="351"/>
      <c r="BV139" s="351"/>
      <c r="BW139" s="351"/>
      <c r="BX139" s="351"/>
      <c r="BY139" s="351"/>
      <c r="BZ139" s="351"/>
      <c r="CA139" s="351"/>
      <c r="CB139" s="351"/>
      <c r="CC139" s="351"/>
      <c r="CD139" s="351"/>
      <c r="CE139" s="351"/>
      <c r="CF139" s="351"/>
      <c r="CG139" s="351"/>
      <c r="CH139" s="351"/>
      <c r="CI139" s="351"/>
      <c r="CJ139" s="351"/>
      <c r="CK139" s="351"/>
      <c r="CL139" s="351"/>
      <c r="CM139" s="351"/>
      <c r="CN139" s="351"/>
      <c r="CO139" s="351"/>
      <c r="CP139" s="351"/>
      <c r="CQ139" s="351"/>
      <c r="CR139" s="351"/>
      <c r="CS139" s="351"/>
      <c r="CT139" s="351"/>
      <c r="CU139" s="351"/>
      <c r="CV139" s="351"/>
      <c r="CW139" s="351"/>
      <c r="CX139" s="351"/>
      <c r="CY139" s="351"/>
      <c r="CZ139" s="351"/>
      <c r="DA139" s="351"/>
      <c r="DB139" s="351"/>
      <c r="DC139" s="351"/>
      <c r="DD139" s="351"/>
      <c r="DE139" s="7"/>
    </row>
    <row r="140" spans="1:109" ht="15" customHeight="1">
      <c r="A140" s="6"/>
      <c r="B140" s="385"/>
      <c r="C140" s="386"/>
      <c r="D140" s="386"/>
      <c r="E140" s="386"/>
      <c r="F140" s="386"/>
      <c r="G140" s="386"/>
      <c r="H140" s="387"/>
      <c r="I140" s="351"/>
      <c r="J140" s="351"/>
      <c r="K140" s="351"/>
      <c r="L140" s="351"/>
      <c r="M140" s="351"/>
      <c r="N140" s="351"/>
      <c r="O140" s="351"/>
      <c r="P140" s="351"/>
      <c r="Q140" s="351"/>
      <c r="R140" s="351"/>
      <c r="S140" s="351"/>
      <c r="T140" s="351"/>
      <c r="U140" s="351"/>
      <c r="V140" s="351"/>
      <c r="W140" s="359"/>
      <c r="X140" s="359"/>
      <c r="Y140" s="359"/>
      <c r="Z140" s="359"/>
      <c r="AA140" s="359"/>
      <c r="AB140" s="359"/>
      <c r="AC140" s="359"/>
      <c r="AD140" s="359"/>
      <c r="AE140" s="359"/>
      <c r="AF140" s="359"/>
      <c r="AG140" s="359"/>
      <c r="AH140" s="359"/>
      <c r="AI140" s="359"/>
      <c r="AJ140" s="359"/>
      <c r="AK140" s="359"/>
      <c r="AL140" s="359"/>
      <c r="AM140" s="359"/>
      <c r="AN140" s="359"/>
      <c r="AO140" s="359"/>
      <c r="AP140" s="359"/>
      <c r="AQ140" s="359"/>
      <c r="AR140" s="359"/>
      <c r="AS140" s="359"/>
      <c r="AT140" s="359"/>
      <c r="AU140" s="359"/>
      <c r="AV140" s="359"/>
      <c r="AW140" s="359"/>
      <c r="AX140" s="359"/>
      <c r="AY140" s="359"/>
      <c r="AZ140" s="359"/>
      <c r="BA140" s="359"/>
      <c r="BB140" s="359"/>
      <c r="BC140" s="359"/>
      <c r="BD140" s="359"/>
      <c r="BE140" s="359"/>
      <c r="BF140" s="359"/>
      <c r="BG140" s="359"/>
      <c r="BH140" s="359"/>
      <c r="BI140" s="359"/>
      <c r="BJ140" s="359"/>
      <c r="BK140" s="359"/>
      <c r="BL140" s="359"/>
      <c r="BM140" s="351"/>
      <c r="BN140" s="351"/>
      <c r="BO140" s="351"/>
      <c r="BP140" s="351"/>
      <c r="BQ140" s="351"/>
      <c r="BR140" s="351"/>
      <c r="BS140" s="351"/>
      <c r="BT140" s="351"/>
      <c r="BU140" s="351"/>
      <c r="BV140" s="351"/>
      <c r="BW140" s="351"/>
      <c r="BX140" s="351"/>
      <c r="BY140" s="351"/>
      <c r="BZ140" s="351"/>
      <c r="CA140" s="351"/>
      <c r="CB140" s="351"/>
      <c r="CC140" s="351"/>
      <c r="CD140" s="351"/>
      <c r="CE140" s="351"/>
      <c r="CF140" s="351"/>
      <c r="CG140" s="351"/>
      <c r="CH140" s="351"/>
      <c r="CI140" s="351"/>
      <c r="CJ140" s="351"/>
      <c r="CK140" s="351"/>
      <c r="CL140" s="351"/>
      <c r="CM140" s="351"/>
      <c r="CN140" s="351"/>
      <c r="CO140" s="351"/>
      <c r="CP140" s="351"/>
      <c r="CQ140" s="351"/>
      <c r="CR140" s="351"/>
      <c r="CS140" s="351"/>
      <c r="CT140" s="351"/>
      <c r="CU140" s="351"/>
      <c r="CV140" s="351"/>
      <c r="CW140" s="351"/>
      <c r="CX140" s="351"/>
      <c r="CY140" s="351"/>
      <c r="CZ140" s="351"/>
      <c r="DA140" s="351"/>
      <c r="DB140" s="351"/>
      <c r="DC140" s="351"/>
      <c r="DD140" s="351"/>
      <c r="DE140" s="7"/>
    </row>
    <row r="141" spans="1:109" ht="15" customHeight="1">
      <c r="A141" s="3"/>
      <c r="B141" s="353"/>
      <c r="C141" s="354"/>
      <c r="D141" s="354"/>
      <c r="E141" s="354"/>
      <c r="F141" s="354"/>
      <c r="G141" s="354"/>
      <c r="H141" s="355"/>
      <c r="I141" s="352"/>
      <c r="J141" s="352"/>
      <c r="K141" s="352"/>
      <c r="L141" s="352"/>
      <c r="M141" s="352"/>
      <c r="N141" s="352"/>
      <c r="O141" s="352"/>
      <c r="P141" s="352"/>
      <c r="Q141" s="352"/>
      <c r="R141" s="352"/>
      <c r="S141" s="352"/>
      <c r="T141" s="352"/>
      <c r="U141" s="352"/>
      <c r="V141" s="352"/>
      <c r="W141" s="360"/>
      <c r="X141" s="360"/>
      <c r="Y141" s="360"/>
      <c r="Z141" s="360"/>
      <c r="AA141" s="360"/>
      <c r="AB141" s="360"/>
      <c r="AC141" s="360"/>
      <c r="AD141" s="360"/>
      <c r="AE141" s="360"/>
      <c r="AF141" s="360"/>
      <c r="AG141" s="360"/>
      <c r="AH141" s="360"/>
      <c r="AI141" s="360"/>
      <c r="AJ141" s="360"/>
      <c r="AK141" s="360"/>
      <c r="AL141" s="360"/>
      <c r="AM141" s="360"/>
      <c r="AN141" s="360"/>
      <c r="AO141" s="360"/>
      <c r="AP141" s="360"/>
      <c r="AQ141" s="360"/>
      <c r="AR141" s="360"/>
      <c r="AS141" s="360"/>
      <c r="AT141" s="360"/>
      <c r="AU141" s="360"/>
      <c r="AV141" s="360"/>
      <c r="AW141" s="360"/>
      <c r="AX141" s="360"/>
      <c r="AY141" s="360"/>
      <c r="AZ141" s="360"/>
      <c r="BA141" s="360"/>
      <c r="BB141" s="360"/>
      <c r="BC141" s="360"/>
      <c r="BD141" s="360"/>
      <c r="BE141" s="360"/>
      <c r="BF141" s="360"/>
      <c r="BG141" s="360"/>
      <c r="BH141" s="360"/>
      <c r="BI141" s="360"/>
      <c r="BJ141" s="360"/>
      <c r="BK141" s="360"/>
      <c r="BL141" s="360"/>
      <c r="BM141" s="352"/>
      <c r="BN141" s="352"/>
      <c r="BO141" s="352"/>
      <c r="BP141" s="352"/>
      <c r="BQ141" s="352"/>
      <c r="BR141" s="352"/>
      <c r="BS141" s="352"/>
      <c r="BT141" s="352"/>
      <c r="BU141" s="352"/>
      <c r="BV141" s="352"/>
      <c r="BW141" s="352"/>
      <c r="BX141" s="352"/>
      <c r="BY141" s="352"/>
      <c r="BZ141" s="352"/>
      <c r="CA141" s="352"/>
      <c r="CB141" s="352"/>
      <c r="CC141" s="352"/>
      <c r="CD141" s="352"/>
      <c r="CE141" s="352"/>
      <c r="CF141" s="352"/>
      <c r="CG141" s="352"/>
      <c r="CH141" s="352"/>
      <c r="CI141" s="352"/>
      <c r="CJ141" s="352"/>
      <c r="CK141" s="352"/>
      <c r="CL141" s="352"/>
      <c r="CM141" s="352"/>
      <c r="CN141" s="352"/>
      <c r="CO141" s="352"/>
      <c r="CP141" s="352"/>
      <c r="CQ141" s="352"/>
      <c r="CR141" s="352"/>
      <c r="CS141" s="352"/>
      <c r="CT141" s="352"/>
      <c r="CU141" s="352"/>
      <c r="CV141" s="352"/>
      <c r="CW141" s="352"/>
      <c r="CX141" s="352"/>
      <c r="CY141" s="352"/>
      <c r="CZ141" s="352"/>
      <c r="DA141" s="352"/>
      <c r="DB141" s="352"/>
      <c r="DC141" s="352"/>
      <c r="DD141" s="352"/>
      <c r="DE141" s="7"/>
    </row>
    <row r="142" spans="1:109" ht="15" customHeight="1">
      <c r="A142" s="6"/>
      <c r="B142" s="356"/>
      <c r="C142" s="357"/>
      <c r="D142" s="357"/>
      <c r="E142" s="357"/>
      <c r="F142" s="357"/>
      <c r="G142" s="357"/>
      <c r="H142" s="358"/>
      <c r="I142" s="352"/>
      <c r="J142" s="352"/>
      <c r="K142" s="352"/>
      <c r="L142" s="352"/>
      <c r="M142" s="352"/>
      <c r="N142" s="352"/>
      <c r="O142" s="352"/>
      <c r="P142" s="352"/>
      <c r="Q142" s="352"/>
      <c r="R142" s="352"/>
      <c r="S142" s="352"/>
      <c r="T142" s="352"/>
      <c r="U142" s="352"/>
      <c r="V142" s="352"/>
      <c r="W142" s="360"/>
      <c r="X142" s="360"/>
      <c r="Y142" s="360"/>
      <c r="Z142" s="360"/>
      <c r="AA142" s="360"/>
      <c r="AB142" s="360"/>
      <c r="AC142" s="360"/>
      <c r="AD142" s="360"/>
      <c r="AE142" s="360"/>
      <c r="AF142" s="360"/>
      <c r="AG142" s="360"/>
      <c r="AH142" s="360"/>
      <c r="AI142" s="360"/>
      <c r="AJ142" s="360"/>
      <c r="AK142" s="360"/>
      <c r="AL142" s="360"/>
      <c r="AM142" s="360"/>
      <c r="AN142" s="360"/>
      <c r="AO142" s="360"/>
      <c r="AP142" s="360"/>
      <c r="AQ142" s="360"/>
      <c r="AR142" s="360"/>
      <c r="AS142" s="360"/>
      <c r="AT142" s="360"/>
      <c r="AU142" s="360"/>
      <c r="AV142" s="360"/>
      <c r="AW142" s="360"/>
      <c r="AX142" s="360"/>
      <c r="AY142" s="360"/>
      <c r="AZ142" s="360"/>
      <c r="BA142" s="360"/>
      <c r="BB142" s="360"/>
      <c r="BC142" s="360"/>
      <c r="BD142" s="360"/>
      <c r="BE142" s="360"/>
      <c r="BF142" s="360"/>
      <c r="BG142" s="360"/>
      <c r="BH142" s="360"/>
      <c r="BI142" s="360"/>
      <c r="BJ142" s="360"/>
      <c r="BK142" s="360"/>
      <c r="BL142" s="360"/>
      <c r="BM142" s="352"/>
      <c r="BN142" s="352"/>
      <c r="BO142" s="352"/>
      <c r="BP142" s="352"/>
      <c r="BQ142" s="352"/>
      <c r="BR142" s="352"/>
      <c r="BS142" s="352"/>
      <c r="BT142" s="352"/>
      <c r="BU142" s="352"/>
      <c r="BV142" s="352"/>
      <c r="BW142" s="352"/>
      <c r="BX142" s="352"/>
      <c r="BY142" s="352"/>
      <c r="BZ142" s="352"/>
      <c r="CA142" s="352"/>
      <c r="CB142" s="352"/>
      <c r="CC142" s="352"/>
      <c r="CD142" s="352"/>
      <c r="CE142" s="352"/>
      <c r="CF142" s="352"/>
      <c r="CG142" s="352"/>
      <c r="CH142" s="352"/>
      <c r="CI142" s="352"/>
      <c r="CJ142" s="352"/>
      <c r="CK142" s="352"/>
      <c r="CL142" s="352"/>
      <c r="CM142" s="352"/>
      <c r="CN142" s="352"/>
      <c r="CO142" s="352"/>
      <c r="CP142" s="352"/>
      <c r="CQ142" s="352"/>
      <c r="CR142" s="352"/>
      <c r="CS142" s="352"/>
      <c r="CT142" s="352"/>
      <c r="CU142" s="352"/>
      <c r="CV142" s="352"/>
      <c r="CW142" s="352"/>
      <c r="CX142" s="352"/>
      <c r="CY142" s="352"/>
      <c r="CZ142" s="352"/>
      <c r="DA142" s="352"/>
      <c r="DB142" s="352"/>
      <c r="DC142" s="352"/>
      <c r="DD142" s="352"/>
      <c r="DE142" s="7"/>
    </row>
    <row r="143" spans="1:109" ht="15" customHeight="1">
      <c r="A143" s="6"/>
      <c r="B143" s="382"/>
      <c r="C143" s="383"/>
      <c r="D143" s="383"/>
      <c r="E143" s="383"/>
      <c r="F143" s="383"/>
      <c r="G143" s="383"/>
      <c r="H143" s="384"/>
      <c r="I143" s="351"/>
      <c r="J143" s="351"/>
      <c r="K143" s="351"/>
      <c r="L143" s="351"/>
      <c r="M143" s="351"/>
      <c r="N143" s="351"/>
      <c r="O143" s="351"/>
      <c r="P143" s="351"/>
      <c r="Q143" s="351"/>
      <c r="R143" s="351"/>
      <c r="S143" s="351"/>
      <c r="T143" s="351"/>
      <c r="U143" s="351"/>
      <c r="V143" s="351"/>
      <c r="W143" s="359"/>
      <c r="X143" s="359"/>
      <c r="Y143" s="359"/>
      <c r="Z143" s="359"/>
      <c r="AA143" s="359"/>
      <c r="AB143" s="359"/>
      <c r="AC143" s="359"/>
      <c r="AD143" s="359"/>
      <c r="AE143" s="359"/>
      <c r="AF143" s="359"/>
      <c r="AG143" s="359"/>
      <c r="AH143" s="359"/>
      <c r="AI143" s="359"/>
      <c r="AJ143" s="359"/>
      <c r="AK143" s="359"/>
      <c r="AL143" s="359"/>
      <c r="AM143" s="359"/>
      <c r="AN143" s="359"/>
      <c r="AO143" s="359"/>
      <c r="AP143" s="359"/>
      <c r="AQ143" s="359"/>
      <c r="AR143" s="359"/>
      <c r="AS143" s="359"/>
      <c r="AT143" s="359"/>
      <c r="AU143" s="359"/>
      <c r="AV143" s="359"/>
      <c r="AW143" s="359"/>
      <c r="AX143" s="359"/>
      <c r="AY143" s="359"/>
      <c r="AZ143" s="359"/>
      <c r="BA143" s="359"/>
      <c r="BB143" s="359"/>
      <c r="BC143" s="359"/>
      <c r="BD143" s="359"/>
      <c r="BE143" s="359"/>
      <c r="BF143" s="359"/>
      <c r="BG143" s="359"/>
      <c r="BH143" s="359"/>
      <c r="BI143" s="359"/>
      <c r="BJ143" s="359"/>
      <c r="BK143" s="359"/>
      <c r="BL143" s="359"/>
      <c r="BM143" s="351"/>
      <c r="BN143" s="351"/>
      <c r="BO143" s="351"/>
      <c r="BP143" s="351"/>
      <c r="BQ143" s="351"/>
      <c r="BR143" s="351"/>
      <c r="BS143" s="351"/>
      <c r="BT143" s="351"/>
      <c r="BU143" s="351"/>
      <c r="BV143" s="351"/>
      <c r="BW143" s="351"/>
      <c r="BX143" s="351"/>
      <c r="BY143" s="351"/>
      <c r="BZ143" s="351"/>
      <c r="CA143" s="351"/>
      <c r="CB143" s="351"/>
      <c r="CC143" s="351"/>
      <c r="CD143" s="351"/>
      <c r="CE143" s="351"/>
      <c r="CF143" s="351"/>
      <c r="CG143" s="351"/>
      <c r="CH143" s="351"/>
      <c r="CI143" s="351"/>
      <c r="CJ143" s="351"/>
      <c r="CK143" s="351"/>
      <c r="CL143" s="351"/>
      <c r="CM143" s="351"/>
      <c r="CN143" s="351"/>
      <c r="CO143" s="351"/>
      <c r="CP143" s="351"/>
      <c r="CQ143" s="351"/>
      <c r="CR143" s="351"/>
      <c r="CS143" s="351"/>
      <c r="CT143" s="351"/>
      <c r="CU143" s="351"/>
      <c r="CV143" s="351"/>
      <c r="CW143" s="351"/>
      <c r="CX143" s="351"/>
      <c r="CY143" s="351"/>
      <c r="CZ143" s="351"/>
      <c r="DA143" s="351"/>
      <c r="DB143" s="351"/>
      <c r="DC143" s="351"/>
      <c r="DD143" s="351"/>
      <c r="DE143" s="7"/>
    </row>
    <row r="144" spans="1:109" ht="15" customHeight="1">
      <c r="A144" s="3"/>
      <c r="B144" s="385"/>
      <c r="C144" s="386"/>
      <c r="D144" s="386"/>
      <c r="E144" s="386"/>
      <c r="F144" s="386"/>
      <c r="G144" s="386"/>
      <c r="H144" s="387"/>
      <c r="I144" s="351"/>
      <c r="J144" s="351"/>
      <c r="K144" s="351"/>
      <c r="L144" s="351"/>
      <c r="M144" s="351"/>
      <c r="N144" s="351"/>
      <c r="O144" s="351"/>
      <c r="P144" s="351"/>
      <c r="Q144" s="351"/>
      <c r="R144" s="351"/>
      <c r="S144" s="351"/>
      <c r="T144" s="351"/>
      <c r="U144" s="351"/>
      <c r="V144" s="351"/>
      <c r="W144" s="359"/>
      <c r="X144" s="359"/>
      <c r="Y144" s="359"/>
      <c r="Z144" s="359"/>
      <c r="AA144" s="359"/>
      <c r="AB144" s="359"/>
      <c r="AC144" s="359"/>
      <c r="AD144" s="359"/>
      <c r="AE144" s="359"/>
      <c r="AF144" s="359"/>
      <c r="AG144" s="359"/>
      <c r="AH144" s="359"/>
      <c r="AI144" s="359"/>
      <c r="AJ144" s="359"/>
      <c r="AK144" s="359"/>
      <c r="AL144" s="359"/>
      <c r="AM144" s="359"/>
      <c r="AN144" s="359"/>
      <c r="AO144" s="359"/>
      <c r="AP144" s="359"/>
      <c r="AQ144" s="359"/>
      <c r="AR144" s="359"/>
      <c r="AS144" s="359"/>
      <c r="AT144" s="359"/>
      <c r="AU144" s="359"/>
      <c r="AV144" s="359"/>
      <c r="AW144" s="359"/>
      <c r="AX144" s="359"/>
      <c r="AY144" s="359"/>
      <c r="AZ144" s="359"/>
      <c r="BA144" s="359"/>
      <c r="BB144" s="359"/>
      <c r="BC144" s="359"/>
      <c r="BD144" s="359"/>
      <c r="BE144" s="359"/>
      <c r="BF144" s="359"/>
      <c r="BG144" s="359"/>
      <c r="BH144" s="359"/>
      <c r="BI144" s="359"/>
      <c r="BJ144" s="359"/>
      <c r="BK144" s="359"/>
      <c r="BL144" s="359"/>
      <c r="BM144" s="351"/>
      <c r="BN144" s="351"/>
      <c r="BO144" s="351"/>
      <c r="BP144" s="351"/>
      <c r="BQ144" s="351"/>
      <c r="BR144" s="351"/>
      <c r="BS144" s="351"/>
      <c r="BT144" s="351"/>
      <c r="BU144" s="351"/>
      <c r="BV144" s="351"/>
      <c r="BW144" s="351"/>
      <c r="BX144" s="351"/>
      <c r="BY144" s="351"/>
      <c r="BZ144" s="351"/>
      <c r="CA144" s="351"/>
      <c r="CB144" s="351"/>
      <c r="CC144" s="351"/>
      <c r="CD144" s="351"/>
      <c r="CE144" s="351"/>
      <c r="CF144" s="351"/>
      <c r="CG144" s="351"/>
      <c r="CH144" s="351"/>
      <c r="CI144" s="351"/>
      <c r="CJ144" s="351"/>
      <c r="CK144" s="351"/>
      <c r="CL144" s="351"/>
      <c r="CM144" s="351"/>
      <c r="CN144" s="351"/>
      <c r="CO144" s="351"/>
      <c r="CP144" s="351"/>
      <c r="CQ144" s="351"/>
      <c r="CR144" s="351"/>
      <c r="CS144" s="351"/>
      <c r="CT144" s="351"/>
      <c r="CU144" s="351"/>
      <c r="CV144" s="351"/>
      <c r="CW144" s="351"/>
      <c r="CX144" s="351"/>
      <c r="CY144" s="351"/>
      <c r="CZ144" s="351"/>
      <c r="DA144" s="351"/>
      <c r="DB144" s="351"/>
      <c r="DC144" s="351"/>
      <c r="DD144" s="351"/>
      <c r="DE144" s="7"/>
    </row>
    <row r="145" spans="1:109" ht="15" customHeight="1">
      <c r="A145" s="6"/>
      <c r="B145" s="353"/>
      <c r="C145" s="354"/>
      <c r="D145" s="354"/>
      <c r="E145" s="354"/>
      <c r="F145" s="354"/>
      <c r="G145" s="354"/>
      <c r="H145" s="355"/>
      <c r="I145" s="352"/>
      <c r="J145" s="352"/>
      <c r="K145" s="352"/>
      <c r="L145" s="352"/>
      <c r="M145" s="352"/>
      <c r="N145" s="352"/>
      <c r="O145" s="352"/>
      <c r="P145" s="352"/>
      <c r="Q145" s="352"/>
      <c r="R145" s="352"/>
      <c r="S145" s="352"/>
      <c r="T145" s="352"/>
      <c r="U145" s="352"/>
      <c r="V145" s="352"/>
      <c r="W145" s="360"/>
      <c r="X145" s="360"/>
      <c r="Y145" s="360"/>
      <c r="Z145" s="360"/>
      <c r="AA145" s="360"/>
      <c r="AB145" s="360"/>
      <c r="AC145" s="360"/>
      <c r="AD145" s="360"/>
      <c r="AE145" s="360"/>
      <c r="AF145" s="360"/>
      <c r="AG145" s="360"/>
      <c r="AH145" s="360"/>
      <c r="AI145" s="360"/>
      <c r="AJ145" s="360"/>
      <c r="AK145" s="360"/>
      <c r="AL145" s="360"/>
      <c r="AM145" s="360"/>
      <c r="AN145" s="360"/>
      <c r="AO145" s="360"/>
      <c r="AP145" s="360"/>
      <c r="AQ145" s="360"/>
      <c r="AR145" s="360"/>
      <c r="AS145" s="360"/>
      <c r="AT145" s="360"/>
      <c r="AU145" s="360"/>
      <c r="AV145" s="360"/>
      <c r="AW145" s="360"/>
      <c r="AX145" s="360"/>
      <c r="AY145" s="360"/>
      <c r="AZ145" s="360"/>
      <c r="BA145" s="360"/>
      <c r="BB145" s="360"/>
      <c r="BC145" s="360"/>
      <c r="BD145" s="360"/>
      <c r="BE145" s="360"/>
      <c r="BF145" s="360"/>
      <c r="BG145" s="360"/>
      <c r="BH145" s="360"/>
      <c r="BI145" s="360"/>
      <c r="BJ145" s="360"/>
      <c r="BK145" s="360"/>
      <c r="BL145" s="360"/>
      <c r="BM145" s="352"/>
      <c r="BN145" s="352"/>
      <c r="BO145" s="352"/>
      <c r="BP145" s="352"/>
      <c r="BQ145" s="352"/>
      <c r="BR145" s="352"/>
      <c r="BS145" s="352"/>
      <c r="BT145" s="352"/>
      <c r="BU145" s="352"/>
      <c r="BV145" s="352"/>
      <c r="BW145" s="352"/>
      <c r="BX145" s="352"/>
      <c r="BY145" s="352"/>
      <c r="BZ145" s="352"/>
      <c r="CA145" s="352"/>
      <c r="CB145" s="352"/>
      <c r="CC145" s="352"/>
      <c r="CD145" s="352"/>
      <c r="CE145" s="352"/>
      <c r="CF145" s="352"/>
      <c r="CG145" s="352"/>
      <c r="CH145" s="352"/>
      <c r="CI145" s="352"/>
      <c r="CJ145" s="352"/>
      <c r="CK145" s="352"/>
      <c r="CL145" s="352"/>
      <c r="CM145" s="352"/>
      <c r="CN145" s="352"/>
      <c r="CO145" s="352"/>
      <c r="CP145" s="352"/>
      <c r="CQ145" s="352"/>
      <c r="CR145" s="352"/>
      <c r="CS145" s="352"/>
      <c r="CT145" s="352"/>
      <c r="CU145" s="352"/>
      <c r="CV145" s="352"/>
      <c r="CW145" s="352"/>
      <c r="CX145" s="352"/>
      <c r="CY145" s="352"/>
      <c r="CZ145" s="352"/>
      <c r="DA145" s="352"/>
      <c r="DB145" s="352"/>
      <c r="DC145" s="352"/>
      <c r="DD145" s="352"/>
      <c r="DE145" s="7"/>
    </row>
    <row r="146" spans="1:109" ht="15" customHeight="1">
      <c r="A146" s="8"/>
      <c r="B146" s="356"/>
      <c r="C146" s="357"/>
      <c r="D146" s="357"/>
      <c r="E146" s="357"/>
      <c r="F146" s="357"/>
      <c r="G146" s="357"/>
      <c r="H146" s="358"/>
      <c r="I146" s="352"/>
      <c r="J146" s="352"/>
      <c r="K146" s="352"/>
      <c r="L146" s="352"/>
      <c r="M146" s="352"/>
      <c r="N146" s="352"/>
      <c r="O146" s="352"/>
      <c r="P146" s="352"/>
      <c r="Q146" s="352"/>
      <c r="R146" s="352"/>
      <c r="S146" s="352"/>
      <c r="T146" s="352"/>
      <c r="U146" s="352"/>
      <c r="V146" s="352"/>
      <c r="W146" s="360"/>
      <c r="X146" s="360"/>
      <c r="Y146" s="360"/>
      <c r="Z146" s="360"/>
      <c r="AA146" s="360"/>
      <c r="AB146" s="360"/>
      <c r="AC146" s="360"/>
      <c r="AD146" s="360"/>
      <c r="AE146" s="360"/>
      <c r="AF146" s="360"/>
      <c r="AG146" s="360"/>
      <c r="AH146" s="360"/>
      <c r="AI146" s="360"/>
      <c r="AJ146" s="360"/>
      <c r="AK146" s="360"/>
      <c r="AL146" s="360"/>
      <c r="AM146" s="360"/>
      <c r="AN146" s="360"/>
      <c r="AO146" s="360"/>
      <c r="AP146" s="360"/>
      <c r="AQ146" s="360"/>
      <c r="AR146" s="360"/>
      <c r="AS146" s="360"/>
      <c r="AT146" s="360"/>
      <c r="AU146" s="360"/>
      <c r="AV146" s="360"/>
      <c r="AW146" s="360"/>
      <c r="AX146" s="360"/>
      <c r="AY146" s="360"/>
      <c r="AZ146" s="360"/>
      <c r="BA146" s="360"/>
      <c r="BB146" s="360"/>
      <c r="BC146" s="360"/>
      <c r="BD146" s="360"/>
      <c r="BE146" s="360"/>
      <c r="BF146" s="360"/>
      <c r="BG146" s="360"/>
      <c r="BH146" s="360"/>
      <c r="BI146" s="360"/>
      <c r="BJ146" s="360"/>
      <c r="BK146" s="360"/>
      <c r="BL146" s="360"/>
      <c r="BM146" s="352"/>
      <c r="BN146" s="352"/>
      <c r="BO146" s="352"/>
      <c r="BP146" s="352"/>
      <c r="BQ146" s="352"/>
      <c r="BR146" s="352"/>
      <c r="BS146" s="352"/>
      <c r="BT146" s="352"/>
      <c r="BU146" s="352"/>
      <c r="BV146" s="352"/>
      <c r="BW146" s="352"/>
      <c r="BX146" s="352"/>
      <c r="BY146" s="352"/>
      <c r="BZ146" s="352"/>
      <c r="CA146" s="352"/>
      <c r="CB146" s="352"/>
      <c r="CC146" s="352"/>
      <c r="CD146" s="352"/>
      <c r="CE146" s="352"/>
      <c r="CF146" s="352"/>
      <c r="CG146" s="352"/>
      <c r="CH146" s="352"/>
      <c r="CI146" s="352"/>
      <c r="CJ146" s="352"/>
      <c r="CK146" s="352"/>
      <c r="CL146" s="352"/>
      <c r="CM146" s="352"/>
      <c r="CN146" s="352"/>
      <c r="CO146" s="352"/>
      <c r="CP146" s="352"/>
      <c r="CQ146" s="352"/>
      <c r="CR146" s="352"/>
      <c r="CS146" s="352"/>
      <c r="CT146" s="352"/>
      <c r="CU146" s="352"/>
      <c r="CV146" s="352"/>
      <c r="CW146" s="352"/>
      <c r="CX146" s="352"/>
      <c r="CY146" s="352"/>
      <c r="CZ146" s="352"/>
      <c r="DA146" s="352"/>
      <c r="DB146" s="352"/>
      <c r="DC146" s="352"/>
      <c r="DD146" s="352"/>
      <c r="DE146" s="7"/>
    </row>
    <row r="147" spans="1:109" ht="15" customHeight="1">
      <c r="A147" s="8"/>
      <c r="B147" s="382"/>
      <c r="C147" s="383"/>
      <c r="D147" s="383"/>
      <c r="E147" s="383"/>
      <c r="F147" s="383"/>
      <c r="G147" s="383"/>
      <c r="H147" s="384"/>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417"/>
      <c r="AE147" s="351"/>
      <c r="AF147" s="351"/>
      <c r="AG147" s="351"/>
      <c r="AH147" s="351"/>
      <c r="AI147" s="351"/>
      <c r="AJ147" s="351"/>
      <c r="AK147" s="417"/>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82"/>
      <c r="BG147" s="383"/>
      <c r="BH147" s="383"/>
      <c r="BI147" s="383"/>
      <c r="BJ147" s="383"/>
      <c r="BK147" s="383"/>
      <c r="BL147" s="384"/>
      <c r="BM147" s="382"/>
      <c r="BN147" s="383"/>
      <c r="BO147" s="383"/>
      <c r="BP147" s="383"/>
      <c r="BQ147" s="383"/>
      <c r="BR147" s="383"/>
      <c r="BS147" s="383"/>
      <c r="BT147" s="383"/>
      <c r="BU147" s="383"/>
      <c r="BV147" s="383"/>
      <c r="BW147" s="383"/>
      <c r="BX147" s="383"/>
      <c r="BY147" s="383"/>
      <c r="BZ147" s="383"/>
      <c r="CA147" s="383"/>
      <c r="CB147" s="383"/>
      <c r="CC147" s="383"/>
      <c r="CD147" s="383"/>
      <c r="CE147" s="383"/>
      <c r="CF147" s="383"/>
      <c r="CG147" s="383"/>
      <c r="CH147" s="383"/>
      <c r="CI147" s="383"/>
      <c r="CJ147" s="383"/>
      <c r="CK147" s="383"/>
      <c r="CL147" s="384"/>
      <c r="CM147" s="351"/>
      <c r="CN147" s="351"/>
      <c r="CO147" s="351"/>
      <c r="CP147" s="351"/>
      <c r="CQ147" s="351"/>
      <c r="CR147" s="351"/>
      <c r="CS147" s="351"/>
      <c r="CT147" s="351"/>
      <c r="CU147" s="351"/>
      <c r="CV147" s="351"/>
      <c r="CW147" s="351"/>
      <c r="CX147" s="351"/>
      <c r="CY147" s="351"/>
      <c r="CZ147" s="351"/>
      <c r="DA147" s="351"/>
      <c r="DB147" s="351"/>
      <c r="DC147" s="351"/>
      <c r="DD147" s="351"/>
      <c r="DE147" s="7"/>
    </row>
    <row r="148" spans="1:109" ht="15" customHeight="1">
      <c r="A148" s="3"/>
      <c r="B148" s="385"/>
      <c r="C148" s="386"/>
      <c r="D148" s="386"/>
      <c r="E148" s="386"/>
      <c r="F148" s="386"/>
      <c r="G148" s="386"/>
      <c r="H148" s="387"/>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85"/>
      <c r="BG148" s="386"/>
      <c r="BH148" s="386"/>
      <c r="BI148" s="386"/>
      <c r="BJ148" s="386"/>
      <c r="BK148" s="386"/>
      <c r="BL148" s="387"/>
      <c r="BM148" s="385"/>
      <c r="BN148" s="386"/>
      <c r="BO148" s="386"/>
      <c r="BP148" s="386"/>
      <c r="BQ148" s="386"/>
      <c r="BR148" s="386"/>
      <c r="BS148" s="386"/>
      <c r="BT148" s="386"/>
      <c r="BU148" s="386"/>
      <c r="BV148" s="386"/>
      <c r="BW148" s="386"/>
      <c r="BX148" s="386"/>
      <c r="BY148" s="386"/>
      <c r="BZ148" s="386"/>
      <c r="CA148" s="386"/>
      <c r="CB148" s="386"/>
      <c r="CC148" s="386"/>
      <c r="CD148" s="386"/>
      <c r="CE148" s="386"/>
      <c r="CF148" s="386"/>
      <c r="CG148" s="386"/>
      <c r="CH148" s="386"/>
      <c r="CI148" s="386"/>
      <c r="CJ148" s="386"/>
      <c r="CK148" s="386"/>
      <c r="CL148" s="387"/>
      <c r="CM148" s="351"/>
      <c r="CN148" s="351"/>
      <c r="CO148" s="351"/>
      <c r="CP148" s="351"/>
      <c r="CQ148" s="351"/>
      <c r="CR148" s="351"/>
      <c r="CS148" s="351"/>
      <c r="CT148" s="351"/>
      <c r="CU148" s="351"/>
      <c r="CV148" s="351"/>
      <c r="CW148" s="351"/>
      <c r="CX148" s="351"/>
      <c r="CY148" s="351"/>
      <c r="CZ148" s="351"/>
      <c r="DA148" s="351"/>
      <c r="DB148" s="351"/>
      <c r="DC148" s="351"/>
      <c r="DD148" s="351"/>
      <c r="DE148" s="7"/>
    </row>
    <row r="149" spans="1:109" ht="15" customHeight="1">
      <c r="A149" s="3"/>
      <c r="B149" s="352"/>
      <c r="C149" s="352"/>
      <c r="D149" s="352"/>
      <c r="E149" s="352"/>
      <c r="F149" s="352"/>
      <c r="G149" s="352"/>
      <c r="H149" s="352"/>
      <c r="I149" s="352"/>
      <c r="J149" s="352"/>
      <c r="K149" s="352"/>
      <c r="L149" s="352"/>
      <c r="M149" s="352"/>
      <c r="N149" s="352"/>
      <c r="O149" s="352"/>
      <c r="P149" s="352"/>
      <c r="Q149" s="352"/>
      <c r="R149" s="352"/>
      <c r="S149" s="352"/>
      <c r="T149" s="352"/>
      <c r="U149" s="352"/>
      <c r="V149" s="352"/>
      <c r="W149" s="352"/>
      <c r="X149" s="352"/>
      <c r="Y149" s="352"/>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c r="AW149" s="352"/>
      <c r="AX149" s="352"/>
      <c r="AY149" s="352"/>
      <c r="AZ149" s="352"/>
      <c r="BA149" s="352"/>
      <c r="BB149" s="352"/>
      <c r="BC149" s="352"/>
      <c r="BD149" s="352"/>
      <c r="BE149" s="352"/>
      <c r="BF149" s="352"/>
      <c r="BG149" s="352"/>
      <c r="BH149" s="352"/>
      <c r="BI149" s="352"/>
      <c r="BJ149" s="352"/>
      <c r="BK149" s="352"/>
      <c r="BL149" s="352"/>
      <c r="BM149" s="352"/>
      <c r="BN149" s="352"/>
      <c r="BO149" s="352"/>
      <c r="BP149" s="352"/>
      <c r="BQ149" s="352"/>
      <c r="BR149" s="352"/>
      <c r="BS149" s="352"/>
      <c r="BT149" s="352"/>
      <c r="BU149" s="352"/>
      <c r="BV149" s="352"/>
      <c r="BW149" s="352"/>
      <c r="BX149" s="352"/>
      <c r="BY149" s="352"/>
      <c r="BZ149" s="352"/>
      <c r="CA149" s="352"/>
      <c r="CB149" s="352"/>
      <c r="CC149" s="352"/>
      <c r="CD149" s="352"/>
      <c r="CE149" s="352"/>
      <c r="CF149" s="352"/>
      <c r="CG149" s="352"/>
      <c r="CH149" s="352"/>
      <c r="CI149" s="352"/>
      <c r="CJ149" s="352"/>
      <c r="CK149" s="352"/>
      <c r="CL149" s="352"/>
      <c r="CM149" s="352"/>
      <c r="CN149" s="352"/>
      <c r="CO149" s="352"/>
      <c r="CP149" s="352"/>
      <c r="CQ149" s="352"/>
      <c r="CR149" s="352"/>
      <c r="CS149" s="352"/>
      <c r="CT149" s="352"/>
      <c r="CU149" s="352"/>
      <c r="CV149" s="352"/>
      <c r="CW149" s="352"/>
      <c r="CX149" s="352"/>
      <c r="CY149" s="352"/>
      <c r="CZ149" s="352"/>
      <c r="DA149" s="352"/>
      <c r="DB149" s="352"/>
      <c r="DC149" s="352"/>
      <c r="DD149" s="352"/>
      <c r="DE149" s="7"/>
    </row>
    <row r="150" spans="1:109" ht="15" customHeight="1">
      <c r="A150" s="6"/>
      <c r="B150" s="352"/>
      <c r="C150" s="352"/>
      <c r="D150" s="352"/>
      <c r="E150" s="352"/>
      <c r="F150" s="352"/>
      <c r="G150" s="352"/>
      <c r="H150" s="352"/>
      <c r="I150" s="352"/>
      <c r="J150" s="352"/>
      <c r="K150" s="352"/>
      <c r="L150" s="352"/>
      <c r="M150" s="352"/>
      <c r="N150" s="352"/>
      <c r="O150" s="352"/>
      <c r="P150" s="352"/>
      <c r="Q150" s="352"/>
      <c r="R150" s="352"/>
      <c r="S150" s="352"/>
      <c r="T150" s="352"/>
      <c r="U150" s="352"/>
      <c r="V150" s="352"/>
      <c r="W150" s="352"/>
      <c r="X150" s="352"/>
      <c r="Y150" s="352"/>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c r="AW150" s="352"/>
      <c r="AX150" s="352"/>
      <c r="AY150" s="352"/>
      <c r="AZ150" s="352"/>
      <c r="BA150" s="352"/>
      <c r="BB150" s="352"/>
      <c r="BC150" s="352"/>
      <c r="BD150" s="352"/>
      <c r="BE150" s="352"/>
      <c r="BF150" s="352"/>
      <c r="BG150" s="352"/>
      <c r="BH150" s="352"/>
      <c r="BI150" s="352"/>
      <c r="BJ150" s="352"/>
      <c r="BK150" s="352"/>
      <c r="BL150" s="352"/>
      <c r="BM150" s="352"/>
      <c r="BN150" s="352"/>
      <c r="BO150" s="352"/>
      <c r="BP150" s="352"/>
      <c r="BQ150" s="352"/>
      <c r="BR150" s="352"/>
      <c r="BS150" s="352"/>
      <c r="BT150" s="352"/>
      <c r="BU150" s="352"/>
      <c r="BV150" s="352"/>
      <c r="BW150" s="352"/>
      <c r="BX150" s="352"/>
      <c r="BY150" s="352"/>
      <c r="BZ150" s="352"/>
      <c r="CA150" s="352"/>
      <c r="CB150" s="352"/>
      <c r="CC150" s="352"/>
      <c r="CD150" s="352"/>
      <c r="CE150" s="352"/>
      <c r="CF150" s="352"/>
      <c r="CG150" s="352"/>
      <c r="CH150" s="352"/>
      <c r="CI150" s="352"/>
      <c r="CJ150" s="352"/>
      <c r="CK150" s="352"/>
      <c r="CL150" s="352"/>
      <c r="CM150" s="352"/>
      <c r="CN150" s="352"/>
      <c r="CO150" s="352"/>
      <c r="CP150" s="352"/>
      <c r="CQ150" s="352"/>
      <c r="CR150" s="352"/>
      <c r="CS150" s="352"/>
      <c r="CT150" s="352"/>
      <c r="CU150" s="352"/>
      <c r="CV150" s="352"/>
      <c r="CW150" s="352"/>
      <c r="CX150" s="352"/>
      <c r="CY150" s="352"/>
      <c r="CZ150" s="352"/>
      <c r="DA150" s="352"/>
      <c r="DB150" s="352"/>
      <c r="DC150" s="352"/>
      <c r="DD150" s="352"/>
      <c r="DE150" s="7"/>
    </row>
    <row r="151" spans="1:109" ht="15" customHeight="1">
      <c r="A151" s="8"/>
      <c r="B151" s="382"/>
      <c r="C151" s="383"/>
      <c r="D151" s="383"/>
      <c r="E151" s="383"/>
      <c r="F151" s="383"/>
      <c r="G151" s="383"/>
      <c r="H151" s="384"/>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c r="BI151" s="351"/>
      <c r="BJ151" s="351"/>
      <c r="BK151" s="351"/>
      <c r="BL151" s="351"/>
      <c r="BM151" s="351"/>
      <c r="BN151" s="351"/>
      <c r="BO151" s="351"/>
      <c r="BP151" s="351"/>
      <c r="BQ151" s="351"/>
      <c r="BR151" s="351"/>
      <c r="BS151" s="351"/>
      <c r="BT151" s="351"/>
      <c r="BU151" s="351"/>
      <c r="BV151" s="351"/>
      <c r="BW151" s="351"/>
      <c r="BX151" s="351"/>
      <c r="BY151" s="351"/>
      <c r="BZ151" s="351"/>
      <c r="CA151" s="351"/>
      <c r="CB151" s="351"/>
      <c r="CC151" s="351"/>
      <c r="CD151" s="351"/>
      <c r="CE151" s="351"/>
      <c r="CF151" s="351"/>
      <c r="CG151" s="351"/>
      <c r="CH151" s="351"/>
      <c r="CI151" s="351"/>
      <c r="CJ151" s="351"/>
      <c r="CK151" s="351"/>
      <c r="CL151" s="351"/>
      <c r="CM151" s="351"/>
      <c r="CN151" s="351"/>
      <c r="CO151" s="351"/>
      <c r="CP151" s="351"/>
      <c r="CQ151" s="351"/>
      <c r="CR151" s="351"/>
      <c r="CS151" s="351"/>
      <c r="CT151" s="351"/>
      <c r="CU151" s="351"/>
      <c r="CV151" s="351"/>
      <c r="CW151" s="351"/>
      <c r="CX151" s="351"/>
      <c r="CY151" s="351"/>
      <c r="CZ151" s="351"/>
      <c r="DA151" s="351"/>
      <c r="DB151" s="351"/>
      <c r="DC151" s="351"/>
      <c r="DD151" s="351"/>
      <c r="DE151" s="7"/>
    </row>
    <row r="152" spans="1:109" ht="15" customHeight="1">
      <c r="A152" s="3"/>
      <c r="B152" s="385"/>
      <c r="C152" s="386"/>
      <c r="D152" s="386"/>
      <c r="E152" s="386"/>
      <c r="F152" s="386"/>
      <c r="G152" s="386"/>
      <c r="H152" s="387"/>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c r="BI152" s="351"/>
      <c r="BJ152" s="351"/>
      <c r="BK152" s="351"/>
      <c r="BL152" s="351"/>
      <c r="BM152" s="351"/>
      <c r="BN152" s="351"/>
      <c r="BO152" s="351"/>
      <c r="BP152" s="351"/>
      <c r="BQ152" s="351"/>
      <c r="BR152" s="351"/>
      <c r="BS152" s="351"/>
      <c r="BT152" s="351"/>
      <c r="BU152" s="351"/>
      <c r="BV152" s="351"/>
      <c r="BW152" s="351"/>
      <c r="BX152" s="351"/>
      <c r="BY152" s="351"/>
      <c r="BZ152" s="351"/>
      <c r="CA152" s="351"/>
      <c r="CB152" s="351"/>
      <c r="CC152" s="351"/>
      <c r="CD152" s="351"/>
      <c r="CE152" s="351"/>
      <c r="CF152" s="351"/>
      <c r="CG152" s="351"/>
      <c r="CH152" s="351"/>
      <c r="CI152" s="351"/>
      <c r="CJ152" s="351"/>
      <c r="CK152" s="351"/>
      <c r="CL152" s="351"/>
      <c r="CM152" s="351"/>
      <c r="CN152" s="351"/>
      <c r="CO152" s="351"/>
      <c r="CP152" s="351"/>
      <c r="CQ152" s="351"/>
      <c r="CR152" s="351"/>
      <c r="CS152" s="351"/>
      <c r="CT152" s="351"/>
      <c r="CU152" s="351"/>
      <c r="CV152" s="351"/>
      <c r="CW152" s="351"/>
      <c r="CX152" s="351"/>
      <c r="CY152" s="351"/>
      <c r="CZ152" s="351"/>
      <c r="DA152" s="351"/>
      <c r="DB152" s="351"/>
      <c r="DC152" s="351"/>
      <c r="DD152" s="351"/>
      <c r="DE152" s="7"/>
    </row>
    <row r="153" spans="1:109" ht="15" customHeight="1">
      <c r="A153" s="3"/>
      <c r="B153" s="353"/>
      <c r="C153" s="354"/>
      <c r="D153" s="354"/>
      <c r="E153" s="354"/>
      <c r="F153" s="354"/>
      <c r="G153" s="354"/>
      <c r="H153" s="355"/>
      <c r="I153" s="352"/>
      <c r="J153" s="352"/>
      <c r="K153" s="352"/>
      <c r="L153" s="352"/>
      <c r="M153" s="352"/>
      <c r="N153" s="352"/>
      <c r="O153" s="352"/>
      <c r="P153" s="352"/>
      <c r="Q153" s="352"/>
      <c r="R153" s="352"/>
      <c r="S153" s="352"/>
      <c r="T153" s="352"/>
      <c r="U153" s="352"/>
      <c r="V153" s="352"/>
      <c r="W153" s="352"/>
      <c r="X153" s="352"/>
      <c r="Y153" s="352"/>
      <c r="Z153" s="352"/>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c r="AX153" s="352"/>
      <c r="AY153" s="352"/>
      <c r="AZ153" s="352"/>
      <c r="BA153" s="352"/>
      <c r="BB153" s="352"/>
      <c r="BC153" s="352"/>
      <c r="BD153" s="352"/>
      <c r="BE153" s="352"/>
      <c r="BF153" s="352"/>
      <c r="BG153" s="352"/>
      <c r="BH153" s="352"/>
      <c r="BI153" s="352"/>
      <c r="BJ153" s="352"/>
      <c r="BK153" s="352"/>
      <c r="BL153" s="352"/>
      <c r="BM153" s="352"/>
      <c r="BN153" s="352"/>
      <c r="BO153" s="352"/>
      <c r="BP153" s="352"/>
      <c r="BQ153" s="352"/>
      <c r="BR153" s="352"/>
      <c r="BS153" s="352"/>
      <c r="BT153" s="352"/>
      <c r="BU153" s="352"/>
      <c r="BV153" s="352"/>
      <c r="BW153" s="352"/>
      <c r="BX153" s="352"/>
      <c r="BY153" s="352"/>
      <c r="BZ153" s="352"/>
      <c r="CA153" s="352"/>
      <c r="CB153" s="352"/>
      <c r="CC153" s="352"/>
      <c r="CD153" s="352"/>
      <c r="CE153" s="352"/>
      <c r="CF153" s="352"/>
      <c r="CG153" s="352"/>
      <c r="CH153" s="352"/>
      <c r="CI153" s="352"/>
      <c r="CJ153" s="352"/>
      <c r="CK153" s="352"/>
      <c r="CL153" s="352"/>
      <c r="CM153" s="352"/>
      <c r="CN153" s="352"/>
      <c r="CO153" s="352"/>
      <c r="CP153" s="352"/>
      <c r="CQ153" s="352"/>
      <c r="CR153" s="352"/>
      <c r="CS153" s="352"/>
      <c r="CT153" s="352"/>
      <c r="CU153" s="352"/>
      <c r="CV153" s="352"/>
      <c r="CW153" s="352"/>
      <c r="CX153" s="352"/>
      <c r="CY153" s="352"/>
      <c r="CZ153" s="352"/>
      <c r="DA153" s="352"/>
      <c r="DB153" s="352"/>
      <c r="DC153" s="352"/>
      <c r="DD153" s="352"/>
      <c r="DE153" s="7"/>
    </row>
    <row r="154" spans="1:109" ht="15" customHeight="1">
      <c r="A154" s="3"/>
      <c r="B154" s="356"/>
      <c r="C154" s="357"/>
      <c r="D154" s="357"/>
      <c r="E154" s="357"/>
      <c r="F154" s="357"/>
      <c r="G154" s="357"/>
      <c r="H154" s="358"/>
      <c r="I154" s="352"/>
      <c r="J154" s="352"/>
      <c r="K154" s="352"/>
      <c r="L154" s="352"/>
      <c r="M154" s="352"/>
      <c r="N154" s="352"/>
      <c r="O154" s="352"/>
      <c r="P154" s="352"/>
      <c r="Q154" s="352"/>
      <c r="R154" s="352"/>
      <c r="S154" s="352"/>
      <c r="T154" s="352"/>
      <c r="U154" s="352"/>
      <c r="V154" s="352"/>
      <c r="W154" s="352"/>
      <c r="X154" s="352"/>
      <c r="Y154" s="352"/>
      <c r="Z154" s="352"/>
      <c r="AA154" s="352"/>
      <c r="AB154" s="352"/>
      <c r="AC154" s="352"/>
      <c r="AD154" s="352"/>
      <c r="AE154" s="352"/>
      <c r="AF154" s="352"/>
      <c r="AG154" s="352"/>
      <c r="AH154" s="352"/>
      <c r="AI154" s="352"/>
      <c r="AJ154" s="352"/>
      <c r="AK154" s="352"/>
      <c r="AL154" s="352"/>
      <c r="AM154" s="352"/>
      <c r="AN154" s="352"/>
      <c r="AO154" s="352"/>
      <c r="AP154" s="352"/>
      <c r="AQ154" s="352"/>
      <c r="AR154" s="352"/>
      <c r="AS154" s="352"/>
      <c r="AT154" s="352"/>
      <c r="AU154" s="352"/>
      <c r="AV154" s="352"/>
      <c r="AW154" s="352"/>
      <c r="AX154" s="352"/>
      <c r="AY154" s="352"/>
      <c r="AZ154" s="352"/>
      <c r="BA154" s="352"/>
      <c r="BB154" s="352"/>
      <c r="BC154" s="352"/>
      <c r="BD154" s="352"/>
      <c r="BE154" s="352"/>
      <c r="BF154" s="352"/>
      <c r="BG154" s="352"/>
      <c r="BH154" s="352"/>
      <c r="BI154" s="352"/>
      <c r="BJ154" s="352"/>
      <c r="BK154" s="352"/>
      <c r="BL154" s="352"/>
      <c r="BM154" s="352"/>
      <c r="BN154" s="352"/>
      <c r="BO154" s="352"/>
      <c r="BP154" s="352"/>
      <c r="BQ154" s="352"/>
      <c r="BR154" s="352"/>
      <c r="BS154" s="352"/>
      <c r="BT154" s="352"/>
      <c r="BU154" s="352"/>
      <c r="BV154" s="352"/>
      <c r="BW154" s="352"/>
      <c r="BX154" s="352"/>
      <c r="BY154" s="352"/>
      <c r="BZ154" s="352"/>
      <c r="CA154" s="352"/>
      <c r="CB154" s="352"/>
      <c r="CC154" s="352"/>
      <c r="CD154" s="352"/>
      <c r="CE154" s="352"/>
      <c r="CF154" s="352"/>
      <c r="CG154" s="352"/>
      <c r="CH154" s="352"/>
      <c r="CI154" s="352"/>
      <c r="CJ154" s="352"/>
      <c r="CK154" s="352"/>
      <c r="CL154" s="352"/>
      <c r="CM154" s="352"/>
      <c r="CN154" s="352"/>
      <c r="CO154" s="352"/>
      <c r="CP154" s="352"/>
      <c r="CQ154" s="352"/>
      <c r="CR154" s="352"/>
      <c r="CS154" s="352"/>
      <c r="CT154" s="352"/>
      <c r="CU154" s="352"/>
      <c r="CV154" s="352"/>
      <c r="CW154" s="352"/>
      <c r="CX154" s="352"/>
      <c r="CY154" s="352"/>
      <c r="CZ154" s="352"/>
      <c r="DA154" s="352"/>
      <c r="DB154" s="352"/>
      <c r="DC154" s="352"/>
      <c r="DD154" s="352"/>
      <c r="DE154" s="7"/>
    </row>
    <row r="155" spans="1:109" ht="15" customHeight="1">
      <c r="A155" s="6"/>
      <c r="B155" s="382"/>
      <c r="C155" s="383"/>
      <c r="D155" s="383"/>
      <c r="E155" s="383"/>
      <c r="F155" s="383"/>
      <c r="G155" s="383"/>
      <c r="H155" s="384"/>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c r="BI155" s="351"/>
      <c r="BJ155" s="351"/>
      <c r="BK155" s="351"/>
      <c r="BL155" s="351"/>
      <c r="BM155" s="351"/>
      <c r="BN155" s="351"/>
      <c r="BO155" s="351"/>
      <c r="BP155" s="351"/>
      <c r="BQ155" s="351"/>
      <c r="BR155" s="351"/>
      <c r="BS155" s="351"/>
      <c r="BT155" s="351"/>
      <c r="BU155" s="351"/>
      <c r="BV155" s="351"/>
      <c r="BW155" s="351"/>
      <c r="BX155" s="351"/>
      <c r="BY155" s="351"/>
      <c r="BZ155" s="351"/>
      <c r="CA155" s="351"/>
      <c r="CB155" s="351"/>
      <c r="CC155" s="351"/>
      <c r="CD155" s="351"/>
      <c r="CE155" s="351"/>
      <c r="CF155" s="351"/>
      <c r="CG155" s="351"/>
      <c r="CH155" s="351"/>
      <c r="CI155" s="351"/>
      <c r="CJ155" s="351"/>
      <c r="CK155" s="351"/>
      <c r="CL155" s="351"/>
      <c r="CM155" s="351"/>
      <c r="CN155" s="351"/>
      <c r="CO155" s="351"/>
      <c r="CP155" s="351"/>
      <c r="CQ155" s="351"/>
      <c r="CR155" s="351"/>
      <c r="CS155" s="351"/>
      <c r="CT155" s="351"/>
      <c r="CU155" s="351"/>
      <c r="CV155" s="351"/>
      <c r="CW155" s="351"/>
      <c r="CX155" s="351"/>
      <c r="CY155" s="351"/>
      <c r="CZ155" s="351"/>
      <c r="DA155" s="351"/>
      <c r="DB155" s="351"/>
      <c r="DC155" s="351"/>
      <c r="DD155" s="351"/>
      <c r="DE155" s="7"/>
    </row>
    <row r="156" spans="1:109" ht="15" customHeight="1">
      <c r="A156" s="8"/>
      <c r="B156" s="385"/>
      <c r="C156" s="386"/>
      <c r="D156" s="386"/>
      <c r="E156" s="386"/>
      <c r="F156" s="386"/>
      <c r="G156" s="386"/>
      <c r="H156" s="387"/>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c r="BI156" s="351"/>
      <c r="BJ156" s="351"/>
      <c r="BK156" s="351"/>
      <c r="BL156" s="351"/>
      <c r="BM156" s="351"/>
      <c r="BN156" s="351"/>
      <c r="BO156" s="351"/>
      <c r="BP156" s="351"/>
      <c r="BQ156" s="351"/>
      <c r="BR156" s="351"/>
      <c r="BS156" s="351"/>
      <c r="BT156" s="351"/>
      <c r="BU156" s="351"/>
      <c r="BV156" s="351"/>
      <c r="BW156" s="351"/>
      <c r="BX156" s="351"/>
      <c r="BY156" s="351"/>
      <c r="BZ156" s="351"/>
      <c r="CA156" s="351"/>
      <c r="CB156" s="351"/>
      <c r="CC156" s="351"/>
      <c r="CD156" s="351"/>
      <c r="CE156" s="351"/>
      <c r="CF156" s="351"/>
      <c r="CG156" s="351"/>
      <c r="CH156" s="351"/>
      <c r="CI156" s="351"/>
      <c r="CJ156" s="351"/>
      <c r="CK156" s="351"/>
      <c r="CL156" s="351"/>
      <c r="CM156" s="351"/>
      <c r="CN156" s="351"/>
      <c r="CO156" s="351"/>
      <c r="CP156" s="351"/>
      <c r="CQ156" s="351"/>
      <c r="CR156" s="351"/>
      <c r="CS156" s="351"/>
      <c r="CT156" s="351"/>
      <c r="CU156" s="351"/>
      <c r="CV156" s="351"/>
      <c r="CW156" s="351"/>
      <c r="CX156" s="351"/>
      <c r="CY156" s="351"/>
      <c r="CZ156" s="351"/>
      <c r="DA156" s="351"/>
      <c r="DB156" s="351"/>
      <c r="DC156" s="351"/>
      <c r="DD156" s="351"/>
      <c r="DE156" s="7"/>
    </row>
    <row r="157" spans="1:109" ht="15" customHeight="1">
      <c r="A157" s="8"/>
      <c r="B157" s="353"/>
      <c r="C157" s="354"/>
      <c r="D157" s="354"/>
      <c r="E157" s="354"/>
      <c r="F157" s="354"/>
      <c r="G157" s="354"/>
      <c r="H157" s="355"/>
      <c r="I157" s="352"/>
      <c r="J157" s="352"/>
      <c r="K157" s="352"/>
      <c r="L157" s="352"/>
      <c r="M157" s="352"/>
      <c r="N157" s="352"/>
      <c r="O157" s="352"/>
      <c r="P157" s="352"/>
      <c r="Q157" s="352"/>
      <c r="R157" s="352"/>
      <c r="S157" s="352"/>
      <c r="T157" s="352"/>
      <c r="U157" s="352"/>
      <c r="V157" s="352"/>
      <c r="W157" s="352"/>
      <c r="X157" s="352"/>
      <c r="Y157" s="352"/>
      <c r="Z157" s="352"/>
      <c r="AA157" s="352"/>
      <c r="AB157" s="352"/>
      <c r="AC157" s="352"/>
      <c r="AD157" s="352"/>
      <c r="AE157" s="352"/>
      <c r="AF157" s="352"/>
      <c r="AG157" s="352"/>
      <c r="AH157" s="352"/>
      <c r="AI157" s="352"/>
      <c r="AJ157" s="352"/>
      <c r="AK157" s="352"/>
      <c r="AL157" s="352"/>
      <c r="AM157" s="352"/>
      <c r="AN157" s="352"/>
      <c r="AO157" s="352"/>
      <c r="AP157" s="352"/>
      <c r="AQ157" s="352"/>
      <c r="AR157" s="352"/>
      <c r="AS157" s="352"/>
      <c r="AT157" s="352"/>
      <c r="AU157" s="352"/>
      <c r="AV157" s="352"/>
      <c r="AW157" s="352"/>
      <c r="AX157" s="352"/>
      <c r="AY157" s="352"/>
      <c r="AZ157" s="352"/>
      <c r="BA157" s="352"/>
      <c r="BB157" s="352"/>
      <c r="BC157" s="352"/>
      <c r="BD157" s="352"/>
      <c r="BE157" s="352"/>
      <c r="BF157" s="352"/>
      <c r="BG157" s="352"/>
      <c r="BH157" s="352"/>
      <c r="BI157" s="352"/>
      <c r="BJ157" s="352"/>
      <c r="BK157" s="352"/>
      <c r="BL157" s="352"/>
      <c r="BM157" s="352"/>
      <c r="BN157" s="352"/>
      <c r="BO157" s="352"/>
      <c r="BP157" s="352"/>
      <c r="BQ157" s="352"/>
      <c r="BR157" s="352"/>
      <c r="BS157" s="352"/>
      <c r="BT157" s="352"/>
      <c r="BU157" s="352"/>
      <c r="BV157" s="352"/>
      <c r="BW157" s="352"/>
      <c r="BX157" s="352"/>
      <c r="BY157" s="352"/>
      <c r="BZ157" s="352"/>
      <c r="CA157" s="352"/>
      <c r="CB157" s="352"/>
      <c r="CC157" s="352"/>
      <c r="CD157" s="352"/>
      <c r="CE157" s="352"/>
      <c r="CF157" s="352"/>
      <c r="CG157" s="352"/>
      <c r="CH157" s="352"/>
      <c r="CI157" s="352"/>
      <c r="CJ157" s="352"/>
      <c r="CK157" s="352"/>
      <c r="CL157" s="352"/>
      <c r="CM157" s="352"/>
      <c r="CN157" s="352"/>
      <c r="CO157" s="352"/>
      <c r="CP157" s="352"/>
      <c r="CQ157" s="352"/>
      <c r="CR157" s="352"/>
      <c r="CS157" s="352"/>
      <c r="CT157" s="352"/>
      <c r="CU157" s="352"/>
      <c r="CV157" s="352"/>
      <c r="CW157" s="352"/>
      <c r="CX157" s="352"/>
      <c r="CY157" s="352"/>
      <c r="CZ157" s="352"/>
      <c r="DA157" s="352"/>
      <c r="DB157" s="352"/>
      <c r="DC157" s="352"/>
      <c r="DD157" s="352"/>
      <c r="DE157" s="7"/>
    </row>
    <row r="158" spans="1:109" ht="15" customHeight="1">
      <c r="A158" s="8"/>
      <c r="B158" s="356"/>
      <c r="C158" s="357"/>
      <c r="D158" s="357"/>
      <c r="E158" s="357"/>
      <c r="F158" s="357"/>
      <c r="G158" s="357"/>
      <c r="H158" s="358"/>
      <c r="I158" s="352"/>
      <c r="J158" s="352"/>
      <c r="K158" s="352"/>
      <c r="L158" s="352"/>
      <c r="M158" s="352"/>
      <c r="N158" s="352"/>
      <c r="O158" s="352"/>
      <c r="P158" s="352"/>
      <c r="Q158" s="352"/>
      <c r="R158" s="352"/>
      <c r="S158" s="352"/>
      <c r="T158" s="352"/>
      <c r="U158" s="352"/>
      <c r="V158" s="352"/>
      <c r="W158" s="352"/>
      <c r="X158" s="352"/>
      <c r="Y158" s="352"/>
      <c r="Z158" s="352"/>
      <c r="AA158" s="352"/>
      <c r="AB158" s="352"/>
      <c r="AC158" s="352"/>
      <c r="AD158" s="352"/>
      <c r="AE158" s="352"/>
      <c r="AF158" s="352"/>
      <c r="AG158" s="352"/>
      <c r="AH158" s="352"/>
      <c r="AI158" s="352"/>
      <c r="AJ158" s="352"/>
      <c r="AK158" s="352"/>
      <c r="AL158" s="352"/>
      <c r="AM158" s="352"/>
      <c r="AN158" s="352"/>
      <c r="AO158" s="352"/>
      <c r="AP158" s="352"/>
      <c r="AQ158" s="352"/>
      <c r="AR158" s="352"/>
      <c r="AS158" s="352"/>
      <c r="AT158" s="352"/>
      <c r="AU158" s="352"/>
      <c r="AV158" s="352"/>
      <c r="AW158" s="352"/>
      <c r="AX158" s="352"/>
      <c r="AY158" s="352"/>
      <c r="AZ158" s="352"/>
      <c r="BA158" s="352"/>
      <c r="BB158" s="352"/>
      <c r="BC158" s="352"/>
      <c r="BD158" s="352"/>
      <c r="BE158" s="352"/>
      <c r="BF158" s="352"/>
      <c r="BG158" s="352"/>
      <c r="BH158" s="352"/>
      <c r="BI158" s="352"/>
      <c r="BJ158" s="352"/>
      <c r="BK158" s="352"/>
      <c r="BL158" s="352"/>
      <c r="BM158" s="352"/>
      <c r="BN158" s="352"/>
      <c r="BO158" s="352"/>
      <c r="BP158" s="352"/>
      <c r="BQ158" s="352"/>
      <c r="BR158" s="352"/>
      <c r="BS158" s="352"/>
      <c r="BT158" s="352"/>
      <c r="BU158" s="352"/>
      <c r="BV158" s="352"/>
      <c r="BW158" s="352"/>
      <c r="BX158" s="352"/>
      <c r="BY158" s="352"/>
      <c r="BZ158" s="352"/>
      <c r="CA158" s="352"/>
      <c r="CB158" s="352"/>
      <c r="CC158" s="352"/>
      <c r="CD158" s="352"/>
      <c r="CE158" s="352"/>
      <c r="CF158" s="352"/>
      <c r="CG158" s="352"/>
      <c r="CH158" s="352"/>
      <c r="CI158" s="352"/>
      <c r="CJ158" s="352"/>
      <c r="CK158" s="352"/>
      <c r="CL158" s="352"/>
      <c r="CM158" s="352"/>
      <c r="CN158" s="352"/>
      <c r="CO158" s="352"/>
      <c r="CP158" s="352"/>
      <c r="CQ158" s="352"/>
      <c r="CR158" s="352"/>
      <c r="CS158" s="352"/>
      <c r="CT158" s="352"/>
      <c r="CU158" s="352"/>
      <c r="CV158" s="352"/>
      <c r="CW158" s="352"/>
      <c r="CX158" s="352"/>
      <c r="CY158" s="352"/>
      <c r="CZ158" s="352"/>
      <c r="DA158" s="352"/>
      <c r="DB158" s="352"/>
      <c r="DC158" s="352"/>
      <c r="DD158" s="352"/>
      <c r="DE158" s="7"/>
    </row>
    <row r="159" spans="1:109" ht="15" customHeight="1">
      <c r="A159" s="3"/>
      <c r="B159" s="382"/>
      <c r="C159" s="383"/>
      <c r="D159" s="383"/>
      <c r="E159" s="383"/>
      <c r="F159" s="383"/>
      <c r="G159" s="383"/>
      <c r="H159" s="384"/>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c r="BI159" s="351"/>
      <c r="BJ159" s="351"/>
      <c r="BK159" s="351"/>
      <c r="BL159" s="351"/>
      <c r="BM159" s="351"/>
      <c r="BN159" s="351"/>
      <c r="BO159" s="351"/>
      <c r="BP159" s="351"/>
      <c r="BQ159" s="351"/>
      <c r="BR159" s="351"/>
      <c r="BS159" s="351"/>
      <c r="BT159" s="351"/>
      <c r="BU159" s="351"/>
      <c r="BV159" s="351"/>
      <c r="BW159" s="351"/>
      <c r="BX159" s="351"/>
      <c r="BY159" s="351"/>
      <c r="BZ159" s="351"/>
      <c r="CA159" s="351"/>
      <c r="CB159" s="351"/>
      <c r="CC159" s="351"/>
      <c r="CD159" s="351"/>
      <c r="CE159" s="351"/>
      <c r="CF159" s="351"/>
      <c r="CG159" s="351"/>
      <c r="CH159" s="351"/>
      <c r="CI159" s="351"/>
      <c r="CJ159" s="351"/>
      <c r="CK159" s="351"/>
      <c r="CL159" s="351"/>
      <c r="CM159" s="351"/>
      <c r="CN159" s="351"/>
      <c r="CO159" s="351"/>
      <c r="CP159" s="351"/>
      <c r="CQ159" s="351"/>
      <c r="CR159" s="351"/>
      <c r="CS159" s="351"/>
      <c r="CT159" s="351"/>
      <c r="CU159" s="351"/>
      <c r="CV159" s="351"/>
      <c r="CW159" s="351"/>
      <c r="CX159" s="351"/>
      <c r="CY159" s="351"/>
      <c r="CZ159" s="351"/>
      <c r="DA159" s="351"/>
      <c r="DB159" s="351"/>
      <c r="DC159" s="351"/>
      <c r="DD159" s="351"/>
      <c r="DE159" s="7"/>
    </row>
    <row r="160" spans="1:109" ht="15" customHeight="1">
      <c r="A160" s="3"/>
      <c r="B160" s="385"/>
      <c r="C160" s="386"/>
      <c r="D160" s="386"/>
      <c r="E160" s="386"/>
      <c r="F160" s="386"/>
      <c r="G160" s="386"/>
      <c r="H160" s="387"/>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c r="BI160" s="351"/>
      <c r="BJ160" s="351"/>
      <c r="BK160" s="351"/>
      <c r="BL160" s="351"/>
      <c r="BM160" s="351"/>
      <c r="BN160" s="351"/>
      <c r="BO160" s="351"/>
      <c r="BP160" s="351"/>
      <c r="BQ160" s="351"/>
      <c r="BR160" s="351"/>
      <c r="BS160" s="351"/>
      <c r="BT160" s="351"/>
      <c r="BU160" s="351"/>
      <c r="BV160" s="351"/>
      <c r="BW160" s="351"/>
      <c r="BX160" s="351"/>
      <c r="BY160" s="351"/>
      <c r="BZ160" s="351"/>
      <c r="CA160" s="351"/>
      <c r="CB160" s="351"/>
      <c r="CC160" s="351"/>
      <c r="CD160" s="351"/>
      <c r="CE160" s="351"/>
      <c r="CF160" s="351"/>
      <c r="CG160" s="351"/>
      <c r="CH160" s="351"/>
      <c r="CI160" s="351"/>
      <c r="CJ160" s="351"/>
      <c r="CK160" s="351"/>
      <c r="CL160" s="351"/>
      <c r="CM160" s="351"/>
      <c r="CN160" s="351"/>
      <c r="CO160" s="351"/>
      <c r="CP160" s="351"/>
      <c r="CQ160" s="351"/>
      <c r="CR160" s="351"/>
      <c r="CS160" s="351"/>
      <c r="CT160" s="351"/>
      <c r="CU160" s="351"/>
      <c r="CV160" s="351"/>
      <c r="CW160" s="351"/>
      <c r="CX160" s="351"/>
      <c r="CY160" s="351"/>
      <c r="CZ160" s="351"/>
      <c r="DA160" s="351"/>
      <c r="DB160" s="351"/>
      <c r="DC160" s="351"/>
      <c r="DD160" s="351"/>
      <c r="DE160" s="7"/>
    </row>
    <row r="161" spans="1:109" ht="15" customHeight="1">
      <c r="A161" s="3"/>
      <c r="B161" s="353"/>
      <c r="C161" s="354"/>
      <c r="D161" s="354"/>
      <c r="E161" s="354"/>
      <c r="F161" s="354"/>
      <c r="G161" s="354"/>
      <c r="H161" s="355"/>
      <c r="I161" s="352"/>
      <c r="J161" s="352"/>
      <c r="K161" s="352"/>
      <c r="L161" s="352"/>
      <c r="M161" s="352"/>
      <c r="N161" s="352"/>
      <c r="O161" s="352"/>
      <c r="P161" s="352"/>
      <c r="Q161" s="352"/>
      <c r="R161" s="352"/>
      <c r="S161" s="352"/>
      <c r="T161" s="352"/>
      <c r="U161" s="352"/>
      <c r="V161" s="352"/>
      <c r="W161" s="352"/>
      <c r="X161" s="352"/>
      <c r="Y161" s="352"/>
      <c r="Z161" s="352"/>
      <c r="AA161" s="352"/>
      <c r="AB161" s="352"/>
      <c r="AC161" s="352"/>
      <c r="AD161" s="352"/>
      <c r="AE161" s="352"/>
      <c r="AF161" s="352"/>
      <c r="AG161" s="352"/>
      <c r="AH161" s="352"/>
      <c r="AI161" s="352"/>
      <c r="AJ161" s="352"/>
      <c r="AK161" s="352"/>
      <c r="AL161" s="352"/>
      <c r="AM161" s="352"/>
      <c r="AN161" s="352"/>
      <c r="AO161" s="352"/>
      <c r="AP161" s="352"/>
      <c r="AQ161" s="352"/>
      <c r="AR161" s="352"/>
      <c r="AS161" s="352"/>
      <c r="AT161" s="352"/>
      <c r="AU161" s="352"/>
      <c r="AV161" s="352"/>
      <c r="AW161" s="352"/>
      <c r="AX161" s="352"/>
      <c r="AY161" s="352"/>
      <c r="AZ161" s="352"/>
      <c r="BA161" s="352"/>
      <c r="BB161" s="352"/>
      <c r="BC161" s="352"/>
      <c r="BD161" s="352"/>
      <c r="BE161" s="352"/>
      <c r="BF161" s="352"/>
      <c r="BG161" s="352"/>
      <c r="BH161" s="352"/>
      <c r="BI161" s="352"/>
      <c r="BJ161" s="352"/>
      <c r="BK161" s="352"/>
      <c r="BL161" s="352"/>
      <c r="BM161" s="352"/>
      <c r="BN161" s="352"/>
      <c r="BO161" s="352"/>
      <c r="BP161" s="352"/>
      <c r="BQ161" s="352"/>
      <c r="BR161" s="352"/>
      <c r="BS161" s="352"/>
      <c r="BT161" s="352"/>
      <c r="BU161" s="352"/>
      <c r="BV161" s="352"/>
      <c r="BW161" s="352"/>
      <c r="BX161" s="352"/>
      <c r="BY161" s="352"/>
      <c r="BZ161" s="352"/>
      <c r="CA161" s="352"/>
      <c r="CB161" s="352"/>
      <c r="CC161" s="352"/>
      <c r="CD161" s="352"/>
      <c r="CE161" s="352"/>
      <c r="CF161" s="352"/>
      <c r="CG161" s="352"/>
      <c r="CH161" s="352"/>
      <c r="CI161" s="352"/>
      <c r="CJ161" s="352"/>
      <c r="CK161" s="352"/>
      <c r="CL161" s="352"/>
      <c r="CM161" s="352"/>
      <c r="CN161" s="352"/>
      <c r="CO161" s="352"/>
      <c r="CP161" s="352"/>
      <c r="CQ161" s="352"/>
      <c r="CR161" s="352"/>
      <c r="CS161" s="352"/>
      <c r="CT161" s="352"/>
      <c r="CU161" s="352"/>
      <c r="CV161" s="352"/>
      <c r="CW161" s="352"/>
      <c r="CX161" s="352"/>
      <c r="CY161" s="352"/>
      <c r="CZ161" s="352"/>
      <c r="DA161" s="352"/>
      <c r="DB161" s="352"/>
      <c r="DC161" s="352"/>
      <c r="DD161" s="352"/>
      <c r="DE161" s="24"/>
    </row>
    <row r="162" spans="1:109" ht="15" customHeight="1">
      <c r="A162" s="3"/>
      <c r="B162" s="356"/>
      <c r="C162" s="357"/>
      <c r="D162" s="357"/>
      <c r="E162" s="357"/>
      <c r="F162" s="357"/>
      <c r="G162" s="357"/>
      <c r="H162" s="358"/>
      <c r="I162" s="352"/>
      <c r="J162" s="352"/>
      <c r="K162" s="352"/>
      <c r="L162" s="352"/>
      <c r="M162" s="352"/>
      <c r="N162" s="352"/>
      <c r="O162" s="352"/>
      <c r="P162" s="352"/>
      <c r="Q162" s="352"/>
      <c r="R162" s="352"/>
      <c r="S162" s="352"/>
      <c r="T162" s="352"/>
      <c r="U162" s="352"/>
      <c r="V162" s="352"/>
      <c r="W162" s="352"/>
      <c r="X162" s="352"/>
      <c r="Y162" s="352"/>
      <c r="Z162" s="352"/>
      <c r="AA162" s="352"/>
      <c r="AB162" s="352"/>
      <c r="AC162" s="352"/>
      <c r="AD162" s="352"/>
      <c r="AE162" s="352"/>
      <c r="AF162" s="352"/>
      <c r="AG162" s="352"/>
      <c r="AH162" s="352"/>
      <c r="AI162" s="352"/>
      <c r="AJ162" s="352"/>
      <c r="AK162" s="352"/>
      <c r="AL162" s="352"/>
      <c r="AM162" s="352"/>
      <c r="AN162" s="352"/>
      <c r="AO162" s="352"/>
      <c r="AP162" s="352"/>
      <c r="AQ162" s="352"/>
      <c r="AR162" s="352"/>
      <c r="AS162" s="352"/>
      <c r="AT162" s="352"/>
      <c r="AU162" s="352"/>
      <c r="AV162" s="352"/>
      <c r="AW162" s="352"/>
      <c r="AX162" s="352"/>
      <c r="AY162" s="352"/>
      <c r="AZ162" s="352"/>
      <c r="BA162" s="352"/>
      <c r="BB162" s="352"/>
      <c r="BC162" s="352"/>
      <c r="BD162" s="352"/>
      <c r="BE162" s="352"/>
      <c r="BF162" s="352"/>
      <c r="BG162" s="352"/>
      <c r="BH162" s="352"/>
      <c r="BI162" s="352"/>
      <c r="BJ162" s="352"/>
      <c r="BK162" s="352"/>
      <c r="BL162" s="352"/>
      <c r="BM162" s="352"/>
      <c r="BN162" s="352"/>
      <c r="BO162" s="352"/>
      <c r="BP162" s="352"/>
      <c r="BQ162" s="352"/>
      <c r="BR162" s="352"/>
      <c r="BS162" s="352"/>
      <c r="BT162" s="352"/>
      <c r="BU162" s="352"/>
      <c r="BV162" s="352"/>
      <c r="BW162" s="352"/>
      <c r="BX162" s="352"/>
      <c r="BY162" s="352"/>
      <c r="BZ162" s="352"/>
      <c r="CA162" s="352"/>
      <c r="CB162" s="352"/>
      <c r="CC162" s="352"/>
      <c r="CD162" s="352"/>
      <c r="CE162" s="352"/>
      <c r="CF162" s="352"/>
      <c r="CG162" s="352"/>
      <c r="CH162" s="352"/>
      <c r="CI162" s="352"/>
      <c r="CJ162" s="352"/>
      <c r="CK162" s="352"/>
      <c r="CL162" s="352"/>
      <c r="CM162" s="352"/>
      <c r="CN162" s="352"/>
      <c r="CO162" s="352"/>
      <c r="CP162" s="352"/>
      <c r="CQ162" s="352"/>
      <c r="CR162" s="352"/>
      <c r="CS162" s="352"/>
      <c r="CT162" s="352"/>
      <c r="CU162" s="352"/>
      <c r="CV162" s="352"/>
      <c r="CW162" s="352"/>
      <c r="CX162" s="352"/>
      <c r="CY162" s="352"/>
      <c r="CZ162" s="352"/>
      <c r="DA162" s="352"/>
      <c r="DB162" s="352"/>
      <c r="DC162" s="352"/>
      <c r="DD162" s="352"/>
      <c r="DE162" s="7"/>
    </row>
    <row r="163" spans="1:109" ht="15" customHeight="1">
      <c r="A163" s="3"/>
      <c r="B163" s="382"/>
      <c r="C163" s="383"/>
      <c r="D163" s="383"/>
      <c r="E163" s="383"/>
      <c r="F163" s="383"/>
      <c r="G163" s="383"/>
      <c r="H163" s="384"/>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c r="BI163" s="351"/>
      <c r="BJ163" s="351"/>
      <c r="BK163" s="351"/>
      <c r="BL163" s="351"/>
      <c r="BM163" s="351"/>
      <c r="BN163" s="351"/>
      <c r="BO163" s="351"/>
      <c r="BP163" s="351"/>
      <c r="BQ163" s="351"/>
      <c r="BR163" s="351"/>
      <c r="BS163" s="351"/>
      <c r="BT163" s="351"/>
      <c r="BU163" s="351"/>
      <c r="BV163" s="351"/>
      <c r="BW163" s="351"/>
      <c r="BX163" s="351"/>
      <c r="BY163" s="351"/>
      <c r="BZ163" s="351"/>
      <c r="CA163" s="351"/>
      <c r="CB163" s="351"/>
      <c r="CC163" s="351"/>
      <c r="CD163" s="351"/>
      <c r="CE163" s="351"/>
      <c r="CF163" s="351"/>
      <c r="CG163" s="351"/>
      <c r="CH163" s="351"/>
      <c r="CI163" s="351"/>
      <c r="CJ163" s="351"/>
      <c r="CK163" s="351"/>
      <c r="CL163" s="351"/>
      <c r="CM163" s="351"/>
      <c r="CN163" s="351"/>
      <c r="CO163" s="351"/>
      <c r="CP163" s="351"/>
      <c r="CQ163" s="351"/>
      <c r="CR163" s="351"/>
      <c r="CS163" s="351"/>
      <c r="CT163" s="351"/>
      <c r="CU163" s="351"/>
      <c r="CV163" s="351"/>
      <c r="CW163" s="351"/>
      <c r="CX163" s="351"/>
      <c r="CY163" s="351"/>
      <c r="CZ163" s="351"/>
      <c r="DA163" s="351"/>
      <c r="DB163" s="351"/>
      <c r="DC163" s="351"/>
      <c r="DD163" s="351"/>
      <c r="DE163" s="7"/>
    </row>
    <row r="164" spans="1:109" ht="15" customHeight="1">
      <c r="A164" s="6"/>
      <c r="B164" s="385"/>
      <c r="C164" s="386"/>
      <c r="D164" s="386"/>
      <c r="E164" s="386"/>
      <c r="F164" s="386"/>
      <c r="G164" s="386"/>
      <c r="H164" s="387"/>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c r="BI164" s="351"/>
      <c r="BJ164" s="351"/>
      <c r="BK164" s="351"/>
      <c r="BL164" s="351"/>
      <c r="BM164" s="351"/>
      <c r="BN164" s="351"/>
      <c r="BO164" s="351"/>
      <c r="BP164" s="351"/>
      <c r="BQ164" s="351"/>
      <c r="BR164" s="351"/>
      <c r="BS164" s="351"/>
      <c r="BT164" s="351"/>
      <c r="BU164" s="351"/>
      <c r="BV164" s="351"/>
      <c r="BW164" s="351"/>
      <c r="BX164" s="351"/>
      <c r="BY164" s="351"/>
      <c r="BZ164" s="351"/>
      <c r="CA164" s="351"/>
      <c r="CB164" s="351"/>
      <c r="CC164" s="351"/>
      <c r="CD164" s="351"/>
      <c r="CE164" s="351"/>
      <c r="CF164" s="351"/>
      <c r="CG164" s="351"/>
      <c r="CH164" s="351"/>
      <c r="CI164" s="351"/>
      <c r="CJ164" s="351"/>
      <c r="CK164" s="351"/>
      <c r="CL164" s="351"/>
      <c r="CM164" s="351"/>
      <c r="CN164" s="351"/>
      <c r="CO164" s="351"/>
      <c r="CP164" s="351"/>
      <c r="CQ164" s="351"/>
      <c r="CR164" s="351"/>
      <c r="CS164" s="351"/>
      <c r="CT164" s="351"/>
      <c r="CU164" s="351"/>
      <c r="CV164" s="351"/>
      <c r="CW164" s="351"/>
      <c r="CX164" s="351"/>
      <c r="CY164" s="351"/>
      <c r="CZ164" s="351"/>
      <c r="DA164" s="351"/>
      <c r="DB164" s="351"/>
      <c r="DC164" s="351"/>
      <c r="DD164" s="351"/>
      <c r="DE164" s="7"/>
    </row>
    <row r="165" spans="1:109" ht="15" customHeight="1" thickBot="1">
      <c r="A165" s="25"/>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4"/>
    </row>
    <row r="166" spans="1:109" ht="15" customHeight="1">
      <c r="A166" s="388"/>
      <c r="B166" s="389"/>
      <c r="C166" s="389"/>
      <c r="D166" s="389"/>
      <c r="E166" s="389"/>
      <c r="F166" s="389"/>
      <c r="G166" s="389"/>
      <c r="H166" s="389"/>
      <c r="I166" s="389"/>
      <c r="J166" s="389"/>
      <c r="K166" s="389"/>
      <c r="L166" s="389"/>
      <c r="M166" s="389"/>
      <c r="N166" s="389"/>
      <c r="O166" s="389"/>
      <c r="P166" s="389"/>
      <c r="Q166" s="389"/>
      <c r="R166" s="389"/>
      <c r="S166" s="389"/>
      <c r="T166" s="389"/>
      <c r="U166" s="389"/>
      <c r="V166" s="389"/>
      <c r="W166" s="389"/>
      <c r="X166" s="389"/>
      <c r="Y166" s="389"/>
      <c r="Z166" s="389"/>
      <c r="AA166" s="389"/>
      <c r="AB166" s="389"/>
      <c r="AC166" s="389"/>
      <c r="AD166" s="389"/>
      <c r="AE166" s="389"/>
      <c r="AF166" s="389"/>
      <c r="AG166" s="389"/>
      <c r="AH166" s="389"/>
      <c r="AI166" s="389"/>
      <c r="AJ166" s="389"/>
      <c r="AK166" s="389"/>
      <c r="AL166" s="389"/>
      <c r="AM166" s="389"/>
      <c r="AN166" s="389"/>
      <c r="AO166" s="389"/>
      <c r="AP166" s="389"/>
      <c r="AQ166" s="389"/>
      <c r="AR166" s="389"/>
      <c r="AS166" s="389"/>
      <c r="AT166" s="389"/>
      <c r="AU166" s="389"/>
      <c r="AV166" s="389"/>
      <c r="AW166" s="389"/>
      <c r="AX166" s="389"/>
      <c r="AY166" s="389"/>
      <c r="AZ166" s="389"/>
      <c r="BA166" s="389"/>
      <c r="BB166" s="389"/>
      <c r="BC166" s="389"/>
      <c r="BD166" s="389"/>
      <c r="BE166" s="389"/>
      <c r="BF166" s="389"/>
      <c r="BG166" s="389"/>
      <c r="BH166" s="389"/>
      <c r="BI166" s="389"/>
      <c r="BJ166" s="389"/>
      <c r="BK166" s="389"/>
      <c r="BL166" s="389"/>
      <c r="BM166" s="389"/>
      <c r="BN166" s="389"/>
      <c r="BO166" s="389"/>
      <c r="BP166" s="389"/>
      <c r="BQ166" s="389"/>
      <c r="BR166" s="389"/>
      <c r="BS166" s="389"/>
      <c r="BT166" s="389"/>
      <c r="BU166" s="389"/>
      <c r="BV166" s="389"/>
      <c r="BW166" s="389"/>
      <c r="BX166" s="389"/>
      <c r="BY166" s="389"/>
      <c r="BZ166" s="389"/>
      <c r="CA166" s="389"/>
      <c r="CB166" s="389"/>
      <c r="CC166" s="389"/>
      <c r="CD166" s="389"/>
      <c r="CE166" s="389"/>
      <c r="CF166" s="389"/>
      <c r="CG166" s="389"/>
      <c r="CH166" s="389"/>
      <c r="CI166" s="389"/>
      <c r="CJ166" s="389"/>
      <c r="CK166" s="389"/>
      <c r="CL166" s="389"/>
      <c r="CM166" s="389"/>
      <c r="CN166" s="389"/>
      <c r="CO166" s="389"/>
      <c r="CP166" s="389"/>
      <c r="CQ166" s="389"/>
      <c r="CR166" s="389"/>
      <c r="CS166" s="389"/>
      <c r="CT166" s="389"/>
      <c r="CU166" s="389"/>
      <c r="CV166" s="361" t="s">
        <v>1</v>
      </c>
      <c r="CW166" s="361"/>
      <c r="CX166" s="361"/>
      <c r="CY166" s="361"/>
      <c r="CZ166" s="361"/>
      <c r="DA166" s="361"/>
      <c r="DB166" s="361"/>
      <c r="DC166" s="361"/>
      <c r="DD166" s="361"/>
      <c r="DE166" s="362"/>
    </row>
    <row r="167" spans="1:109" ht="15" customHeight="1">
      <c r="A167" s="390"/>
      <c r="B167" s="391"/>
      <c r="C167" s="391"/>
      <c r="D167" s="391"/>
      <c r="E167" s="391"/>
      <c r="F167" s="391"/>
      <c r="G167" s="391"/>
      <c r="H167" s="391"/>
      <c r="I167" s="391"/>
      <c r="J167" s="391"/>
      <c r="K167" s="391"/>
      <c r="L167" s="391"/>
      <c r="M167" s="391"/>
      <c r="N167" s="391"/>
      <c r="O167" s="391"/>
      <c r="P167" s="391"/>
      <c r="Q167" s="391"/>
      <c r="R167" s="391"/>
      <c r="S167" s="391"/>
      <c r="T167" s="391"/>
      <c r="U167" s="391"/>
      <c r="V167" s="391"/>
      <c r="W167" s="391"/>
      <c r="X167" s="391"/>
      <c r="Y167" s="391"/>
      <c r="Z167" s="391"/>
      <c r="AA167" s="391"/>
      <c r="AB167" s="391"/>
      <c r="AC167" s="391"/>
      <c r="AD167" s="391"/>
      <c r="AE167" s="391"/>
      <c r="AF167" s="391"/>
      <c r="AG167" s="391"/>
      <c r="AH167" s="391"/>
      <c r="AI167" s="391"/>
      <c r="AJ167" s="391"/>
      <c r="AK167" s="391"/>
      <c r="AL167" s="391"/>
      <c r="AM167" s="391"/>
      <c r="AN167" s="391"/>
      <c r="AO167" s="391"/>
      <c r="AP167" s="391"/>
      <c r="AQ167" s="391"/>
      <c r="AR167" s="391"/>
      <c r="AS167" s="391"/>
      <c r="AT167" s="391"/>
      <c r="AU167" s="391"/>
      <c r="AV167" s="391"/>
      <c r="AW167" s="391"/>
      <c r="AX167" s="391"/>
      <c r="AY167" s="391"/>
      <c r="AZ167" s="391"/>
      <c r="BA167" s="391"/>
      <c r="BB167" s="391"/>
      <c r="BC167" s="391"/>
      <c r="BD167" s="391"/>
      <c r="BE167" s="391"/>
      <c r="BF167" s="391"/>
      <c r="BG167" s="391"/>
      <c r="BH167" s="391"/>
      <c r="BI167" s="391"/>
      <c r="BJ167" s="391"/>
      <c r="BK167" s="391"/>
      <c r="BL167" s="391"/>
      <c r="BM167" s="391"/>
      <c r="BN167" s="391"/>
      <c r="BO167" s="391"/>
      <c r="BP167" s="391"/>
      <c r="BQ167" s="391"/>
      <c r="BR167" s="391"/>
      <c r="BS167" s="391"/>
      <c r="BT167" s="391"/>
      <c r="BU167" s="391"/>
      <c r="BV167" s="391"/>
      <c r="BW167" s="391"/>
      <c r="BX167" s="391"/>
      <c r="BY167" s="391"/>
      <c r="BZ167" s="391"/>
      <c r="CA167" s="391"/>
      <c r="CB167" s="391"/>
      <c r="CC167" s="391"/>
      <c r="CD167" s="391"/>
      <c r="CE167" s="391"/>
      <c r="CF167" s="391"/>
      <c r="CG167" s="391"/>
      <c r="CH167" s="391"/>
      <c r="CI167" s="391"/>
      <c r="CJ167" s="391"/>
      <c r="CK167" s="391"/>
      <c r="CL167" s="391"/>
      <c r="CM167" s="391"/>
      <c r="CN167" s="391"/>
      <c r="CO167" s="391"/>
      <c r="CP167" s="391"/>
      <c r="CQ167" s="391"/>
      <c r="CR167" s="391"/>
      <c r="CS167" s="391"/>
      <c r="CT167" s="391"/>
      <c r="CU167" s="391"/>
      <c r="CV167" s="363"/>
      <c r="CW167" s="363"/>
      <c r="CX167" s="363"/>
      <c r="CY167" s="363"/>
      <c r="CZ167" s="363"/>
      <c r="DA167" s="363"/>
      <c r="DB167" s="363"/>
      <c r="DC167" s="363"/>
      <c r="DD167" s="363"/>
      <c r="DE167" s="364"/>
    </row>
    <row r="168" spans="1:109" ht="15" customHeight="1">
      <c r="A168" s="390"/>
      <c r="B168" s="391"/>
      <c r="C168" s="391"/>
      <c r="D168" s="391"/>
      <c r="E168" s="391"/>
      <c r="F168" s="391"/>
      <c r="G168" s="391"/>
      <c r="H168" s="391"/>
      <c r="I168" s="391"/>
      <c r="J168" s="391"/>
      <c r="K168" s="391"/>
      <c r="L168" s="391"/>
      <c r="M168" s="391"/>
      <c r="N168" s="391"/>
      <c r="O168" s="391"/>
      <c r="P168" s="391"/>
      <c r="Q168" s="391"/>
      <c r="R168" s="391"/>
      <c r="S168" s="391"/>
      <c r="T168" s="391"/>
      <c r="U168" s="391"/>
      <c r="V168" s="391"/>
      <c r="W168" s="391"/>
      <c r="X168" s="391"/>
      <c r="Y168" s="391"/>
      <c r="Z168" s="391"/>
      <c r="AA168" s="391"/>
      <c r="AB168" s="391"/>
      <c r="AC168" s="391"/>
      <c r="AD168" s="391"/>
      <c r="AE168" s="391"/>
      <c r="AF168" s="391"/>
      <c r="AG168" s="391"/>
      <c r="AH168" s="391"/>
      <c r="AI168" s="391"/>
      <c r="AJ168" s="391"/>
      <c r="AK168" s="391"/>
      <c r="AL168" s="391"/>
      <c r="AM168" s="391"/>
      <c r="AN168" s="391"/>
      <c r="AO168" s="391"/>
      <c r="AP168" s="391"/>
      <c r="AQ168" s="391"/>
      <c r="AR168" s="391"/>
      <c r="AS168" s="391"/>
      <c r="AT168" s="391"/>
      <c r="AU168" s="391"/>
      <c r="AV168" s="391"/>
      <c r="AW168" s="391"/>
      <c r="AX168" s="391"/>
      <c r="AY168" s="391"/>
      <c r="AZ168" s="391"/>
      <c r="BA168" s="391"/>
      <c r="BB168" s="391"/>
      <c r="BC168" s="391"/>
      <c r="BD168" s="391"/>
      <c r="BE168" s="391"/>
      <c r="BF168" s="391"/>
      <c r="BG168" s="391"/>
      <c r="BH168" s="391"/>
      <c r="BI168" s="391"/>
      <c r="BJ168" s="391"/>
      <c r="BK168" s="391"/>
      <c r="BL168" s="391"/>
      <c r="BM168" s="391"/>
      <c r="BN168" s="391"/>
      <c r="BO168" s="391"/>
      <c r="BP168" s="391"/>
      <c r="BQ168" s="391"/>
      <c r="BR168" s="391"/>
      <c r="BS168" s="391"/>
      <c r="BT168" s="391"/>
      <c r="BU168" s="391"/>
      <c r="BV168" s="391"/>
      <c r="BW168" s="391"/>
      <c r="BX168" s="391"/>
      <c r="BY168" s="391"/>
      <c r="BZ168" s="391"/>
      <c r="CA168" s="391"/>
      <c r="CB168" s="391"/>
      <c r="CC168" s="391"/>
      <c r="CD168" s="391"/>
      <c r="CE168" s="391"/>
      <c r="CF168" s="391"/>
      <c r="CG168" s="391"/>
      <c r="CH168" s="391"/>
      <c r="CI168" s="391"/>
      <c r="CJ168" s="391"/>
      <c r="CK168" s="391"/>
      <c r="CL168" s="391"/>
      <c r="CM168" s="391"/>
      <c r="CN168" s="391"/>
      <c r="CO168" s="391"/>
      <c r="CP168" s="391"/>
      <c r="CQ168" s="391"/>
      <c r="CR168" s="391"/>
      <c r="CS168" s="391"/>
      <c r="CT168" s="391"/>
      <c r="CU168" s="391"/>
      <c r="CV168" s="363"/>
      <c r="CW168" s="363"/>
      <c r="CX168" s="363"/>
      <c r="CY168" s="363"/>
      <c r="CZ168" s="363"/>
      <c r="DA168" s="363"/>
      <c r="DB168" s="363"/>
      <c r="DC168" s="363"/>
      <c r="DD168" s="363"/>
      <c r="DE168" s="364"/>
    </row>
    <row r="169" spans="1:109" ht="15" customHeight="1">
      <c r="A169" s="390"/>
      <c r="B169" s="391"/>
      <c r="C169" s="391"/>
      <c r="D169" s="391"/>
      <c r="E169" s="391"/>
      <c r="F169" s="391"/>
      <c r="G169" s="391"/>
      <c r="H169" s="391"/>
      <c r="I169" s="391"/>
      <c r="J169" s="391"/>
      <c r="K169" s="391"/>
      <c r="L169" s="391"/>
      <c r="M169" s="391"/>
      <c r="N169" s="391"/>
      <c r="O169" s="391"/>
      <c r="P169" s="391"/>
      <c r="Q169" s="391"/>
      <c r="R169" s="391"/>
      <c r="S169" s="391"/>
      <c r="T169" s="391"/>
      <c r="U169" s="391"/>
      <c r="V169" s="391"/>
      <c r="W169" s="391"/>
      <c r="X169" s="391"/>
      <c r="Y169" s="391"/>
      <c r="Z169" s="391"/>
      <c r="AA169" s="391"/>
      <c r="AB169" s="391"/>
      <c r="AC169" s="391"/>
      <c r="AD169" s="391"/>
      <c r="AE169" s="391"/>
      <c r="AF169" s="391"/>
      <c r="AG169" s="391"/>
      <c r="AH169" s="391"/>
      <c r="AI169" s="391"/>
      <c r="AJ169" s="391"/>
      <c r="AK169" s="391"/>
      <c r="AL169" s="391"/>
      <c r="AM169" s="391"/>
      <c r="AN169" s="391"/>
      <c r="AO169" s="391"/>
      <c r="AP169" s="391"/>
      <c r="AQ169" s="391"/>
      <c r="AR169" s="391"/>
      <c r="AS169" s="391"/>
      <c r="AT169" s="391"/>
      <c r="AU169" s="391"/>
      <c r="AV169" s="391"/>
      <c r="AW169" s="391"/>
      <c r="AX169" s="391"/>
      <c r="AY169" s="391"/>
      <c r="AZ169" s="391"/>
      <c r="BA169" s="391"/>
      <c r="BB169" s="391"/>
      <c r="BC169" s="391"/>
      <c r="BD169" s="391"/>
      <c r="BE169" s="391"/>
      <c r="BF169" s="391"/>
      <c r="BG169" s="391"/>
      <c r="BH169" s="391"/>
      <c r="BI169" s="391"/>
      <c r="BJ169" s="391"/>
      <c r="BK169" s="391"/>
      <c r="BL169" s="391"/>
      <c r="BM169" s="391"/>
      <c r="BN169" s="391"/>
      <c r="BO169" s="391"/>
      <c r="BP169" s="391"/>
      <c r="BQ169" s="391"/>
      <c r="BR169" s="391"/>
      <c r="BS169" s="391"/>
      <c r="BT169" s="391"/>
      <c r="BU169" s="391"/>
      <c r="BV169" s="391"/>
      <c r="BW169" s="391"/>
      <c r="BX169" s="391"/>
      <c r="BY169" s="391"/>
      <c r="BZ169" s="391"/>
      <c r="CA169" s="391"/>
      <c r="CB169" s="391"/>
      <c r="CC169" s="391"/>
      <c r="CD169" s="391"/>
      <c r="CE169" s="391"/>
      <c r="CF169" s="391"/>
      <c r="CG169" s="391"/>
      <c r="CH169" s="391"/>
      <c r="CI169" s="391"/>
      <c r="CJ169" s="391"/>
      <c r="CK169" s="391"/>
      <c r="CL169" s="391"/>
      <c r="CM169" s="391"/>
      <c r="CN169" s="391"/>
      <c r="CO169" s="391"/>
      <c r="CP169" s="391"/>
      <c r="CQ169" s="391"/>
      <c r="CR169" s="391"/>
      <c r="CS169" s="391"/>
      <c r="CT169" s="391"/>
      <c r="CU169" s="391"/>
      <c r="CV169" s="363"/>
      <c r="CW169" s="363"/>
      <c r="CX169" s="363"/>
      <c r="CY169" s="363"/>
      <c r="CZ169" s="363"/>
      <c r="DA169" s="363"/>
      <c r="DB169" s="363"/>
      <c r="DC169" s="363"/>
      <c r="DD169" s="363"/>
      <c r="DE169" s="364"/>
    </row>
    <row r="170" spans="1:109" ht="15" customHeight="1">
      <c r="A170" s="390"/>
      <c r="B170" s="391"/>
      <c r="C170" s="391"/>
      <c r="D170" s="391"/>
      <c r="E170" s="391"/>
      <c r="F170" s="391"/>
      <c r="G170" s="391"/>
      <c r="H170" s="391"/>
      <c r="I170" s="391"/>
      <c r="J170" s="391"/>
      <c r="K170" s="391"/>
      <c r="L170" s="391"/>
      <c r="M170" s="391"/>
      <c r="N170" s="391"/>
      <c r="O170" s="391"/>
      <c r="P170" s="391"/>
      <c r="Q170" s="391"/>
      <c r="R170" s="391"/>
      <c r="S170" s="391"/>
      <c r="T170" s="391"/>
      <c r="U170" s="391"/>
      <c r="V170" s="391"/>
      <c r="W170" s="391"/>
      <c r="X170" s="391"/>
      <c r="Y170" s="391"/>
      <c r="Z170" s="391"/>
      <c r="AA170" s="391"/>
      <c r="AB170" s="391"/>
      <c r="AC170" s="391"/>
      <c r="AD170" s="391"/>
      <c r="AE170" s="391"/>
      <c r="AF170" s="391"/>
      <c r="AG170" s="391"/>
      <c r="AH170" s="391"/>
      <c r="AI170" s="391"/>
      <c r="AJ170" s="391"/>
      <c r="AK170" s="391"/>
      <c r="AL170" s="391"/>
      <c r="AM170" s="391"/>
      <c r="AN170" s="391"/>
      <c r="AO170" s="391"/>
      <c r="AP170" s="391"/>
      <c r="AQ170" s="391"/>
      <c r="AR170" s="391"/>
      <c r="AS170" s="391"/>
      <c r="AT170" s="391"/>
      <c r="AU170" s="391"/>
      <c r="AV170" s="391"/>
      <c r="AW170" s="391"/>
      <c r="AX170" s="391"/>
      <c r="AY170" s="391"/>
      <c r="AZ170" s="391"/>
      <c r="BA170" s="391"/>
      <c r="BB170" s="391"/>
      <c r="BC170" s="391"/>
      <c r="BD170" s="391"/>
      <c r="BE170" s="391"/>
      <c r="BF170" s="391"/>
      <c r="BG170" s="391"/>
      <c r="BH170" s="391"/>
      <c r="BI170" s="391"/>
      <c r="BJ170" s="391"/>
      <c r="BK170" s="391"/>
      <c r="BL170" s="391"/>
      <c r="BM170" s="391"/>
      <c r="BN170" s="391"/>
      <c r="BO170" s="391"/>
      <c r="BP170" s="391"/>
      <c r="BQ170" s="391"/>
      <c r="BR170" s="391"/>
      <c r="BS170" s="391"/>
      <c r="BT170" s="391"/>
      <c r="BU170" s="391"/>
      <c r="BV170" s="391"/>
      <c r="BW170" s="391"/>
      <c r="BX170" s="391"/>
      <c r="BY170" s="391"/>
      <c r="BZ170" s="391"/>
      <c r="CA170" s="391"/>
      <c r="CB170" s="391"/>
      <c r="CC170" s="391"/>
      <c r="CD170" s="391"/>
      <c r="CE170" s="391"/>
      <c r="CF170" s="391"/>
      <c r="CG170" s="391"/>
      <c r="CH170" s="391"/>
      <c r="CI170" s="391"/>
      <c r="CJ170" s="391"/>
      <c r="CK170" s="391"/>
      <c r="CL170" s="391"/>
      <c r="CM170" s="391"/>
      <c r="CN170" s="391"/>
      <c r="CO170" s="391"/>
      <c r="CP170" s="391"/>
      <c r="CQ170" s="391"/>
      <c r="CR170" s="391"/>
      <c r="CS170" s="391"/>
      <c r="CT170" s="391"/>
      <c r="CU170" s="391"/>
      <c r="CV170" s="363"/>
      <c r="CW170" s="363"/>
      <c r="CX170" s="363"/>
      <c r="CY170" s="363"/>
      <c r="CZ170" s="363"/>
      <c r="DA170" s="363"/>
      <c r="DB170" s="363"/>
      <c r="DC170" s="363"/>
      <c r="DD170" s="363"/>
      <c r="DE170" s="364"/>
    </row>
    <row r="171" spans="1:109" ht="15" customHeight="1" thickBot="1">
      <c r="A171" s="390"/>
      <c r="B171" s="391"/>
      <c r="C171" s="391"/>
      <c r="D171" s="391"/>
      <c r="E171" s="391"/>
      <c r="F171" s="391"/>
      <c r="G171" s="391"/>
      <c r="H171" s="391"/>
      <c r="I171" s="391"/>
      <c r="J171" s="391"/>
      <c r="K171" s="391"/>
      <c r="L171" s="391"/>
      <c r="M171" s="391"/>
      <c r="N171" s="391"/>
      <c r="O171" s="391"/>
      <c r="P171" s="391"/>
      <c r="Q171" s="391"/>
      <c r="R171" s="391"/>
      <c r="S171" s="391"/>
      <c r="T171" s="391"/>
      <c r="U171" s="391"/>
      <c r="V171" s="391"/>
      <c r="W171" s="391"/>
      <c r="X171" s="391"/>
      <c r="Y171" s="391"/>
      <c r="Z171" s="391"/>
      <c r="AA171" s="391"/>
      <c r="AB171" s="391"/>
      <c r="AC171" s="391"/>
      <c r="AD171" s="391"/>
      <c r="AE171" s="391"/>
      <c r="AF171" s="391"/>
      <c r="AG171" s="391"/>
      <c r="AH171" s="391"/>
      <c r="AI171" s="391"/>
      <c r="AJ171" s="391"/>
      <c r="AK171" s="391"/>
      <c r="AL171" s="391"/>
      <c r="AM171" s="391"/>
      <c r="AN171" s="391"/>
      <c r="AO171" s="391"/>
      <c r="AP171" s="391"/>
      <c r="AQ171" s="391"/>
      <c r="AR171" s="391"/>
      <c r="AS171" s="391"/>
      <c r="AT171" s="391"/>
      <c r="AU171" s="391"/>
      <c r="AV171" s="391"/>
      <c r="AW171" s="391"/>
      <c r="AX171" s="391"/>
      <c r="AY171" s="391"/>
      <c r="AZ171" s="391"/>
      <c r="BA171" s="391"/>
      <c r="BB171" s="391"/>
      <c r="BC171" s="391"/>
      <c r="BD171" s="391"/>
      <c r="BE171" s="391"/>
      <c r="BF171" s="391"/>
      <c r="BG171" s="391"/>
      <c r="BH171" s="391"/>
      <c r="BI171" s="391"/>
      <c r="BJ171" s="391"/>
      <c r="BK171" s="391"/>
      <c r="BL171" s="391"/>
      <c r="BM171" s="391"/>
      <c r="BN171" s="391"/>
      <c r="BO171" s="391"/>
      <c r="BP171" s="391"/>
      <c r="BQ171" s="391"/>
      <c r="BR171" s="391"/>
      <c r="BS171" s="391"/>
      <c r="BT171" s="391"/>
      <c r="BU171" s="391"/>
      <c r="BV171" s="391"/>
      <c r="BW171" s="391"/>
      <c r="BX171" s="391"/>
      <c r="BY171" s="391"/>
      <c r="BZ171" s="391"/>
      <c r="CA171" s="391"/>
      <c r="CB171" s="391"/>
      <c r="CC171" s="391"/>
      <c r="CD171" s="391"/>
      <c r="CE171" s="391"/>
      <c r="CF171" s="391"/>
      <c r="CG171" s="391"/>
      <c r="CH171" s="391"/>
      <c r="CI171" s="391"/>
      <c r="CJ171" s="391"/>
      <c r="CK171" s="391"/>
      <c r="CL171" s="391"/>
      <c r="CM171" s="391"/>
      <c r="CN171" s="391"/>
      <c r="CO171" s="391"/>
      <c r="CP171" s="391"/>
      <c r="CQ171" s="391"/>
      <c r="CR171" s="391"/>
      <c r="CS171" s="391"/>
      <c r="CT171" s="391"/>
      <c r="CU171" s="391"/>
      <c r="CV171" s="365"/>
      <c r="CW171" s="365"/>
      <c r="CX171" s="365"/>
      <c r="CY171" s="365"/>
      <c r="CZ171" s="365"/>
      <c r="DA171" s="365"/>
      <c r="DB171" s="365"/>
      <c r="DC171" s="365"/>
      <c r="DD171" s="365"/>
      <c r="DE171" s="366"/>
    </row>
    <row r="172" spans="1:109" ht="15" customHeight="1">
      <c r="A172" s="392" t="s">
        <v>83</v>
      </c>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c r="AA172" s="393"/>
      <c r="AB172" s="393"/>
      <c r="AC172" s="393"/>
      <c r="AD172" s="393"/>
      <c r="AE172" s="393"/>
      <c r="AF172" s="393"/>
      <c r="AG172" s="393"/>
      <c r="AH172" s="393"/>
      <c r="AI172" s="393"/>
      <c r="AJ172" s="393"/>
      <c r="AK172" s="393"/>
      <c r="AL172" s="393"/>
      <c r="AM172" s="393"/>
      <c r="AN172" s="393"/>
      <c r="AO172" s="393"/>
      <c r="AP172" s="393"/>
      <c r="AQ172" s="393"/>
      <c r="AR172" s="393"/>
      <c r="AS172" s="393"/>
      <c r="AT172" s="393"/>
      <c r="AU172" s="393"/>
      <c r="AV172" s="393"/>
      <c r="AW172" s="393"/>
      <c r="AX172" s="393"/>
      <c r="AY172" s="393"/>
      <c r="AZ172" s="393"/>
      <c r="BA172" s="393"/>
      <c r="BB172" s="393"/>
      <c r="BC172" s="393"/>
      <c r="BD172" s="393"/>
      <c r="BE172" s="393"/>
      <c r="BF172" s="393"/>
      <c r="BG172" s="393"/>
      <c r="BH172" s="393"/>
      <c r="BI172" s="393"/>
      <c r="BJ172" s="393"/>
      <c r="BK172" s="393"/>
      <c r="BL172" s="393"/>
      <c r="BM172" s="393"/>
      <c r="BN172" s="393"/>
      <c r="BO172" s="393"/>
      <c r="BP172" s="393"/>
      <c r="BQ172" s="393"/>
      <c r="BR172" s="393"/>
      <c r="BS172" s="393"/>
      <c r="BT172" s="393"/>
      <c r="BU172" s="393"/>
      <c r="BV172" s="393"/>
      <c r="BW172" s="393"/>
      <c r="BX172" s="393"/>
      <c r="BY172" s="393"/>
      <c r="BZ172" s="393"/>
      <c r="CA172" s="393"/>
      <c r="CB172" s="393"/>
      <c r="CC172" s="393"/>
      <c r="CD172" s="393"/>
      <c r="CE172" s="393"/>
      <c r="CF172" s="393"/>
      <c r="CG172" s="393"/>
      <c r="CH172" s="393"/>
      <c r="CI172" s="393"/>
      <c r="CJ172" s="393"/>
      <c r="CK172" s="393"/>
      <c r="CL172" s="393"/>
      <c r="CM172" s="393"/>
      <c r="CN172" s="393"/>
      <c r="CO172" s="393"/>
      <c r="CP172" s="367" t="s">
        <v>3</v>
      </c>
      <c r="CQ172" s="367"/>
      <c r="CR172" s="367"/>
      <c r="CS172" s="367"/>
      <c r="CT172" s="367"/>
      <c r="CU172" s="367"/>
      <c r="CV172" s="367"/>
      <c r="CW172" s="367"/>
      <c r="CX172" s="367"/>
      <c r="CY172" s="367"/>
      <c r="CZ172" s="367"/>
      <c r="DA172" s="367"/>
      <c r="DB172" s="367"/>
      <c r="DC172" s="367"/>
      <c r="DD172" s="367"/>
      <c r="DE172" s="368"/>
    </row>
    <row r="173" spans="1:109" ht="15" customHeight="1">
      <c r="A173" s="392"/>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c r="AA173" s="393"/>
      <c r="AB173" s="393"/>
      <c r="AC173" s="393"/>
      <c r="AD173" s="393"/>
      <c r="AE173" s="393"/>
      <c r="AF173" s="393"/>
      <c r="AG173" s="393"/>
      <c r="AH173" s="393"/>
      <c r="AI173" s="393"/>
      <c r="AJ173" s="393"/>
      <c r="AK173" s="393"/>
      <c r="AL173" s="393"/>
      <c r="AM173" s="393"/>
      <c r="AN173" s="393"/>
      <c r="AO173" s="393"/>
      <c r="AP173" s="393"/>
      <c r="AQ173" s="393"/>
      <c r="AR173" s="393"/>
      <c r="AS173" s="393"/>
      <c r="AT173" s="393"/>
      <c r="AU173" s="393"/>
      <c r="AV173" s="393"/>
      <c r="AW173" s="393"/>
      <c r="AX173" s="393"/>
      <c r="AY173" s="393"/>
      <c r="AZ173" s="393"/>
      <c r="BA173" s="393"/>
      <c r="BB173" s="393"/>
      <c r="BC173" s="393"/>
      <c r="BD173" s="393"/>
      <c r="BE173" s="393"/>
      <c r="BF173" s="393"/>
      <c r="BG173" s="393"/>
      <c r="BH173" s="393"/>
      <c r="BI173" s="393"/>
      <c r="BJ173" s="393"/>
      <c r="BK173" s="393"/>
      <c r="BL173" s="393"/>
      <c r="BM173" s="393"/>
      <c r="BN173" s="393"/>
      <c r="BO173" s="393"/>
      <c r="BP173" s="393"/>
      <c r="BQ173" s="393"/>
      <c r="BR173" s="393"/>
      <c r="BS173" s="393"/>
      <c r="BT173" s="393"/>
      <c r="BU173" s="393"/>
      <c r="BV173" s="393"/>
      <c r="BW173" s="393"/>
      <c r="BX173" s="393"/>
      <c r="BY173" s="393"/>
      <c r="BZ173" s="393"/>
      <c r="CA173" s="393"/>
      <c r="CB173" s="393"/>
      <c r="CC173" s="393"/>
      <c r="CD173" s="393"/>
      <c r="CE173" s="393"/>
      <c r="CF173" s="393"/>
      <c r="CG173" s="393"/>
      <c r="CH173" s="393"/>
      <c r="CI173" s="393"/>
      <c r="CJ173" s="393"/>
      <c r="CK173" s="393"/>
      <c r="CL173" s="393"/>
      <c r="CM173" s="393"/>
      <c r="CN173" s="393"/>
      <c r="CO173" s="393"/>
      <c r="CP173" s="367"/>
      <c r="CQ173" s="367"/>
      <c r="CR173" s="367"/>
      <c r="CS173" s="367"/>
      <c r="CT173" s="367"/>
      <c r="CU173" s="367"/>
      <c r="CV173" s="367"/>
      <c r="CW173" s="367"/>
      <c r="CX173" s="367"/>
      <c r="CY173" s="367"/>
      <c r="CZ173" s="367"/>
      <c r="DA173" s="367"/>
      <c r="DB173" s="367"/>
      <c r="DC173" s="367"/>
      <c r="DD173" s="367"/>
      <c r="DE173" s="368"/>
    </row>
    <row r="174" spans="1:109" ht="15" customHeight="1">
      <c r="A174" s="375" t="s">
        <v>4</v>
      </c>
      <c r="B174" s="369"/>
      <c r="C174" s="369"/>
      <c r="D174" s="369"/>
      <c r="E174" s="369"/>
      <c r="F174" s="369"/>
      <c r="G174" s="369"/>
      <c r="H174" s="369"/>
      <c r="I174" s="369"/>
      <c r="J174" s="369"/>
      <c r="K174" s="369"/>
      <c r="L174" s="369"/>
      <c r="M174" s="369"/>
      <c r="N174" s="369"/>
      <c r="O174" s="369"/>
      <c r="P174" s="369"/>
      <c r="Q174" s="369"/>
      <c r="R174" s="369"/>
      <c r="S174" s="370">
        <v>559082</v>
      </c>
      <c r="T174" s="370"/>
      <c r="U174" s="370"/>
      <c r="V174" s="370"/>
      <c r="W174" s="370"/>
      <c r="X174" s="370"/>
      <c r="Y174" s="370"/>
      <c r="Z174" s="370"/>
      <c r="AA174" s="370"/>
      <c r="AB174" s="370"/>
      <c r="AC174" s="370"/>
      <c r="AD174" s="370"/>
      <c r="AE174" s="369" t="s">
        <v>5</v>
      </c>
      <c r="AF174" s="369"/>
      <c r="AG174" s="369"/>
      <c r="AH174" s="369"/>
      <c r="AI174" s="369"/>
      <c r="AJ174" s="369"/>
      <c r="AK174" s="369"/>
      <c r="AL174" s="369"/>
      <c r="AM174" s="369"/>
      <c r="AN174" s="369"/>
      <c r="AO174" s="369"/>
      <c r="AP174" s="369"/>
      <c r="AQ174" s="369"/>
      <c r="AR174" s="369"/>
      <c r="AS174" s="394">
        <v>45678</v>
      </c>
      <c r="AT174" s="394"/>
      <c r="AU174" s="394"/>
      <c r="AV174" s="394"/>
      <c r="AW174" s="394"/>
      <c r="AX174" s="394"/>
      <c r="AY174" s="394"/>
      <c r="AZ174" s="394"/>
      <c r="BA174" s="394"/>
      <c r="BB174" s="394"/>
      <c r="BC174" s="394"/>
      <c r="BD174" s="394"/>
      <c r="BE174" s="394"/>
      <c r="BF174" s="394"/>
      <c r="BG174" s="369" t="s">
        <v>6</v>
      </c>
      <c r="BH174" s="369"/>
      <c r="BI174" s="369"/>
      <c r="BJ174" s="369"/>
      <c r="BK174" s="369"/>
      <c r="BL174" s="369"/>
      <c r="BM174" s="369"/>
      <c r="BN174" s="369"/>
      <c r="BO174" s="369"/>
      <c r="BP174" s="369"/>
      <c r="BQ174" s="369"/>
      <c r="BR174" s="369"/>
      <c r="BS174" s="369"/>
      <c r="BT174" s="369"/>
      <c r="BU174" s="369"/>
      <c r="BV174" s="369"/>
      <c r="BW174" s="369"/>
      <c r="BX174" s="369"/>
      <c r="BY174" s="369"/>
      <c r="BZ174" s="369"/>
      <c r="CA174" s="369"/>
      <c r="CB174" s="369"/>
      <c r="CC174" s="369"/>
      <c r="CD174" s="369"/>
      <c r="CE174" s="369"/>
      <c r="CF174" s="369"/>
      <c r="CG174" s="369"/>
      <c r="CH174" s="369"/>
      <c r="CI174" s="369"/>
      <c r="CJ174" s="369"/>
      <c r="CK174" s="369"/>
      <c r="CL174" s="369"/>
      <c r="CM174" s="369"/>
      <c r="CN174" s="371" t="s">
        <v>7</v>
      </c>
      <c r="CO174" s="371"/>
      <c r="CP174" s="371"/>
      <c r="CQ174" s="372" t="s">
        <v>8</v>
      </c>
      <c r="CR174" s="372"/>
      <c r="CS174" s="372"/>
      <c r="CT174" s="372"/>
      <c r="CU174" s="372"/>
      <c r="CV174" s="372"/>
      <c r="CW174" s="372"/>
      <c r="CX174" s="372"/>
      <c r="CY174" s="372"/>
      <c r="CZ174" s="372"/>
      <c r="DA174" s="372"/>
      <c r="DB174" s="372"/>
      <c r="DC174" s="372"/>
      <c r="DD174" s="372"/>
      <c r="DE174" s="373"/>
    </row>
    <row r="175" spans="1:109" ht="15" customHeight="1">
      <c r="A175" s="375" t="s">
        <v>9</v>
      </c>
      <c r="B175" s="369"/>
      <c r="C175" s="369"/>
      <c r="D175" s="369"/>
      <c r="E175" s="369"/>
      <c r="F175" s="369"/>
      <c r="G175" s="369"/>
      <c r="H175" s="369"/>
      <c r="I175" s="369"/>
      <c r="J175" s="369"/>
      <c r="K175" s="369"/>
      <c r="L175" s="369"/>
      <c r="M175" s="369"/>
      <c r="N175" s="369"/>
      <c r="O175" s="369"/>
      <c r="P175" s="369"/>
      <c r="Q175" s="369"/>
      <c r="R175" s="369"/>
      <c r="S175" s="370" t="s">
        <v>10</v>
      </c>
      <c r="T175" s="370"/>
      <c r="U175" s="370"/>
      <c r="V175" s="370"/>
      <c r="W175" s="370"/>
      <c r="X175" s="370"/>
      <c r="Y175" s="370"/>
      <c r="Z175" s="370"/>
      <c r="AA175" s="370"/>
      <c r="AB175" s="370"/>
      <c r="AC175" s="370"/>
      <c r="AD175" s="370"/>
      <c r="AE175" s="369" t="s">
        <v>11</v>
      </c>
      <c r="AF175" s="369"/>
      <c r="AG175" s="369"/>
      <c r="AH175" s="369"/>
      <c r="AI175" s="369"/>
      <c r="AJ175" s="369"/>
      <c r="AK175" s="369"/>
      <c r="AL175" s="369"/>
      <c r="AM175" s="369"/>
      <c r="AN175" s="369"/>
      <c r="AO175" s="369"/>
      <c r="AP175" s="369"/>
      <c r="AQ175" s="369"/>
      <c r="AR175" s="369"/>
      <c r="AS175" s="370" t="s">
        <v>12</v>
      </c>
      <c r="AT175" s="370"/>
      <c r="AU175" s="370"/>
      <c r="AV175" s="370"/>
      <c r="AW175" s="370"/>
      <c r="AX175" s="370"/>
      <c r="AY175" s="370"/>
      <c r="AZ175" s="370"/>
      <c r="BA175" s="370"/>
      <c r="BB175" s="370"/>
      <c r="BC175" s="370"/>
      <c r="BD175" s="370"/>
      <c r="BE175" s="370"/>
      <c r="BF175" s="370"/>
      <c r="BG175" s="369"/>
      <c r="BH175" s="369"/>
      <c r="BI175" s="369"/>
      <c r="BJ175" s="369"/>
      <c r="BK175" s="369"/>
      <c r="BL175" s="369"/>
      <c r="BM175" s="369"/>
      <c r="BN175" s="369"/>
      <c r="BO175" s="369"/>
      <c r="BP175" s="369"/>
      <c r="BQ175" s="369"/>
      <c r="BR175" s="369"/>
      <c r="BS175" s="369"/>
      <c r="BT175" s="369"/>
      <c r="BU175" s="369"/>
      <c r="BV175" s="369"/>
      <c r="BW175" s="369"/>
      <c r="BX175" s="369"/>
      <c r="BY175" s="369"/>
      <c r="BZ175" s="369"/>
      <c r="CA175" s="369"/>
      <c r="CB175" s="369"/>
      <c r="CC175" s="369"/>
      <c r="CD175" s="369"/>
      <c r="CE175" s="369"/>
      <c r="CF175" s="369"/>
      <c r="CG175" s="369"/>
      <c r="CH175" s="369"/>
      <c r="CI175" s="369"/>
      <c r="CJ175" s="369"/>
      <c r="CK175" s="369"/>
      <c r="CL175" s="369"/>
      <c r="CM175" s="369"/>
      <c r="CN175" s="371"/>
      <c r="CO175" s="371"/>
      <c r="CP175" s="371"/>
      <c r="CQ175" s="372" t="s">
        <v>13</v>
      </c>
      <c r="CR175" s="372"/>
      <c r="CS175" s="372"/>
      <c r="CT175" s="372"/>
      <c r="CU175" s="372"/>
      <c r="CV175" s="372"/>
      <c r="CW175" s="372"/>
      <c r="CX175" s="372"/>
      <c r="CY175" s="372"/>
      <c r="CZ175" s="372"/>
      <c r="DA175" s="372"/>
      <c r="DB175" s="372"/>
      <c r="DC175" s="372"/>
      <c r="DD175" s="372"/>
      <c r="DE175" s="373"/>
    </row>
    <row r="176" spans="1:109" ht="15" customHeight="1">
      <c r="A176" s="375" t="s">
        <v>14</v>
      </c>
      <c r="B176" s="369"/>
      <c r="C176" s="369"/>
      <c r="D176" s="369"/>
      <c r="E176" s="369"/>
      <c r="F176" s="369"/>
      <c r="G176" s="369"/>
      <c r="H176" s="369"/>
      <c r="I176" s="369"/>
      <c r="J176" s="369"/>
      <c r="K176" s="369"/>
      <c r="L176" s="369"/>
      <c r="M176" s="369"/>
      <c r="N176" s="369"/>
      <c r="O176" s="369"/>
      <c r="P176" s="369"/>
      <c r="Q176" s="369"/>
      <c r="R176" s="369"/>
      <c r="S176" s="370" t="s">
        <v>15</v>
      </c>
      <c r="T176" s="370"/>
      <c r="U176" s="370"/>
      <c r="V176" s="370"/>
      <c r="W176" s="370"/>
      <c r="X176" s="370"/>
      <c r="Y176" s="370"/>
      <c r="Z176" s="370"/>
      <c r="AA176" s="370"/>
      <c r="AB176" s="370"/>
      <c r="AC176" s="370"/>
      <c r="AD176" s="370"/>
      <c r="AE176" s="369" t="s">
        <v>16</v>
      </c>
      <c r="AF176" s="369"/>
      <c r="AG176" s="369"/>
      <c r="AH176" s="369"/>
      <c r="AI176" s="369"/>
      <c r="AJ176" s="369"/>
      <c r="AK176" s="369"/>
      <c r="AL176" s="369"/>
      <c r="AM176" s="369"/>
      <c r="AN176" s="369"/>
      <c r="AO176" s="369"/>
      <c r="AP176" s="369"/>
      <c r="AQ176" s="369"/>
      <c r="AR176" s="369"/>
      <c r="AS176" s="370" t="s">
        <v>17</v>
      </c>
      <c r="AT176" s="370"/>
      <c r="AU176" s="370"/>
      <c r="AV176" s="370"/>
      <c r="AW176" s="370"/>
      <c r="AX176" s="370"/>
      <c r="AY176" s="370"/>
      <c r="AZ176" s="370"/>
      <c r="BA176" s="370"/>
      <c r="BB176" s="370"/>
      <c r="BC176" s="370"/>
      <c r="BD176" s="370"/>
      <c r="BE176" s="370"/>
      <c r="BF176" s="370"/>
      <c r="BG176" s="369"/>
      <c r="BH176" s="369"/>
      <c r="BI176" s="369"/>
      <c r="BJ176" s="369"/>
      <c r="BK176" s="369"/>
      <c r="BL176" s="369"/>
      <c r="BM176" s="369"/>
      <c r="BN176" s="369"/>
      <c r="BO176" s="369"/>
      <c r="BP176" s="369"/>
      <c r="BQ176" s="369"/>
      <c r="BR176" s="369"/>
      <c r="BS176" s="369"/>
      <c r="BT176" s="369"/>
      <c r="BU176" s="369"/>
      <c r="BV176" s="369"/>
      <c r="BW176" s="369"/>
      <c r="BX176" s="369"/>
      <c r="BY176" s="369"/>
      <c r="BZ176" s="369"/>
      <c r="CA176" s="369"/>
      <c r="CB176" s="369"/>
      <c r="CC176" s="369"/>
      <c r="CD176" s="369"/>
      <c r="CE176" s="369"/>
      <c r="CF176" s="369"/>
      <c r="CG176" s="369"/>
      <c r="CH176" s="369"/>
      <c r="CI176" s="369"/>
      <c r="CJ176" s="369"/>
      <c r="CK176" s="369"/>
      <c r="CL176" s="369"/>
      <c r="CM176" s="369"/>
      <c r="CN176" s="371"/>
      <c r="CO176" s="371"/>
      <c r="CP176" s="371"/>
      <c r="CQ176" s="372" t="s">
        <v>18</v>
      </c>
      <c r="CR176" s="372"/>
      <c r="CS176" s="372"/>
      <c r="CT176" s="372"/>
      <c r="CU176" s="372"/>
      <c r="CV176" s="372"/>
      <c r="CW176" s="372"/>
      <c r="CX176" s="372"/>
      <c r="CY176" s="372"/>
      <c r="CZ176" s="372"/>
      <c r="DA176" s="372"/>
      <c r="DB176" s="372"/>
      <c r="DC176" s="372"/>
      <c r="DD176" s="372"/>
      <c r="DE176" s="373"/>
    </row>
    <row r="177" spans="1:109" ht="15" customHeight="1">
      <c r="A177" s="446" t="s">
        <v>84</v>
      </c>
      <c r="B177" s="447"/>
      <c r="C177" s="447"/>
      <c r="D177" s="447"/>
      <c r="E177" s="447"/>
      <c r="F177" s="447"/>
      <c r="G177" s="447"/>
      <c r="H177" s="447"/>
      <c r="I177" s="447"/>
      <c r="J177" s="447"/>
      <c r="K177" s="447"/>
      <c r="L177" s="447"/>
      <c r="M177" s="447"/>
      <c r="N177" s="447"/>
      <c r="O177" s="447"/>
      <c r="P177" s="447"/>
      <c r="Q177" s="447"/>
      <c r="R177" s="447"/>
      <c r="S177" s="447"/>
      <c r="T177" s="447"/>
      <c r="U177" s="447"/>
      <c r="V177" s="447"/>
      <c r="W177" s="447"/>
      <c r="X177" s="447"/>
      <c r="Y177" s="447"/>
      <c r="Z177" s="447"/>
      <c r="AA177" s="447"/>
      <c r="AB177" s="447"/>
      <c r="AC177" s="447"/>
      <c r="AD177" s="447"/>
      <c r="AE177" s="447"/>
      <c r="AF177" s="447"/>
      <c r="AG177" s="447"/>
      <c r="AH177" s="447"/>
      <c r="AI177" s="447"/>
      <c r="AJ177" s="447"/>
      <c r="AK177" s="447"/>
      <c r="AL177" s="447"/>
      <c r="AM177" s="447"/>
      <c r="AN177" s="447"/>
      <c r="AO177" s="447"/>
      <c r="AP177" s="447"/>
      <c r="AQ177" s="447"/>
      <c r="AR177" s="447"/>
      <c r="AS177" s="447"/>
      <c r="AT177" s="447"/>
      <c r="AU177" s="447"/>
      <c r="AV177" s="447"/>
      <c r="AW177" s="447"/>
      <c r="AX177" s="447"/>
      <c r="AY177" s="447"/>
      <c r="AZ177" s="447"/>
      <c r="BA177" s="447"/>
      <c r="BB177" s="447"/>
      <c r="BC177" s="447"/>
      <c r="BD177" s="447"/>
      <c r="BE177" s="447"/>
      <c r="BF177" s="447"/>
      <c r="BG177" s="447"/>
      <c r="BH177" s="447"/>
      <c r="BI177" s="447"/>
      <c r="BJ177" s="447"/>
      <c r="BK177" s="447"/>
      <c r="BL177" s="447"/>
      <c r="BM177" s="447"/>
      <c r="BN177" s="447"/>
      <c r="BO177" s="447"/>
      <c r="BP177" s="447"/>
      <c r="BQ177" s="447"/>
      <c r="BR177" s="447"/>
      <c r="BS177" s="447"/>
      <c r="BT177" s="447"/>
      <c r="BU177" s="447"/>
      <c r="BV177" s="447"/>
      <c r="BW177" s="447"/>
      <c r="BX177" s="447"/>
      <c r="BY177" s="447"/>
      <c r="BZ177" s="447"/>
      <c r="CA177" s="447"/>
      <c r="CB177" s="447"/>
      <c r="CC177" s="447"/>
      <c r="CD177" s="447"/>
      <c r="CE177" s="447"/>
      <c r="CF177" s="447"/>
      <c r="CG177" s="447"/>
      <c r="CH177" s="447"/>
      <c r="CI177" s="447"/>
      <c r="CJ177" s="447"/>
      <c r="CK177" s="447"/>
      <c r="CL177" s="447"/>
      <c r="CM177" s="447"/>
      <c r="CN177" s="447"/>
      <c r="CO177" s="447"/>
      <c r="CP177" s="447"/>
      <c r="CQ177" s="447"/>
      <c r="CR177" s="447"/>
      <c r="CS177" s="447"/>
      <c r="CT177" s="447"/>
      <c r="CU177" s="447"/>
      <c r="CV177" s="447"/>
      <c r="CW177" s="447"/>
      <c r="CX177" s="447"/>
      <c r="CY177" s="447"/>
      <c r="CZ177" s="447"/>
      <c r="DA177" s="447"/>
      <c r="DB177" s="447"/>
      <c r="DC177" s="447"/>
      <c r="DD177" s="447"/>
      <c r="DE177" s="448"/>
    </row>
    <row r="178" spans="1:109" ht="15" customHeight="1">
      <c r="A178" s="449" t="s">
        <v>85</v>
      </c>
      <c r="B178" s="450"/>
      <c r="C178" s="450"/>
      <c r="D178" s="450"/>
      <c r="E178" s="450"/>
      <c r="F178" s="450"/>
      <c r="G178" s="450"/>
      <c r="H178" s="450"/>
      <c r="I178" s="450"/>
      <c r="J178" s="450"/>
      <c r="K178" s="455" t="s">
        <v>86</v>
      </c>
      <c r="L178" s="455"/>
      <c r="M178" s="455"/>
      <c r="N178" s="455"/>
      <c r="O178" s="455"/>
      <c r="P178" s="455"/>
      <c r="Q178" s="455"/>
      <c r="R178" s="455"/>
      <c r="S178" s="455"/>
      <c r="T178" s="450" t="s">
        <v>87</v>
      </c>
      <c r="U178" s="450"/>
      <c r="V178" s="450"/>
      <c r="W178" s="450"/>
      <c r="X178" s="450"/>
      <c r="Y178" s="450"/>
      <c r="Z178" s="450"/>
      <c r="AA178" s="450"/>
      <c r="AB178" s="450"/>
      <c r="AC178" s="455">
        <v>1200</v>
      </c>
      <c r="AD178" s="455"/>
      <c r="AE178" s="455"/>
      <c r="AF178" s="455"/>
      <c r="AG178" s="455"/>
      <c r="AH178" s="455"/>
      <c r="AI178" s="455"/>
      <c r="AJ178" s="455"/>
      <c r="AK178" s="455"/>
      <c r="AL178" s="450" t="s">
        <v>88</v>
      </c>
      <c r="AM178" s="450"/>
      <c r="AN178" s="450"/>
      <c r="AO178" s="450"/>
      <c r="AP178" s="450"/>
      <c r="AQ178" s="450"/>
      <c r="AR178" s="450"/>
      <c r="AS178" s="450"/>
      <c r="AT178" s="450"/>
      <c r="AU178" s="455">
        <v>10</v>
      </c>
      <c r="AV178" s="455"/>
      <c r="AW178" s="455"/>
      <c r="AX178" s="455"/>
      <c r="AY178" s="455"/>
      <c r="AZ178" s="455"/>
      <c r="BA178" s="455"/>
      <c r="BB178" s="455"/>
      <c r="BC178" s="455"/>
      <c r="BD178" s="450" t="s">
        <v>89</v>
      </c>
      <c r="BE178" s="450"/>
      <c r="BF178" s="450"/>
      <c r="BG178" s="450"/>
      <c r="BH178" s="450"/>
      <c r="BI178" s="450"/>
      <c r="BJ178" s="450"/>
      <c r="BK178" s="450"/>
      <c r="BL178" s="450"/>
      <c r="BM178" s="452" t="s">
        <v>90</v>
      </c>
      <c r="BN178" s="453"/>
      <c r="BO178" s="453"/>
      <c r="BP178" s="453"/>
      <c r="BQ178" s="453"/>
      <c r="BR178" s="453"/>
      <c r="BS178" s="453"/>
      <c r="BT178" s="453"/>
      <c r="BU178" s="453"/>
      <c r="BV178" s="453"/>
      <c r="BW178" s="453"/>
      <c r="BX178" s="453"/>
      <c r="BY178" s="453"/>
      <c r="BZ178" s="453"/>
      <c r="CA178" s="453"/>
      <c r="CB178" s="453"/>
      <c r="CC178" s="453"/>
      <c r="CD178" s="453"/>
      <c r="CE178" s="453"/>
      <c r="CF178" s="453"/>
      <c r="CG178" s="453"/>
      <c r="CH178" s="453"/>
      <c r="CI178" s="453"/>
      <c r="CJ178" s="453"/>
      <c r="CK178" s="453"/>
      <c r="CL178" s="453"/>
      <c r="CM178" s="454"/>
      <c r="CN178" s="450" t="s">
        <v>91</v>
      </c>
      <c r="CO178" s="450"/>
      <c r="CP178" s="450"/>
      <c r="CQ178" s="450"/>
      <c r="CR178" s="450"/>
      <c r="CS178" s="450"/>
      <c r="CT178" s="450"/>
      <c r="CU178" s="450"/>
      <c r="CV178" s="450"/>
      <c r="CW178" s="455" t="s">
        <v>92</v>
      </c>
      <c r="CX178" s="455"/>
      <c r="CY178" s="455"/>
      <c r="CZ178" s="455"/>
      <c r="DA178" s="455"/>
      <c r="DB178" s="455"/>
      <c r="DC178" s="455"/>
      <c r="DD178" s="455"/>
      <c r="DE178" s="456"/>
    </row>
    <row r="179" spans="1:109" ht="15" customHeight="1">
      <c r="A179" s="449" t="s">
        <v>93</v>
      </c>
      <c r="B179" s="450"/>
      <c r="C179" s="450"/>
      <c r="D179" s="450"/>
      <c r="E179" s="450"/>
      <c r="F179" s="450"/>
      <c r="G179" s="450"/>
      <c r="H179" s="450"/>
      <c r="I179" s="450"/>
      <c r="J179" s="450"/>
      <c r="K179" s="444" t="s">
        <v>94</v>
      </c>
      <c r="L179" s="444"/>
      <c r="M179" s="444"/>
      <c r="N179" s="444"/>
      <c r="O179" s="444"/>
      <c r="P179" s="444"/>
      <c r="Q179" s="444"/>
      <c r="R179" s="444"/>
      <c r="S179" s="444"/>
      <c r="T179" s="451" t="s">
        <v>95</v>
      </c>
      <c r="U179" s="451"/>
      <c r="V179" s="451"/>
      <c r="W179" s="451"/>
      <c r="X179" s="451"/>
      <c r="Y179" s="451"/>
      <c r="Z179" s="451"/>
      <c r="AA179" s="451"/>
      <c r="AB179" s="451"/>
      <c r="AC179" s="444" t="s">
        <v>96</v>
      </c>
      <c r="AD179" s="444"/>
      <c r="AE179" s="444"/>
      <c r="AF179" s="444"/>
      <c r="AG179" s="444"/>
      <c r="AH179" s="444"/>
      <c r="AI179" s="444"/>
      <c r="AJ179" s="444"/>
      <c r="AK179" s="444"/>
      <c r="AL179" s="451" t="s">
        <v>97</v>
      </c>
      <c r="AM179" s="451"/>
      <c r="AN179" s="451"/>
      <c r="AO179" s="451"/>
      <c r="AP179" s="451"/>
      <c r="AQ179" s="451"/>
      <c r="AR179" s="451"/>
      <c r="AS179" s="451"/>
      <c r="AT179" s="451"/>
      <c r="AU179" s="444" t="s">
        <v>98</v>
      </c>
      <c r="AV179" s="444"/>
      <c r="AW179" s="444"/>
      <c r="AX179" s="444"/>
      <c r="AY179" s="444"/>
      <c r="AZ179" s="444"/>
      <c r="BA179" s="444"/>
      <c r="BB179" s="444"/>
      <c r="BC179" s="444"/>
      <c r="BD179" s="451" t="s">
        <v>99</v>
      </c>
      <c r="BE179" s="451"/>
      <c r="BF179" s="451"/>
      <c r="BG179" s="451"/>
      <c r="BH179" s="451"/>
      <c r="BI179" s="451"/>
      <c r="BJ179" s="451"/>
      <c r="BK179" s="451"/>
      <c r="BL179" s="451"/>
      <c r="BM179" s="452" t="s">
        <v>100</v>
      </c>
      <c r="BN179" s="453"/>
      <c r="BO179" s="453"/>
      <c r="BP179" s="453"/>
      <c r="BQ179" s="453"/>
      <c r="BR179" s="453"/>
      <c r="BS179" s="453"/>
      <c r="BT179" s="453"/>
      <c r="BU179" s="453"/>
      <c r="BV179" s="453"/>
      <c r="BW179" s="453"/>
      <c r="BX179" s="453"/>
      <c r="BY179" s="453"/>
      <c r="BZ179" s="453"/>
      <c r="CA179" s="453"/>
      <c r="CB179" s="453"/>
      <c r="CC179" s="453"/>
      <c r="CD179" s="453"/>
      <c r="CE179" s="453"/>
      <c r="CF179" s="453"/>
      <c r="CG179" s="453"/>
      <c r="CH179" s="453"/>
      <c r="CI179" s="453"/>
      <c r="CJ179" s="453"/>
      <c r="CK179" s="453"/>
      <c r="CL179" s="453"/>
      <c r="CM179" s="454"/>
      <c r="CN179" s="451" t="s">
        <v>101</v>
      </c>
      <c r="CO179" s="451"/>
      <c r="CP179" s="451"/>
      <c r="CQ179" s="451"/>
      <c r="CR179" s="451"/>
      <c r="CS179" s="451"/>
      <c r="CT179" s="451"/>
      <c r="CU179" s="451"/>
      <c r="CV179" s="451"/>
      <c r="CW179" s="444" t="s">
        <v>102</v>
      </c>
      <c r="CX179" s="444"/>
      <c r="CY179" s="444"/>
      <c r="CZ179" s="444"/>
      <c r="DA179" s="444"/>
      <c r="DB179" s="444"/>
      <c r="DC179" s="444"/>
      <c r="DD179" s="444"/>
      <c r="DE179" s="445"/>
    </row>
    <row r="180" spans="1:109" ht="15" customHeight="1">
      <c r="A180" s="446" t="s">
        <v>103</v>
      </c>
      <c r="B180" s="447"/>
      <c r="C180" s="447"/>
      <c r="D180" s="447"/>
      <c r="E180" s="447"/>
      <c r="F180" s="447"/>
      <c r="G180" s="447"/>
      <c r="H180" s="447"/>
      <c r="I180" s="447"/>
      <c r="J180" s="447"/>
      <c r="K180" s="447"/>
      <c r="L180" s="447"/>
      <c r="M180" s="447"/>
      <c r="N180" s="447"/>
      <c r="O180" s="447"/>
      <c r="P180" s="447"/>
      <c r="Q180" s="447"/>
      <c r="R180" s="447"/>
      <c r="S180" s="447"/>
      <c r="T180" s="447"/>
      <c r="U180" s="447"/>
      <c r="V180" s="447"/>
      <c r="W180" s="447"/>
      <c r="X180" s="447"/>
      <c r="Y180" s="447"/>
      <c r="Z180" s="447"/>
      <c r="AA180" s="447"/>
      <c r="AB180" s="447"/>
      <c r="AC180" s="447"/>
      <c r="AD180" s="447"/>
      <c r="AE180" s="447"/>
      <c r="AF180" s="447"/>
      <c r="AG180" s="447"/>
      <c r="AH180" s="447"/>
      <c r="AI180" s="447"/>
      <c r="AJ180" s="447"/>
      <c r="AK180" s="447"/>
      <c r="AL180" s="447"/>
      <c r="AM180" s="447"/>
      <c r="AN180" s="447"/>
      <c r="AO180" s="447"/>
      <c r="AP180" s="447"/>
      <c r="AQ180" s="447"/>
      <c r="AR180" s="447"/>
      <c r="AS180" s="447"/>
      <c r="AT180" s="447"/>
      <c r="AU180" s="447"/>
      <c r="AV180" s="447"/>
      <c r="AW180" s="447"/>
      <c r="AX180" s="447"/>
      <c r="AY180" s="447"/>
      <c r="AZ180" s="447"/>
      <c r="BA180" s="447"/>
      <c r="BB180" s="447"/>
      <c r="BC180" s="447"/>
      <c r="BD180" s="447"/>
      <c r="BE180" s="447"/>
      <c r="BF180" s="447"/>
      <c r="BG180" s="447"/>
      <c r="BH180" s="447"/>
      <c r="BI180" s="447"/>
      <c r="BJ180" s="447"/>
      <c r="BK180" s="447"/>
      <c r="BL180" s="447"/>
      <c r="BM180" s="447"/>
      <c r="BN180" s="447"/>
      <c r="BO180" s="447"/>
      <c r="BP180" s="447"/>
      <c r="BQ180" s="447"/>
      <c r="BR180" s="447"/>
      <c r="BS180" s="447"/>
      <c r="BT180" s="447"/>
      <c r="BU180" s="447"/>
      <c r="BV180" s="447"/>
      <c r="BW180" s="447"/>
      <c r="BX180" s="447"/>
      <c r="BY180" s="447"/>
      <c r="BZ180" s="447"/>
      <c r="CA180" s="447"/>
      <c r="CB180" s="447"/>
      <c r="CC180" s="447"/>
      <c r="CD180" s="447"/>
      <c r="CE180" s="447"/>
      <c r="CF180" s="447"/>
      <c r="CG180" s="447"/>
      <c r="CH180" s="447"/>
      <c r="CI180" s="447"/>
      <c r="CJ180" s="447"/>
      <c r="CK180" s="447"/>
      <c r="CL180" s="447"/>
      <c r="CM180" s="447"/>
      <c r="CN180" s="447"/>
      <c r="CO180" s="447"/>
      <c r="CP180" s="447"/>
      <c r="CQ180" s="447"/>
      <c r="CR180" s="447"/>
      <c r="CS180" s="447"/>
      <c r="CT180" s="447"/>
      <c r="CU180" s="447"/>
      <c r="CV180" s="447"/>
      <c r="CW180" s="447"/>
      <c r="CX180" s="447"/>
      <c r="CY180" s="447"/>
      <c r="CZ180" s="447"/>
      <c r="DA180" s="447"/>
      <c r="DB180" s="447"/>
      <c r="DC180" s="447"/>
      <c r="DD180" s="447"/>
      <c r="DE180" s="448"/>
    </row>
    <row r="181" spans="1:109" ht="15" customHeight="1">
      <c r="A181" s="3"/>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CN181" s="4"/>
      <c r="CO181" s="4"/>
      <c r="CP181" s="4"/>
      <c r="CQ181" s="4"/>
      <c r="CR181" s="4"/>
      <c r="CS181" s="4"/>
      <c r="CT181" s="4"/>
      <c r="CU181" s="4"/>
      <c r="CV181" s="4"/>
      <c r="CW181" s="4"/>
      <c r="CX181" s="4"/>
      <c r="CY181" s="4"/>
      <c r="CZ181" s="4"/>
      <c r="DA181" s="4"/>
      <c r="DB181" s="4"/>
      <c r="DC181" s="4"/>
      <c r="DD181" s="4"/>
      <c r="DE181" s="23"/>
    </row>
    <row r="182" spans="1:109" ht="15" customHeight="1">
      <c r="A182" s="6"/>
      <c r="B182" s="376" t="s">
        <v>19</v>
      </c>
      <c r="C182" s="377"/>
      <c r="D182" s="377"/>
      <c r="E182" s="377"/>
      <c r="F182" s="377"/>
      <c r="G182" s="377"/>
      <c r="H182" s="378"/>
      <c r="I182" s="376" t="s">
        <v>21</v>
      </c>
      <c r="J182" s="377"/>
      <c r="K182" s="377"/>
      <c r="L182" s="377"/>
      <c r="M182" s="377"/>
      <c r="N182" s="377"/>
      <c r="O182" s="378"/>
      <c r="P182" s="376" t="s">
        <v>104</v>
      </c>
      <c r="Q182" s="377"/>
      <c r="R182" s="377"/>
      <c r="S182" s="377"/>
      <c r="T182" s="377"/>
      <c r="U182" s="377"/>
      <c r="V182" s="378"/>
      <c r="W182" s="376" t="s">
        <v>26</v>
      </c>
      <c r="X182" s="377"/>
      <c r="Y182" s="377"/>
      <c r="Z182" s="377"/>
      <c r="AA182" s="377"/>
      <c r="AB182" s="377"/>
      <c r="AC182" s="378"/>
      <c r="AD182" s="376" t="s">
        <v>24</v>
      </c>
      <c r="AE182" s="377"/>
      <c r="AF182" s="377"/>
      <c r="AG182" s="377"/>
      <c r="AH182" s="377"/>
      <c r="AI182" s="377"/>
      <c r="AJ182" s="378"/>
      <c r="AK182" s="376" t="s">
        <v>25</v>
      </c>
      <c r="AL182" s="377"/>
      <c r="AM182" s="377"/>
      <c r="AN182" s="377"/>
      <c r="AO182" s="377"/>
      <c r="AP182" s="377"/>
      <c r="AQ182" s="378"/>
      <c r="AR182" s="376" t="s">
        <v>110</v>
      </c>
      <c r="AS182" s="377"/>
      <c r="AT182" s="377"/>
      <c r="AU182" s="377"/>
      <c r="AV182" s="377"/>
      <c r="AW182" s="377"/>
      <c r="AX182" s="378"/>
      <c r="AY182" s="376" t="s">
        <v>111</v>
      </c>
      <c r="AZ182" s="377"/>
      <c r="BA182" s="377"/>
      <c r="BB182" s="377"/>
      <c r="BC182" s="377"/>
      <c r="BD182" s="377"/>
      <c r="BE182" s="378"/>
      <c r="BF182" s="376" t="s">
        <v>108</v>
      </c>
      <c r="BG182" s="377"/>
      <c r="BH182" s="377"/>
      <c r="BI182" s="377"/>
      <c r="BJ182" s="377"/>
      <c r="BK182" s="377"/>
      <c r="BL182" s="378"/>
      <c r="BM182" s="376" t="s">
        <v>109</v>
      </c>
      <c r="BN182" s="377"/>
      <c r="BO182" s="377"/>
      <c r="BP182" s="377"/>
      <c r="BQ182" s="377"/>
      <c r="BR182" s="377"/>
      <c r="BS182" s="377"/>
      <c r="BT182" s="377"/>
      <c r="BU182" s="377"/>
      <c r="BV182" s="377"/>
      <c r="BW182" s="377"/>
      <c r="BX182" s="377"/>
      <c r="BY182" s="377"/>
      <c r="BZ182" s="377"/>
      <c r="CA182" s="377"/>
      <c r="CB182" s="377"/>
      <c r="CC182" s="377"/>
      <c r="CD182" s="377"/>
      <c r="CE182" s="377"/>
      <c r="CF182" s="377"/>
      <c r="CG182" s="377"/>
      <c r="CH182" s="377"/>
      <c r="CI182" s="377"/>
      <c r="CJ182" s="377"/>
      <c r="CK182" s="377"/>
      <c r="CL182" s="378"/>
      <c r="CM182" s="376" t="s">
        <v>30</v>
      </c>
      <c r="CN182" s="377"/>
      <c r="CO182" s="377"/>
      <c r="CP182" s="377"/>
      <c r="CQ182" s="377"/>
      <c r="CR182" s="377"/>
      <c r="CS182" s="377"/>
      <c r="CT182" s="377"/>
      <c r="CU182" s="377"/>
      <c r="CV182" s="377"/>
      <c r="CW182" s="377"/>
      <c r="CX182" s="377"/>
      <c r="CY182" s="377"/>
      <c r="CZ182" s="377"/>
      <c r="DA182" s="377"/>
      <c r="DB182" s="377"/>
      <c r="DC182" s="377"/>
      <c r="DD182" s="378"/>
      <c r="DE182" s="7"/>
    </row>
    <row r="183" spans="1:109" ht="15" customHeight="1">
      <c r="A183" s="6"/>
      <c r="B183" s="379"/>
      <c r="C183" s="380"/>
      <c r="D183" s="380"/>
      <c r="E183" s="380"/>
      <c r="F183" s="380"/>
      <c r="G183" s="380"/>
      <c r="H183" s="381"/>
      <c r="I183" s="379"/>
      <c r="J183" s="380"/>
      <c r="K183" s="380"/>
      <c r="L183" s="380"/>
      <c r="M183" s="380"/>
      <c r="N183" s="380"/>
      <c r="O183" s="381"/>
      <c r="P183" s="379"/>
      <c r="Q183" s="380"/>
      <c r="R183" s="380"/>
      <c r="S183" s="380"/>
      <c r="T183" s="380"/>
      <c r="U183" s="380"/>
      <c r="V183" s="381"/>
      <c r="W183" s="379"/>
      <c r="X183" s="380"/>
      <c r="Y183" s="380"/>
      <c r="Z183" s="380"/>
      <c r="AA183" s="380"/>
      <c r="AB183" s="380"/>
      <c r="AC183" s="381"/>
      <c r="AD183" s="379"/>
      <c r="AE183" s="380"/>
      <c r="AF183" s="380"/>
      <c r="AG183" s="380"/>
      <c r="AH183" s="380"/>
      <c r="AI183" s="380"/>
      <c r="AJ183" s="381"/>
      <c r="AK183" s="379"/>
      <c r="AL183" s="380"/>
      <c r="AM183" s="380"/>
      <c r="AN183" s="380"/>
      <c r="AO183" s="380"/>
      <c r="AP183" s="380"/>
      <c r="AQ183" s="381"/>
      <c r="AR183" s="379"/>
      <c r="AS183" s="380"/>
      <c r="AT183" s="380"/>
      <c r="AU183" s="380"/>
      <c r="AV183" s="380"/>
      <c r="AW183" s="380"/>
      <c r="AX183" s="381"/>
      <c r="AY183" s="379"/>
      <c r="AZ183" s="380"/>
      <c r="BA183" s="380"/>
      <c r="BB183" s="380"/>
      <c r="BC183" s="380"/>
      <c r="BD183" s="380"/>
      <c r="BE183" s="381"/>
      <c r="BF183" s="379"/>
      <c r="BG183" s="380"/>
      <c r="BH183" s="380"/>
      <c r="BI183" s="380"/>
      <c r="BJ183" s="380"/>
      <c r="BK183" s="380"/>
      <c r="BL183" s="381"/>
      <c r="BM183" s="379"/>
      <c r="BN183" s="380"/>
      <c r="BO183" s="380"/>
      <c r="BP183" s="380"/>
      <c r="BQ183" s="380"/>
      <c r="BR183" s="380"/>
      <c r="BS183" s="380"/>
      <c r="BT183" s="380"/>
      <c r="BU183" s="380"/>
      <c r="BV183" s="380"/>
      <c r="BW183" s="380"/>
      <c r="BX183" s="380"/>
      <c r="BY183" s="380"/>
      <c r="BZ183" s="380"/>
      <c r="CA183" s="380"/>
      <c r="CB183" s="380"/>
      <c r="CC183" s="380"/>
      <c r="CD183" s="380"/>
      <c r="CE183" s="380"/>
      <c r="CF183" s="380"/>
      <c r="CG183" s="380"/>
      <c r="CH183" s="380"/>
      <c r="CI183" s="380"/>
      <c r="CJ183" s="380"/>
      <c r="CK183" s="380"/>
      <c r="CL183" s="381"/>
      <c r="CM183" s="379"/>
      <c r="CN183" s="380"/>
      <c r="CO183" s="380"/>
      <c r="CP183" s="380"/>
      <c r="CQ183" s="380"/>
      <c r="CR183" s="380"/>
      <c r="CS183" s="380"/>
      <c r="CT183" s="380"/>
      <c r="CU183" s="380"/>
      <c r="CV183" s="380"/>
      <c r="CW183" s="380"/>
      <c r="CX183" s="380"/>
      <c r="CY183" s="380"/>
      <c r="CZ183" s="380"/>
      <c r="DA183" s="380"/>
      <c r="DB183" s="380"/>
      <c r="DC183" s="380"/>
      <c r="DD183" s="381"/>
      <c r="DE183" s="7"/>
    </row>
    <row r="184" spans="1:109" ht="15" customHeight="1">
      <c r="A184" s="6"/>
      <c r="B184" s="353"/>
      <c r="C184" s="354"/>
      <c r="D184" s="354"/>
      <c r="E184" s="354"/>
      <c r="F184" s="354"/>
      <c r="G184" s="354"/>
      <c r="H184" s="355"/>
      <c r="I184" s="353"/>
      <c r="J184" s="354"/>
      <c r="K184" s="354"/>
      <c r="L184" s="354"/>
      <c r="M184" s="354"/>
      <c r="N184" s="354"/>
      <c r="O184" s="355"/>
      <c r="P184" s="353"/>
      <c r="Q184" s="354"/>
      <c r="R184" s="354"/>
      <c r="S184" s="354"/>
      <c r="T184" s="354"/>
      <c r="U184" s="354"/>
      <c r="V184" s="355"/>
      <c r="W184" s="395"/>
      <c r="X184" s="396"/>
      <c r="Y184" s="396"/>
      <c r="Z184" s="396"/>
      <c r="AA184" s="396"/>
      <c r="AB184" s="396"/>
      <c r="AC184" s="397"/>
      <c r="AD184" s="395"/>
      <c r="AE184" s="396"/>
      <c r="AF184" s="396"/>
      <c r="AG184" s="396"/>
      <c r="AH184" s="396"/>
      <c r="AI184" s="396"/>
      <c r="AJ184" s="397"/>
      <c r="AK184" s="395"/>
      <c r="AL184" s="396"/>
      <c r="AM184" s="396"/>
      <c r="AN184" s="396"/>
      <c r="AO184" s="396"/>
      <c r="AP184" s="396"/>
      <c r="AQ184" s="397"/>
      <c r="AR184" s="395"/>
      <c r="AS184" s="396"/>
      <c r="AT184" s="396"/>
      <c r="AU184" s="396"/>
      <c r="AV184" s="396"/>
      <c r="AW184" s="396"/>
      <c r="AX184" s="397"/>
      <c r="AY184" s="395"/>
      <c r="AZ184" s="396"/>
      <c r="BA184" s="396"/>
      <c r="BB184" s="396"/>
      <c r="BC184" s="396"/>
      <c r="BD184" s="396"/>
      <c r="BE184" s="397"/>
      <c r="BF184" s="395"/>
      <c r="BG184" s="396"/>
      <c r="BH184" s="396"/>
      <c r="BI184" s="396"/>
      <c r="BJ184" s="396"/>
      <c r="BK184" s="396"/>
      <c r="BL184" s="397"/>
      <c r="BM184" s="353"/>
      <c r="BN184" s="354"/>
      <c r="BO184" s="354"/>
      <c r="BP184" s="354"/>
      <c r="BQ184" s="354"/>
      <c r="BR184" s="354"/>
      <c r="BS184" s="354"/>
      <c r="BT184" s="354"/>
      <c r="BU184" s="354"/>
      <c r="BV184" s="354"/>
      <c r="BW184" s="354"/>
      <c r="BX184" s="354"/>
      <c r="BY184" s="354"/>
      <c r="BZ184" s="354"/>
      <c r="CA184" s="354"/>
      <c r="CB184" s="354"/>
      <c r="CC184" s="354"/>
      <c r="CD184" s="354"/>
      <c r="CE184" s="354"/>
      <c r="CF184" s="354"/>
      <c r="CG184" s="354"/>
      <c r="CH184" s="354"/>
      <c r="CI184" s="354"/>
      <c r="CJ184" s="354"/>
      <c r="CK184" s="354"/>
      <c r="CL184" s="355"/>
      <c r="CM184" s="353"/>
      <c r="CN184" s="354"/>
      <c r="CO184" s="354"/>
      <c r="CP184" s="354"/>
      <c r="CQ184" s="354"/>
      <c r="CR184" s="354"/>
      <c r="CS184" s="354"/>
      <c r="CT184" s="354"/>
      <c r="CU184" s="354"/>
      <c r="CV184" s="354"/>
      <c r="CW184" s="354"/>
      <c r="CX184" s="354"/>
      <c r="CY184" s="354"/>
      <c r="CZ184" s="354"/>
      <c r="DA184" s="354"/>
      <c r="DB184" s="354"/>
      <c r="DC184" s="354"/>
      <c r="DD184" s="355"/>
      <c r="DE184" s="7"/>
    </row>
    <row r="185" spans="1:109" ht="15" customHeight="1">
      <c r="A185" s="6"/>
      <c r="B185" s="356"/>
      <c r="C185" s="357"/>
      <c r="D185" s="357"/>
      <c r="E185" s="357"/>
      <c r="F185" s="357"/>
      <c r="G185" s="357"/>
      <c r="H185" s="358"/>
      <c r="I185" s="356"/>
      <c r="J185" s="357"/>
      <c r="K185" s="357"/>
      <c r="L185" s="357"/>
      <c r="M185" s="357"/>
      <c r="N185" s="357"/>
      <c r="O185" s="358"/>
      <c r="P185" s="356"/>
      <c r="Q185" s="357"/>
      <c r="R185" s="357"/>
      <c r="S185" s="357"/>
      <c r="T185" s="357"/>
      <c r="U185" s="357"/>
      <c r="V185" s="358"/>
      <c r="W185" s="398"/>
      <c r="X185" s="399"/>
      <c r="Y185" s="399"/>
      <c r="Z185" s="399"/>
      <c r="AA185" s="399"/>
      <c r="AB185" s="399"/>
      <c r="AC185" s="400"/>
      <c r="AD185" s="398"/>
      <c r="AE185" s="399"/>
      <c r="AF185" s="399"/>
      <c r="AG185" s="399"/>
      <c r="AH185" s="399"/>
      <c r="AI185" s="399"/>
      <c r="AJ185" s="400"/>
      <c r="AK185" s="398"/>
      <c r="AL185" s="399"/>
      <c r="AM185" s="399"/>
      <c r="AN185" s="399"/>
      <c r="AO185" s="399"/>
      <c r="AP185" s="399"/>
      <c r="AQ185" s="400"/>
      <c r="AR185" s="398"/>
      <c r="AS185" s="399"/>
      <c r="AT185" s="399"/>
      <c r="AU185" s="399"/>
      <c r="AV185" s="399"/>
      <c r="AW185" s="399"/>
      <c r="AX185" s="400"/>
      <c r="AY185" s="398"/>
      <c r="AZ185" s="399"/>
      <c r="BA185" s="399"/>
      <c r="BB185" s="399"/>
      <c r="BC185" s="399"/>
      <c r="BD185" s="399"/>
      <c r="BE185" s="400"/>
      <c r="BF185" s="398"/>
      <c r="BG185" s="399"/>
      <c r="BH185" s="399"/>
      <c r="BI185" s="399"/>
      <c r="BJ185" s="399"/>
      <c r="BK185" s="399"/>
      <c r="BL185" s="400"/>
      <c r="BM185" s="356"/>
      <c r="BN185" s="357"/>
      <c r="BO185" s="357"/>
      <c r="BP185" s="357"/>
      <c r="BQ185" s="357"/>
      <c r="BR185" s="357"/>
      <c r="BS185" s="357"/>
      <c r="BT185" s="357"/>
      <c r="BU185" s="357"/>
      <c r="BV185" s="357"/>
      <c r="BW185" s="357"/>
      <c r="BX185" s="357"/>
      <c r="BY185" s="357"/>
      <c r="BZ185" s="357"/>
      <c r="CA185" s="357"/>
      <c r="CB185" s="357"/>
      <c r="CC185" s="357"/>
      <c r="CD185" s="357"/>
      <c r="CE185" s="357"/>
      <c r="CF185" s="357"/>
      <c r="CG185" s="357"/>
      <c r="CH185" s="357"/>
      <c r="CI185" s="357"/>
      <c r="CJ185" s="357"/>
      <c r="CK185" s="357"/>
      <c r="CL185" s="358"/>
      <c r="CM185" s="356"/>
      <c r="CN185" s="357"/>
      <c r="CO185" s="357"/>
      <c r="CP185" s="357"/>
      <c r="CQ185" s="357"/>
      <c r="CR185" s="357"/>
      <c r="CS185" s="357"/>
      <c r="CT185" s="357"/>
      <c r="CU185" s="357"/>
      <c r="CV185" s="357"/>
      <c r="CW185" s="357"/>
      <c r="CX185" s="357"/>
      <c r="CY185" s="357"/>
      <c r="CZ185" s="357"/>
      <c r="DA185" s="357"/>
      <c r="DB185" s="357"/>
      <c r="DC185" s="357"/>
      <c r="DD185" s="358"/>
      <c r="DE185" s="7"/>
    </row>
    <row r="186" spans="1:109" ht="15" customHeight="1">
      <c r="A186" s="3"/>
      <c r="B186" s="382"/>
      <c r="C186" s="383"/>
      <c r="D186" s="383"/>
      <c r="E186" s="383"/>
      <c r="F186" s="383"/>
      <c r="G186" s="383"/>
      <c r="H186" s="384"/>
      <c r="I186" s="382"/>
      <c r="J186" s="383"/>
      <c r="K186" s="383"/>
      <c r="L186" s="383"/>
      <c r="M186" s="383"/>
      <c r="N186" s="383"/>
      <c r="O186" s="384"/>
      <c r="P186" s="382"/>
      <c r="Q186" s="383"/>
      <c r="R186" s="383"/>
      <c r="S186" s="383"/>
      <c r="T186" s="383"/>
      <c r="U186" s="383"/>
      <c r="V186" s="384"/>
      <c r="W186" s="408"/>
      <c r="X186" s="409"/>
      <c r="Y186" s="409"/>
      <c r="Z186" s="409"/>
      <c r="AA186" s="409"/>
      <c r="AB186" s="409"/>
      <c r="AC186" s="410"/>
      <c r="AD186" s="408"/>
      <c r="AE186" s="409"/>
      <c r="AF186" s="409"/>
      <c r="AG186" s="409"/>
      <c r="AH186" s="409"/>
      <c r="AI186" s="409"/>
      <c r="AJ186" s="410"/>
      <c r="AK186" s="408"/>
      <c r="AL186" s="409"/>
      <c r="AM186" s="409"/>
      <c r="AN186" s="409"/>
      <c r="AO186" s="409"/>
      <c r="AP186" s="409"/>
      <c r="AQ186" s="410"/>
      <c r="AR186" s="408"/>
      <c r="AS186" s="409"/>
      <c r="AT186" s="409"/>
      <c r="AU186" s="409"/>
      <c r="AV186" s="409"/>
      <c r="AW186" s="409"/>
      <c r="AX186" s="410"/>
      <c r="AY186" s="408"/>
      <c r="AZ186" s="409"/>
      <c r="BA186" s="409"/>
      <c r="BB186" s="409"/>
      <c r="BC186" s="409"/>
      <c r="BD186" s="409"/>
      <c r="BE186" s="410"/>
      <c r="BF186" s="408"/>
      <c r="BG186" s="409"/>
      <c r="BH186" s="409"/>
      <c r="BI186" s="409"/>
      <c r="BJ186" s="409"/>
      <c r="BK186" s="409"/>
      <c r="BL186" s="410"/>
      <c r="BM186" s="382"/>
      <c r="BN186" s="383"/>
      <c r="BO186" s="383"/>
      <c r="BP186" s="383"/>
      <c r="BQ186" s="383"/>
      <c r="BR186" s="383"/>
      <c r="BS186" s="383"/>
      <c r="BT186" s="383"/>
      <c r="BU186" s="383"/>
      <c r="BV186" s="383"/>
      <c r="BW186" s="383"/>
      <c r="BX186" s="383"/>
      <c r="BY186" s="383"/>
      <c r="BZ186" s="383"/>
      <c r="CA186" s="383"/>
      <c r="CB186" s="383"/>
      <c r="CC186" s="383"/>
      <c r="CD186" s="383"/>
      <c r="CE186" s="383"/>
      <c r="CF186" s="383"/>
      <c r="CG186" s="383"/>
      <c r="CH186" s="383"/>
      <c r="CI186" s="383"/>
      <c r="CJ186" s="383"/>
      <c r="CK186" s="383"/>
      <c r="CL186" s="384"/>
      <c r="CM186" s="382"/>
      <c r="CN186" s="383"/>
      <c r="CO186" s="383"/>
      <c r="CP186" s="383"/>
      <c r="CQ186" s="383"/>
      <c r="CR186" s="383"/>
      <c r="CS186" s="383"/>
      <c r="CT186" s="383"/>
      <c r="CU186" s="383"/>
      <c r="CV186" s="383"/>
      <c r="CW186" s="383"/>
      <c r="CX186" s="383"/>
      <c r="CY186" s="383"/>
      <c r="CZ186" s="383"/>
      <c r="DA186" s="383"/>
      <c r="DB186" s="383"/>
      <c r="DC186" s="383"/>
      <c r="DD186" s="384"/>
      <c r="DE186" s="7"/>
    </row>
    <row r="187" spans="1:109" ht="15" customHeight="1">
      <c r="A187" s="6"/>
      <c r="B187" s="385"/>
      <c r="C187" s="386"/>
      <c r="D187" s="386"/>
      <c r="E187" s="386"/>
      <c r="F187" s="386"/>
      <c r="G187" s="386"/>
      <c r="H187" s="387"/>
      <c r="I187" s="385"/>
      <c r="J187" s="386"/>
      <c r="K187" s="386"/>
      <c r="L187" s="386"/>
      <c r="M187" s="386"/>
      <c r="N187" s="386"/>
      <c r="O187" s="387"/>
      <c r="P187" s="385"/>
      <c r="Q187" s="386"/>
      <c r="R187" s="386"/>
      <c r="S187" s="386"/>
      <c r="T187" s="386"/>
      <c r="U187" s="386"/>
      <c r="V187" s="387"/>
      <c r="W187" s="411"/>
      <c r="X187" s="412"/>
      <c r="Y187" s="412"/>
      <c r="Z187" s="412"/>
      <c r="AA187" s="412"/>
      <c r="AB187" s="412"/>
      <c r="AC187" s="413"/>
      <c r="AD187" s="411"/>
      <c r="AE187" s="412"/>
      <c r="AF187" s="412"/>
      <c r="AG187" s="412"/>
      <c r="AH187" s="412"/>
      <c r="AI187" s="412"/>
      <c r="AJ187" s="413"/>
      <c r="AK187" s="411"/>
      <c r="AL187" s="412"/>
      <c r="AM187" s="412"/>
      <c r="AN187" s="412"/>
      <c r="AO187" s="412"/>
      <c r="AP187" s="412"/>
      <c r="AQ187" s="413"/>
      <c r="AR187" s="411"/>
      <c r="AS187" s="412"/>
      <c r="AT187" s="412"/>
      <c r="AU187" s="412"/>
      <c r="AV187" s="412"/>
      <c r="AW187" s="412"/>
      <c r="AX187" s="413"/>
      <c r="AY187" s="411"/>
      <c r="AZ187" s="412"/>
      <c r="BA187" s="412"/>
      <c r="BB187" s="412"/>
      <c r="BC187" s="412"/>
      <c r="BD187" s="412"/>
      <c r="BE187" s="413"/>
      <c r="BF187" s="411"/>
      <c r="BG187" s="412"/>
      <c r="BH187" s="412"/>
      <c r="BI187" s="412"/>
      <c r="BJ187" s="412"/>
      <c r="BK187" s="412"/>
      <c r="BL187" s="413"/>
      <c r="BM187" s="385"/>
      <c r="BN187" s="386"/>
      <c r="BO187" s="386"/>
      <c r="BP187" s="386"/>
      <c r="BQ187" s="386"/>
      <c r="BR187" s="386"/>
      <c r="BS187" s="386"/>
      <c r="BT187" s="386"/>
      <c r="BU187" s="386"/>
      <c r="BV187" s="386"/>
      <c r="BW187" s="386"/>
      <c r="BX187" s="386"/>
      <c r="BY187" s="386"/>
      <c r="BZ187" s="386"/>
      <c r="CA187" s="386"/>
      <c r="CB187" s="386"/>
      <c r="CC187" s="386"/>
      <c r="CD187" s="386"/>
      <c r="CE187" s="386"/>
      <c r="CF187" s="386"/>
      <c r="CG187" s="386"/>
      <c r="CH187" s="386"/>
      <c r="CI187" s="386"/>
      <c r="CJ187" s="386"/>
      <c r="CK187" s="386"/>
      <c r="CL187" s="387"/>
      <c r="CM187" s="385"/>
      <c r="CN187" s="386"/>
      <c r="CO187" s="386"/>
      <c r="CP187" s="386"/>
      <c r="CQ187" s="386"/>
      <c r="CR187" s="386"/>
      <c r="CS187" s="386"/>
      <c r="CT187" s="386"/>
      <c r="CU187" s="386"/>
      <c r="CV187" s="386"/>
      <c r="CW187" s="386"/>
      <c r="CX187" s="386"/>
      <c r="CY187" s="386"/>
      <c r="CZ187" s="386"/>
      <c r="DA187" s="386"/>
      <c r="DB187" s="386"/>
      <c r="DC187" s="386"/>
      <c r="DD187" s="387"/>
      <c r="DE187" s="7"/>
    </row>
    <row r="188" spans="1:109" ht="15" customHeight="1">
      <c r="A188" s="8"/>
      <c r="B188" s="353"/>
      <c r="C188" s="354"/>
      <c r="D188" s="354"/>
      <c r="E188" s="354"/>
      <c r="F188" s="354"/>
      <c r="G188" s="354"/>
      <c r="H188" s="355"/>
      <c r="I188" s="352"/>
      <c r="J188" s="352"/>
      <c r="K188" s="352"/>
      <c r="L188" s="352"/>
      <c r="M188" s="352"/>
      <c r="N188" s="352"/>
      <c r="O188" s="352"/>
      <c r="P188" s="352"/>
      <c r="Q188" s="352"/>
      <c r="R188" s="352"/>
      <c r="S188" s="352"/>
      <c r="T188" s="352"/>
      <c r="U188" s="352"/>
      <c r="V188" s="352"/>
      <c r="W188" s="360"/>
      <c r="X188" s="360"/>
      <c r="Y188" s="360"/>
      <c r="Z188" s="360"/>
      <c r="AA188" s="360"/>
      <c r="AB188" s="360"/>
      <c r="AC188" s="360"/>
      <c r="AD188" s="360"/>
      <c r="AE188" s="360"/>
      <c r="AF188" s="360"/>
      <c r="AG188" s="360"/>
      <c r="AH188" s="360"/>
      <c r="AI188" s="360"/>
      <c r="AJ188" s="360"/>
      <c r="AK188" s="360"/>
      <c r="AL188" s="360"/>
      <c r="AM188" s="360"/>
      <c r="AN188" s="360"/>
      <c r="AO188" s="360"/>
      <c r="AP188" s="360"/>
      <c r="AQ188" s="360"/>
      <c r="AR188" s="360"/>
      <c r="AS188" s="360"/>
      <c r="AT188" s="360"/>
      <c r="AU188" s="360"/>
      <c r="AV188" s="360"/>
      <c r="AW188" s="360"/>
      <c r="AX188" s="360"/>
      <c r="AY188" s="360"/>
      <c r="AZ188" s="360"/>
      <c r="BA188" s="360"/>
      <c r="BB188" s="360"/>
      <c r="BC188" s="360"/>
      <c r="BD188" s="360"/>
      <c r="BE188" s="360"/>
      <c r="BF188" s="360"/>
      <c r="BG188" s="360"/>
      <c r="BH188" s="360"/>
      <c r="BI188" s="360"/>
      <c r="BJ188" s="360"/>
      <c r="BK188" s="360"/>
      <c r="BL188" s="360"/>
      <c r="BM188" s="352"/>
      <c r="BN188" s="352"/>
      <c r="BO188" s="352"/>
      <c r="BP188" s="352"/>
      <c r="BQ188" s="352"/>
      <c r="BR188" s="352"/>
      <c r="BS188" s="352"/>
      <c r="BT188" s="352"/>
      <c r="BU188" s="352"/>
      <c r="BV188" s="352"/>
      <c r="BW188" s="352"/>
      <c r="BX188" s="352"/>
      <c r="BY188" s="352"/>
      <c r="BZ188" s="352"/>
      <c r="CA188" s="352"/>
      <c r="CB188" s="352"/>
      <c r="CC188" s="352"/>
      <c r="CD188" s="352"/>
      <c r="CE188" s="352"/>
      <c r="CF188" s="352"/>
      <c r="CG188" s="352"/>
      <c r="CH188" s="352"/>
      <c r="CI188" s="352"/>
      <c r="CJ188" s="352"/>
      <c r="CK188" s="352"/>
      <c r="CL188" s="352"/>
      <c r="CM188" s="352"/>
      <c r="CN188" s="352"/>
      <c r="CO188" s="352"/>
      <c r="CP188" s="352"/>
      <c r="CQ188" s="352"/>
      <c r="CR188" s="352"/>
      <c r="CS188" s="352"/>
      <c r="CT188" s="352"/>
      <c r="CU188" s="352"/>
      <c r="CV188" s="352"/>
      <c r="CW188" s="352"/>
      <c r="CX188" s="352"/>
      <c r="CY188" s="352"/>
      <c r="CZ188" s="352"/>
      <c r="DA188" s="352"/>
      <c r="DB188" s="352"/>
      <c r="DC188" s="352"/>
      <c r="DD188" s="352"/>
      <c r="DE188" s="7"/>
    </row>
    <row r="189" spans="1:109" ht="15" customHeight="1">
      <c r="A189" s="8"/>
      <c r="B189" s="356"/>
      <c r="C189" s="357"/>
      <c r="D189" s="357"/>
      <c r="E189" s="357"/>
      <c r="F189" s="357"/>
      <c r="G189" s="357"/>
      <c r="H189" s="358"/>
      <c r="I189" s="352"/>
      <c r="J189" s="352"/>
      <c r="K189" s="352"/>
      <c r="L189" s="352"/>
      <c r="M189" s="352"/>
      <c r="N189" s="352"/>
      <c r="O189" s="352"/>
      <c r="P189" s="352"/>
      <c r="Q189" s="352"/>
      <c r="R189" s="352"/>
      <c r="S189" s="352"/>
      <c r="T189" s="352"/>
      <c r="U189" s="352"/>
      <c r="V189" s="352"/>
      <c r="W189" s="360"/>
      <c r="X189" s="360"/>
      <c r="Y189" s="360"/>
      <c r="Z189" s="360"/>
      <c r="AA189" s="360"/>
      <c r="AB189" s="360"/>
      <c r="AC189" s="360"/>
      <c r="AD189" s="360"/>
      <c r="AE189" s="360"/>
      <c r="AF189" s="360"/>
      <c r="AG189" s="360"/>
      <c r="AH189" s="360"/>
      <c r="AI189" s="360"/>
      <c r="AJ189" s="360"/>
      <c r="AK189" s="360"/>
      <c r="AL189" s="360"/>
      <c r="AM189" s="360"/>
      <c r="AN189" s="360"/>
      <c r="AO189" s="360"/>
      <c r="AP189" s="360"/>
      <c r="AQ189" s="360"/>
      <c r="AR189" s="360"/>
      <c r="AS189" s="360"/>
      <c r="AT189" s="360"/>
      <c r="AU189" s="360"/>
      <c r="AV189" s="360"/>
      <c r="AW189" s="360"/>
      <c r="AX189" s="360"/>
      <c r="AY189" s="360"/>
      <c r="AZ189" s="360"/>
      <c r="BA189" s="360"/>
      <c r="BB189" s="360"/>
      <c r="BC189" s="360"/>
      <c r="BD189" s="360"/>
      <c r="BE189" s="360"/>
      <c r="BF189" s="360"/>
      <c r="BG189" s="360"/>
      <c r="BH189" s="360"/>
      <c r="BI189" s="360"/>
      <c r="BJ189" s="360"/>
      <c r="BK189" s="360"/>
      <c r="BL189" s="360"/>
      <c r="BM189" s="352"/>
      <c r="BN189" s="352"/>
      <c r="BO189" s="352"/>
      <c r="BP189" s="352"/>
      <c r="BQ189" s="352"/>
      <c r="BR189" s="352"/>
      <c r="BS189" s="352"/>
      <c r="BT189" s="352"/>
      <c r="BU189" s="352"/>
      <c r="BV189" s="352"/>
      <c r="BW189" s="352"/>
      <c r="BX189" s="352"/>
      <c r="BY189" s="352"/>
      <c r="BZ189" s="352"/>
      <c r="CA189" s="352"/>
      <c r="CB189" s="352"/>
      <c r="CC189" s="352"/>
      <c r="CD189" s="352"/>
      <c r="CE189" s="352"/>
      <c r="CF189" s="352"/>
      <c r="CG189" s="352"/>
      <c r="CH189" s="352"/>
      <c r="CI189" s="352"/>
      <c r="CJ189" s="352"/>
      <c r="CK189" s="352"/>
      <c r="CL189" s="352"/>
      <c r="CM189" s="352"/>
      <c r="CN189" s="352"/>
      <c r="CO189" s="352"/>
      <c r="CP189" s="352"/>
      <c r="CQ189" s="352"/>
      <c r="CR189" s="352"/>
      <c r="CS189" s="352"/>
      <c r="CT189" s="352"/>
      <c r="CU189" s="352"/>
      <c r="CV189" s="352"/>
      <c r="CW189" s="352"/>
      <c r="CX189" s="352"/>
      <c r="CY189" s="352"/>
      <c r="CZ189" s="352"/>
      <c r="DA189" s="352"/>
      <c r="DB189" s="352"/>
      <c r="DC189" s="352"/>
      <c r="DD189" s="352"/>
      <c r="DE189" s="7"/>
    </row>
    <row r="190" spans="1:109" ht="15" customHeight="1">
      <c r="A190" s="3"/>
      <c r="B190" s="382"/>
      <c r="C190" s="383"/>
      <c r="D190" s="383"/>
      <c r="E190" s="383"/>
      <c r="F190" s="383"/>
      <c r="G190" s="383"/>
      <c r="H190" s="384"/>
      <c r="I190" s="351"/>
      <c r="J190" s="351"/>
      <c r="K190" s="351"/>
      <c r="L190" s="351"/>
      <c r="M190" s="351"/>
      <c r="N190" s="351"/>
      <c r="O190" s="351"/>
      <c r="P190" s="351"/>
      <c r="Q190" s="351"/>
      <c r="R190" s="351"/>
      <c r="S190" s="351"/>
      <c r="T190" s="351"/>
      <c r="U190" s="351"/>
      <c r="V190" s="351"/>
      <c r="W190" s="359"/>
      <c r="X190" s="359"/>
      <c r="Y190" s="359"/>
      <c r="Z190" s="359"/>
      <c r="AA190" s="359"/>
      <c r="AB190" s="359"/>
      <c r="AC190" s="359"/>
      <c r="AD190" s="359"/>
      <c r="AE190" s="359"/>
      <c r="AF190" s="359"/>
      <c r="AG190" s="359"/>
      <c r="AH190" s="359"/>
      <c r="AI190" s="359"/>
      <c r="AJ190" s="359"/>
      <c r="AK190" s="359"/>
      <c r="AL190" s="359"/>
      <c r="AM190" s="359"/>
      <c r="AN190" s="359"/>
      <c r="AO190" s="359"/>
      <c r="AP190" s="359"/>
      <c r="AQ190" s="359"/>
      <c r="AR190" s="359"/>
      <c r="AS190" s="359"/>
      <c r="AT190" s="359"/>
      <c r="AU190" s="359"/>
      <c r="AV190" s="359"/>
      <c r="AW190" s="359"/>
      <c r="AX190" s="359"/>
      <c r="AY190" s="359"/>
      <c r="AZ190" s="359"/>
      <c r="BA190" s="359"/>
      <c r="BB190" s="359"/>
      <c r="BC190" s="359"/>
      <c r="BD190" s="359"/>
      <c r="BE190" s="359"/>
      <c r="BF190" s="359"/>
      <c r="BG190" s="359"/>
      <c r="BH190" s="359"/>
      <c r="BI190" s="359"/>
      <c r="BJ190" s="359"/>
      <c r="BK190" s="359"/>
      <c r="BL190" s="359"/>
      <c r="BM190" s="351"/>
      <c r="BN190" s="351"/>
      <c r="BO190" s="351"/>
      <c r="BP190" s="351"/>
      <c r="BQ190" s="351"/>
      <c r="BR190" s="351"/>
      <c r="BS190" s="351"/>
      <c r="BT190" s="351"/>
      <c r="BU190" s="351"/>
      <c r="BV190" s="351"/>
      <c r="BW190" s="351"/>
      <c r="BX190" s="351"/>
      <c r="BY190" s="351"/>
      <c r="BZ190" s="351"/>
      <c r="CA190" s="351"/>
      <c r="CB190" s="351"/>
      <c r="CC190" s="351"/>
      <c r="CD190" s="351"/>
      <c r="CE190" s="351"/>
      <c r="CF190" s="351"/>
      <c r="CG190" s="351"/>
      <c r="CH190" s="351"/>
      <c r="CI190" s="351"/>
      <c r="CJ190" s="351"/>
      <c r="CK190" s="351"/>
      <c r="CL190" s="351"/>
      <c r="CM190" s="351"/>
      <c r="CN190" s="351"/>
      <c r="CO190" s="351"/>
      <c r="CP190" s="351"/>
      <c r="CQ190" s="351"/>
      <c r="CR190" s="351"/>
      <c r="CS190" s="351"/>
      <c r="CT190" s="351"/>
      <c r="CU190" s="351"/>
      <c r="CV190" s="351"/>
      <c r="CW190" s="351"/>
      <c r="CX190" s="351"/>
      <c r="CY190" s="351"/>
      <c r="CZ190" s="351"/>
      <c r="DA190" s="351"/>
      <c r="DB190" s="351"/>
      <c r="DC190" s="351"/>
      <c r="DD190" s="351"/>
      <c r="DE190" s="7"/>
    </row>
    <row r="191" spans="1:109" ht="15" customHeight="1">
      <c r="A191" s="3"/>
      <c r="B191" s="385"/>
      <c r="C191" s="386"/>
      <c r="D191" s="386"/>
      <c r="E191" s="386"/>
      <c r="F191" s="386"/>
      <c r="G191" s="386"/>
      <c r="H191" s="387"/>
      <c r="I191" s="351"/>
      <c r="J191" s="351"/>
      <c r="K191" s="351"/>
      <c r="L191" s="351"/>
      <c r="M191" s="351"/>
      <c r="N191" s="351"/>
      <c r="O191" s="351"/>
      <c r="P191" s="351"/>
      <c r="Q191" s="351"/>
      <c r="R191" s="351"/>
      <c r="S191" s="351"/>
      <c r="T191" s="351"/>
      <c r="U191" s="351"/>
      <c r="V191" s="351"/>
      <c r="W191" s="359"/>
      <c r="X191" s="359"/>
      <c r="Y191" s="359"/>
      <c r="Z191" s="359"/>
      <c r="AA191" s="359"/>
      <c r="AB191" s="359"/>
      <c r="AC191" s="359"/>
      <c r="AD191" s="359"/>
      <c r="AE191" s="359"/>
      <c r="AF191" s="359"/>
      <c r="AG191" s="359"/>
      <c r="AH191" s="359"/>
      <c r="AI191" s="359"/>
      <c r="AJ191" s="359"/>
      <c r="AK191" s="359"/>
      <c r="AL191" s="359"/>
      <c r="AM191" s="359"/>
      <c r="AN191" s="359"/>
      <c r="AO191" s="359"/>
      <c r="AP191" s="359"/>
      <c r="AQ191" s="359"/>
      <c r="AR191" s="359"/>
      <c r="AS191" s="359"/>
      <c r="AT191" s="359"/>
      <c r="AU191" s="359"/>
      <c r="AV191" s="359"/>
      <c r="AW191" s="359"/>
      <c r="AX191" s="359"/>
      <c r="AY191" s="359"/>
      <c r="AZ191" s="359"/>
      <c r="BA191" s="359"/>
      <c r="BB191" s="359"/>
      <c r="BC191" s="359"/>
      <c r="BD191" s="359"/>
      <c r="BE191" s="359"/>
      <c r="BF191" s="359"/>
      <c r="BG191" s="359"/>
      <c r="BH191" s="359"/>
      <c r="BI191" s="359"/>
      <c r="BJ191" s="359"/>
      <c r="BK191" s="359"/>
      <c r="BL191" s="359"/>
      <c r="BM191" s="351"/>
      <c r="BN191" s="351"/>
      <c r="BO191" s="351"/>
      <c r="BP191" s="351"/>
      <c r="BQ191" s="351"/>
      <c r="BR191" s="351"/>
      <c r="BS191" s="351"/>
      <c r="BT191" s="351"/>
      <c r="BU191" s="351"/>
      <c r="BV191" s="351"/>
      <c r="BW191" s="351"/>
      <c r="BX191" s="351"/>
      <c r="BY191" s="351"/>
      <c r="BZ191" s="351"/>
      <c r="CA191" s="351"/>
      <c r="CB191" s="351"/>
      <c r="CC191" s="351"/>
      <c r="CD191" s="351"/>
      <c r="CE191" s="351"/>
      <c r="CF191" s="351"/>
      <c r="CG191" s="351"/>
      <c r="CH191" s="351"/>
      <c r="CI191" s="351"/>
      <c r="CJ191" s="351"/>
      <c r="CK191" s="351"/>
      <c r="CL191" s="351"/>
      <c r="CM191" s="351"/>
      <c r="CN191" s="351"/>
      <c r="CO191" s="351"/>
      <c r="CP191" s="351"/>
      <c r="CQ191" s="351"/>
      <c r="CR191" s="351"/>
      <c r="CS191" s="351"/>
      <c r="CT191" s="351"/>
      <c r="CU191" s="351"/>
      <c r="CV191" s="351"/>
      <c r="CW191" s="351"/>
      <c r="CX191" s="351"/>
      <c r="CY191" s="351"/>
      <c r="CZ191" s="351"/>
      <c r="DA191" s="351"/>
      <c r="DB191" s="351"/>
      <c r="DC191" s="351"/>
      <c r="DD191" s="351"/>
      <c r="DE191" s="7"/>
    </row>
    <row r="192" spans="1:109" ht="15" customHeight="1">
      <c r="A192" s="3"/>
      <c r="B192" s="353"/>
      <c r="C192" s="354"/>
      <c r="D192" s="354"/>
      <c r="E192" s="354"/>
      <c r="F192" s="354"/>
      <c r="G192" s="354"/>
      <c r="H192" s="355"/>
      <c r="I192" s="352"/>
      <c r="J192" s="352"/>
      <c r="K192" s="352"/>
      <c r="L192" s="352"/>
      <c r="M192" s="352"/>
      <c r="N192" s="352"/>
      <c r="O192" s="352"/>
      <c r="P192" s="352"/>
      <c r="Q192" s="352"/>
      <c r="R192" s="352"/>
      <c r="S192" s="352"/>
      <c r="T192" s="352"/>
      <c r="U192" s="352"/>
      <c r="V192" s="352"/>
      <c r="W192" s="360"/>
      <c r="X192" s="360"/>
      <c r="Y192" s="360"/>
      <c r="Z192" s="360"/>
      <c r="AA192" s="360"/>
      <c r="AB192" s="360"/>
      <c r="AC192" s="360"/>
      <c r="AD192" s="360"/>
      <c r="AE192" s="360"/>
      <c r="AF192" s="360"/>
      <c r="AG192" s="360"/>
      <c r="AH192" s="360"/>
      <c r="AI192" s="360"/>
      <c r="AJ192" s="360"/>
      <c r="AK192" s="360"/>
      <c r="AL192" s="360"/>
      <c r="AM192" s="360"/>
      <c r="AN192" s="360"/>
      <c r="AO192" s="360"/>
      <c r="AP192" s="360"/>
      <c r="AQ192" s="360"/>
      <c r="AR192" s="360"/>
      <c r="AS192" s="360"/>
      <c r="AT192" s="360"/>
      <c r="AU192" s="360"/>
      <c r="AV192" s="360"/>
      <c r="AW192" s="360"/>
      <c r="AX192" s="360"/>
      <c r="AY192" s="360"/>
      <c r="AZ192" s="360"/>
      <c r="BA192" s="360"/>
      <c r="BB192" s="360"/>
      <c r="BC192" s="360"/>
      <c r="BD192" s="360"/>
      <c r="BE192" s="360"/>
      <c r="BF192" s="360"/>
      <c r="BG192" s="360"/>
      <c r="BH192" s="360"/>
      <c r="BI192" s="360"/>
      <c r="BJ192" s="360"/>
      <c r="BK192" s="360"/>
      <c r="BL192" s="360"/>
      <c r="BM192" s="416"/>
      <c r="BN192" s="352"/>
      <c r="BO192" s="352"/>
      <c r="BP192" s="352"/>
      <c r="BQ192" s="352"/>
      <c r="BR192" s="352"/>
      <c r="BS192" s="352"/>
      <c r="BT192" s="352"/>
      <c r="BU192" s="352"/>
      <c r="BV192" s="352"/>
      <c r="BW192" s="352"/>
      <c r="BX192" s="352"/>
      <c r="BY192" s="352"/>
      <c r="BZ192" s="352"/>
      <c r="CA192" s="352"/>
      <c r="CB192" s="352"/>
      <c r="CC192" s="352"/>
      <c r="CD192" s="352"/>
      <c r="CE192" s="352"/>
      <c r="CF192" s="352"/>
      <c r="CG192" s="352"/>
      <c r="CH192" s="352"/>
      <c r="CI192" s="352"/>
      <c r="CJ192" s="352"/>
      <c r="CK192" s="352"/>
      <c r="CL192" s="352"/>
      <c r="CM192" s="352"/>
      <c r="CN192" s="352"/>
      <c r="CO192" s="352"/>
      <c r="CP192" s="352"/>
      <c r="CQ192" s="352"/>
      <c r="CR192" s="352"/>
      <c r="CS192" s="352"/>
      <c r="CT192" s="352"/>
      <c r="CU192" s="352"/>
      <c r="CV192" s="352"/>
      <c r="CW192" s="352"/>
      <c r="CX192" s="352"/>
      <c r="CY192" s="352"/>
      <c r="CZ192" s="352"/>
      <c r="DA192" s="352"/>
      <c r="DB192" s="352"/>
      <c r="DC192" s="352"/>
      <c r="DD192" s="352"/>
      <c r="DE192" s="24"/>
    </row>
    <row r="193" spans="1:109" ht="15" customHeight="1">
      <c r="A193" s="3"/>
      <c r="B193" s="356"/>
      <c r="C193" s="357"/>
      <c r="D193" s="357"/>
      <c r="E193" s="357"/>
      <c r="F193" s="357"/>
      <c r="G193" s="357"/>
      <c r="H193" s="358"/>
      <c r="I193" s="352"/>
      <c r="J193" s="352"/>
      <c r="K193" s="352"/>
      <c r="L193" s="352"/>
      <c r="M193" s="352"/>
      <c r="N193" s="352"/>
      <c r="O193" s="352"/>
      <c r="P193" s="352"/>
      <c r="Q193" s="352"/>
      <c r="R193" s="352"/>
      <c r="S193" s="352"/>
      <c r="T193" s="352"/>
      <c r="U193" s="352"/>
      <c r="V193" s="352"/>
      <c r="W193" s="360"/>
      <c r="X193" s="360"/>
      <c r="Y193" s="360"/>
      <c r="Z193" s="360"/>
      <c r="AA193" s="360"/>
      <c r="AB193" s="360"/>
      <c r="AC193" s="360"/>
      <c r="AD193" s="360"/>
      <c r="AE193" s="360"/>
      <c r="AF193" s="360"/>
      <c r="AG193" s="360"/>
      <c r="AH193" s="360"/>
      <c r="AI193" s="360"/>
      <c r="AJ193" s="360"/>
      <c r="AK193" s="360"/>
      <c r="AL193" s="360"/>
      <c r="AM193" s="360"/>
      <c r="AN193" s="360"/>
      <c r="AO193" s="360"/>
      <c r="AP193" s="360"/>
      <c r="AQ193" s="360"/>
      <c r="AR193" s="360"/>
      <c r="AS193" s="360"/>
      <c r="AT193" s="360"/>
      <c r="AU193" s="360"/>
      <c r="AV193" s="360"/>
      <c r="AW193" s="360"/>
      <c r="AX193" s="360"/>
      <c r="AY193" s="360"/>
      <c r="AZ193" s="360"/>
      <c r="BA193" s="360"/>
      <c r="BB193" s="360"/>
      <c r="BC193" s="360"/>
      <c r="BD193" s="360"/>
      <c r="BE193" s="360"/>
      <c r="BF193" s="360"/>
      <c r="BG193" s="360"/>
      <c r="BH193" s="360"/>
      <c r="BI193" s="360"/>
      <c r="BJ193" s="360"/>
      <c r="BK193" s="360"/>
      <c r="BL193" s="360"/>
      <c r="BM193" s="352"/>
      <c r="BN193" s="352"/>
      <c r="BO193" s="352"/>
      <c r="BP193" s="352"/>
      <c r="BQ193" s="352"/>
      <c r="BR193" s="352"/>
      <c r="BS193" s="352"/>
      <c r="BT193" s="352"/>
      <c r="BU193" s="352"/>
      <c r="BV193" s="352"/>
      <c r="BW193" s="352"/>
      <c r="BX193" s="352"/>
      <c r="BY193" s="352"/>
      <c r="BZ193" s="352"/>
      <c r="CA193" s="352"/>
      <c r="CB193" s="352"/>
      <c r="CC193" s="352"/>
      <c r="CD193" s="352"/>
      <c r="CE193" s="352"/>
      <c r="CF193" s="352"/>
      <c r="CG193" s="352"/>
      <c r="CH193" s="352"/>
      <c r="CI193" s="352"/>
      <c r="CJ193" s="352"/>
      <c r="CK193" s="352"/>
      <c r="CL193" s="352"/>
      <c r="CM193" s="352"/>
      <c r="CN193" s="352"/>
      <c r="CO193" s="352"/>
      <c r="CP193" s="352"/>
      <c r="CQ193" s="352"/>
      <c r="CR193" s="352"/>
      <c r="CS193" s="352"/>
      <c r="CT193" s="352"/>
      <c r="CU193" s="352"/>
      <c r="CV193" s="352"/>
      <c r="CW193" s="352"/>
      <c r="CX193" s="352"/>
      <c r="CY193" s="352"/>
      <c r="CZ193" s="352"/>
      <c r="DA193" s="352"/>
      <c r="DB193" s="352"/>
      <c r="DC193" s="352"/>
      <c r="DD193" s="352"/>
      <c r="DE193" s="7"/>
    </row>
    <row r="194" spans="1:109" ht="15" customHeight="1">
      <c r="A194" s="8"/>
      <c r="B194" s="382"/>
      <c r="C194" s="383"/>
      <c r="D194" s="383"/>
      <c r="E194" s="383"/>
      <c r="F194" s="383"/>
      <c r="G194" s="383"/>
      <c r="H194" s="384"/>
      <c r="I194" s="351"/>
      <c r="J194" s="351"/>
      <c r="K194" s="351"/>
      <c r="L194" s="351"/>
      <c r="M194" s="351"/>
      <c r="N194" s="351"/>
      <c r="O194" s="351"/>
      <c r="P194" s="351"/>
      <c r="Q194" s="351"/>
      <c r="R194" s="351"/>
      <c r="S194" s="351"/>
      <c r="T194" s="351"/>
      <c r="U194" s="351"/>
      <c r="V194" s="351"/>
      <c r="W194" s="359"/>
      <c r="X194" s="359"/>
      <c r="Y194" s="359"/>
      <c r="Z194" s="359"/>
      <c r="AA194" s="359"/>
      <c r="AB194" s="359"/>
      <c r="AC194" s="359"/>
      <c r="AD194" s="359"/>
      <c r="AE194" s="359"/>
      <c r="AF194" s="359"/>
      <c r="AG194" s="359"/>
      <c r="AH194" s="359"/>
      <c r="AI194" s="359"/>
      <c r="AJ194" s="359"/>
      <c r="AK194" s="359"/>
      <c r="AL194" s="359"/>
      <c r="AM194" s="359"/>
      <c r="AN194" s="359"/>
      <c r="AO194" s="359"/>
      <c r="AP194" s="359"/>
      <c r="AQ194" s="359"/>
      <c r="AR194" s="359"/>
      <c r="AS194" s="359"/>
      <c r="AT194" s="359"/>
      <c r="AU194" s="359"/>
      <c r="AV194" s="359"/>
      <c r="AW194" s="359"/>
      <c r="AX194" s="359"/>
      <c r="AY194" s="359"/>
      <c r="AZ194" s="359"/>
      <c r="BA194" s="359"/>
      <c r="BB194" s="359"/>
      <c r="BC194" s="359"/>
      <c r="BD194" s="359"/>
      <c r="BE194" s="359"/>
      <c r="BF194" s="359"/>
      <c r="BG194" s="359"/>
      <c r="BH194" s="359"/>
      <c r="BI194" s="359"/>
      <c r="BJ194" s="359"/>
      <c r="BK194" s="359"/>
      <c r="BL194" s="359"/>
      <c r="BM194" s="351"/>
      <c r="BN194" s="351"/>
      <c r="BO194" s="351"/>
      <c r="BP194" s="351"/>
      <c r="BQ194" s="351"/>
      <c r="BR194" s="351"/>
      <c r="BS194" s="351"/>
      <c r="BT194" s="351"/>
      <c r="BU194" s="351"/>
      <c r="BV194" s="351"/>
      <c r="BW194" s="351"/>
      <c r="BX194" s="351"/>
      <c r="BY194" s="351"/>
      <c r="BZ194" s="351"/>
      <c r="CA194" s="351"/>
      <c r="CB194" s="351"/>
      <c r="CC194" s="351"/>
      <c r="CD194" s="351"/>
      <c r="CE194" s="351"/>
      <c r="CF194" s="351"/>
      <c r="CG194" s="351"/>
      <c r="CH194" s="351"/>
      <c r="CI194" s="351"/>
      <c r="CJ194" s="351"/>
      <c r="CK194" s="351"/>
      <c r="CL194" s="351"/>
      <c r="CM194" s="351"/>
      <c r="CN194" s="351"/>
      <c r="CO194" s="351"/>
      <c r="CP194" s="351"/>
      <c r="CQ194" s="351"/>
      <c r="CR194" s="351"/>
      <c r="CS194" s="351"/>
      <c r="CT194" s="351"/>
      <c r="CU194" s="351"/>
      <c r="CV194" s="351"/>
      <c r="CW194" s="351"/>
      <c r="CX194" s="351"/>
      <c r="CY194" s="351"/>
      <c r="CZ194" s="351"/>
      <c r="DA194" s="351"/>
      <c r="DB194" s="351"/>
      <c r="DC194" s="351"/>
      <c r="DD194" s="351"/>
      <c r="DE194" s="7"/>
    </row>
    <row r="195" spans="1:109" ht="15" customHeight="1">
      <c r="A195" s="6"/>
      <c r="B195" s="385"/>
      <c r="C195" s="386"/>
      <c r="D195" s="386"/>
      <c r="E195" s="386"/>
      <c r="F195" s="386"/>
      <c r="G195" s="386"/>
      <c r="H195" s="387"/>
      <c r="I195" s="351"/>
      <c r="J195" s="351"/>
      <c r="K195" s="351"/>
      <c r="L195" s="351"/>
      <c r="M195" s="351"/>
      <c r="N195" s="351"/>
      <c r="O195" s="351"/>
      <c r="P195" s="351"/>
      <c r="Q195" s="351"/>
      <c r="R195" s="351"/>
      <c r="S195" s="351"/>
      <c r="T195" s="351"/>
      <c r="U195" s="351"/>
      <c r="V195" s="351"/>
      <c r="W195" s="359"/>
      <c r="X195" s="359"/>
      <c r="Y195" s="359"/>
      <c r="Z195" s="359"/>
      <c r="AA195" s="359"/>
      <c r="AB195" s="359"/>
      <c r="AC195" s="359"/>
      <c r="AD195" s="359"/>
      <c r="AE195" s="359"/>
      <c r="AF195" s="359"/>
      <c r="AG195" s="359"/>
      <c r="AH195" s="359"/>
      <c r="AI195" s="359"/>
      <c r="AJ195" s="359"/>
      <c r="AK195" s="359"/>
      <c r="AL195" s="359"/>
      <c r="AM195" s="359"/>
      <c r="AN195" s="359"/>
      <c r="AO195" s="359"/>
      <c r="AP195" s="359"/>
      <c r="AQ195" s="359"/>
      <c r="AR195" s="359"/>
      <c r="AS195" s="359"/>
      <c r="AT195" s="359"/>
      <c r="AU195" s="359"/>
      <c r="AV195" s="359"/>
      <c r="AW195" s="359"/>
      <c r="AX195" s="359"/>
      <c r="AY195" s="359"/>
      <c r="AZ195" s="359"/>
      <c r="BA195" s="359"/>
      <c r="BB195" s="359"/>
      <c r="BC195" s="359"/>
      <c r="BD195" s="359"/>
      <c r="BE195" s="359"/>
      <c r="BF195" s="359"/>
      <c r="BG195" s="359"/>
      <c r="BH195" s="359"/>
      <c r="BI195" s="359"/>
      <c r="BJ195" s="359"/>
      <c r="BK195" s="359"/>
      <c r="BL195" s="359"/>
      <c r="BM195" s="351"/>
      <c r="BN195" s="351"/>
      <c r="BO195" s="351"/>
      <c r="BP195" s="351"/>
      <c r="BQ195" s="351"/>
      <c r="BR195" s="351"/>
      <c r="BS195" s="351"/>
      <c r="BT195" s="351"/>
      <c r="BU195" s="351"/>
      <c r="BV195" s="351"/>
      <c r="BW195" s="351"/>
      <c r="BX195" s="351"/>
      <c r="BY195" s="351"/>
      <c r="BZ195" s="351"/>
      <c r="CA195" s="351"/>
      <c r="CB195" s="351"/>
      <c r="CC195" s="351"/>
      <c r="CD195" s="351"/>
      <c r="CE195" s="351"/>
      <c r="CF195" s="351"/>
      <c r="CG195" s="351"/>
      <c r="CH195" s="351"/>
      <c r="CI195" s="351"/>
      <c r="CJ195" s="351"/>
      <c r="CK195" s="351"/>
      <c r="CL195" s="351"/>
      <c r="CM195" s="351"/>
      <c r="CN195" s="351"/>
      <c r="CO195" s="351"/>
      <c r="CP195" s="351"/>
      <c r="CQ195" s="351"/>
      <c r="CR195" s="351"/>
      <c r="CS195" s="351"/>
      <c r="CT195" s="351"/>
      <c r="CU195" s="351"/>
      <c r="CV195" s="351"/>
      <c r="CW195" s="351"/>
      <c r="CX195" s="351"/>
      <c r="CY195" s="351"/>
      <c r="CZ195" s="351"/>
      <c r="DA195" s="351"/>
      <c r="DB195" s="351"/>
      <c r="DC195" s="351"/>
      <c r="DD195" s="351"/>
      <c r="DE195" s="7"/>
    </row>
    <row r="196" spans="1:109" ht="15" customHeight="1">
      <c r="A196" s="3"/>
      <c r="B196" s="353"/>
      <c r="C196" s="354"/>
      <c r="D196" s="354"/>
      <c r="E196" s="354"/>
      <c r="F196" s="354"/>
      <c r="G196" s="354"/>
      <c r="H196" s="355"/>
      <c r="I196" s="352"/>
      <c r="J196" s="352"/>
      <c r="K196" s="352"/>
      <c r="L196" s="352"/>
      <c r="M196" s="352"/>
      <c r="N196" s="352"/>
      <c r="O196" s="352"/>
      <c r="P196" s="352"/>
      <c r="Q196" s="352"/>
      <c r="R196" s="352"/>
      <c r="S196" s="352"/>
      <c r="T196" s="352"/>
      <c r="U196" s="352"/>
      <c r="V196" s="352"/>
      <c r="W196" s="360"/>
      <c r="X196" s="360"/>
      <c r="Y196" s="360"/>
      <c r="Z196" s="360"/>
      <c r="AA196" s="360"/>
      <c r="AB196" s="360"/>
      <c r="AC196" s="360"/>
      <c r="AD196" s="360"/>
      <c r="AE196" s="360"/>
      <c r="AF196" s="360"/>
      <c r="AG196" s="360"/>
      <c r="AH196" s="360"/>
      <c r="AI196" s="360"/>
      <c r="AJ196" s="360"/>
      <c r="AK196" s="360"/>
      <c r="AL196" s="360"/>
      <c r="AM196" s="360"/>
      <c r="AN196" s="360"/>
      <c r="AO196" s="360"/>
      <c r="AP196" s="360"/>
      <c r="AQ196" s="360"/>
      <c r="AR196" s="360"/>
      <c r="AS196" s="360"/>
      <c r="AT196" s="360"/>
      <c r="AU196" s="360"/>
      <c r="AV196" s="360"/>
      <c r="AW196" s="360"/>
      <c r="AX196" s="360"/>
      <c r="AY196" s="360"/>
      <c r="AZ196" s="360"/>
      <c r="BA196" s="360"/>
      <c r="BB196" s="360"/>
      <c r="BC196" s="360"/>
      <c r="BD196" s="360"/>
      <c r="BE196" s="360"/>
      <c r="BF196" s="360"/>
      <c r="BG196" s="360"/>
      <c r="BH196" s="360"/>
      <c r="BI196" s="360"/>
      <c r="BJ196" s="360"/>
      <c r="BK196" s="360"/>
      <c r="BL196" s="360"/>
      <c r="BM196" s="352"/>
      <c r="BN196" s="352"/>
      <c r="BO196" s="352"/>
      <c r="BP196" s="352"/>
      <c r="BQ196" s="352"/>
      <c r="BR196" s="352"/>
      <c r="BS196" s="352"/>
      <c r="BT196" s="352"/>
      <c r="BU196" s="352"/>
      <c r="BV196" s="352"/>
      <c r="BW196" s="352"/>
      <c r="BX196" s="352"/>
      <c r="BY196" s="352"/>
      <c r="BZ196" s="352"/>
      <c r="CA196" s="352"/>
      <c r="CB196" s="352"/>
      <c r="CC196" s="352"/>
      <c r="CD196" s="352"/>
      <c r="CE196" s="352"/>
      <c r="CF196" s="352"/>
      <c r="CG196" s="352"/>
      <c r="CH196" s="352"/>
      <c r="CI196" s="352"/>
      <c r="CJ196" s="352"/>
      <c r="CK196" s="352"/>
      <c r="CL196" s="352"/>
      <c r="CM196" s="352"/>
      <c r="CN196" s="352"/>
      <c r="CO196" s="352"/>
      <c r="CP196" s="352"/>
      <c r="CQ196" s="352"/>
      <c r="CR196" s="352"/>
      <c r="CS196" s="352"/>
      <c r="CT196" s="352"/>
      <c r="CU196" s="352"/>
      <c r="CV196" s="352"/>
      <c r="CW196" s="352"/>
      <c r="CX196" s="352"/>
      <c r="CY196" s="352"/>
      <c r="CZ196" s="352"/>
      <c r="DA196" s="352"/>
      <c r="DB196" s="352"/>
      <c r="DC196" s="352"/>
      <c r="DD196" s="352"/>
      <c r="DE196" s="7"/>
    </row>
    <row r="197" spans="1:109" ht="15" customHeight="1">
      <c r="A197" s="6"/>
      <c r="B197" s="356"/>
      <c r="C197" s="357"/>
      <c r="D197" s="357"/>
      <c r="E197" s="357"/>
      <c r="F197" s="357"/>
      <c r="G197" s="357"/>
      <c r="H197" s="358"/>
      <c r="I197" s="352"/>
      <c r="J197" s="352"/>
      <c r="K197" s="352"/>
      <c r="L197" s="352"/>
      <c r="M197" s="352"/>
      <c r="N197" s="352"/>
      <c r="O197" s="352"/>
      <c r="P197" s="352"/>
      <c r="Q197" s="352"/>
      <c r="R197" s="352"/>
      <c r="S197" s="352"/>
      <c r="T197" s="352"/>
      <c r="U197" s="352"/>
      <c r="V197" s="352"/>
      <c r="W197" s="360"/>
      <c r="X197" s="360"/>
      <c r="Y197" s="360"/>
      <c r="Z197" s="360"/>
      <c r="AA197" s="360"/>
      <c r="AB197" s="360"/>
      <c r="AC197" s="360"/>
      <c r="AD197" s="360"/>
      <c r="AE197" s="360"/>
      <c r="AF197" s="360"/>
      <c r="AG197" s="360"/>
      <c r="AH197" s="360"/>
      <c r="AI197" s="360"/>
      <c r="AJ197" s="360"/>
      <c r="AK197" s="360"/>
      <c r="AL197" s="360"/>
      <c r="AM197" s="360"/>
      <c r="AN197" s="360"/>
      <c r="AO197" s="360"/>
      <c r="AP197" s="360"/>
      <c r="AQ197" s="360"/>
      <c r="AR197" s="360"/>
      <c r="AS197" s="360"/>
      <c r="AT197" s="360"/>
      <c r="AU197" s="360"/>
      <c r="AV197" s="360"/>
      <c r="AW197" s="360"/>
      <c r="AX197" s="360"/>
      <c r="AY197" s="360"/>
      <c r="AZ197" s="360"/>
      <c r="BA197" s="360"/>
      <c r="BB197" s="360"/>
      <c r="BC197" s="360"/>
      <c r="BD197" s="360"/>
      <c r="BE197" s="360"/>
      <c r="BF197" s="360"/>
      <c r="BG197" s="360"/>
      <c r="BH197" s="360"/>
      <c r="BI197" s="360"/>
      <c r="BJ197" s="360"/>
      <c r="BK197" s="360"/>
      <c r="BL197" s="360"/>
      <c r="BM197" s="352"/>
      <c r="BN197" s="352"/>
      <c r="BO197" s="352"/>
      <c r="BP197" s="352"/>
      <c r="BQ197" s="352"/>
      <c r="BR197" s="352"/>
      <c r="BS197" s="352"/>
      <c r="BT197" s="352"/>
      <c r="BU197" s="352"/>
      <c r="BV197" s="352"/>
      <c r="BW197" s="352"/>
      <c r="BX197" s="352"/>
      <c r="BY197" s="352"/>
      <c r="BZ197" s="352"/>
      <c r="CA197" s="352"/>
      <c r="CB197" s="352"/>
      <c r="CC197" s="352"/>
      <c r="CD197" s="352"/>
      <c r="CE197" s="352"/>
      <c r="CF197" s="352"/>
      <c r="CG197" s="352"/>
      <c r="CH197" s="352"/>
      <c r="CI197" s="352"/>
      <c r="CJ197" s="352"/>
      <c r="CK197" s="352"/>
      <c r="CL197" s="352"/>
      <c r="CM197" s="352"/>
      <c r="CN197" s="352"/>
      <c r="CO197" s="352"/>
      <c r="CP197" s="352"/>
      <c r="CQ197" s="352"/>
      <c r="CR197" s="352"/>
      <c r="CS197" s="352"/>
      <c r="CT197" s="352"/>
      <c r="CU197" s="352"/>
      <c r="CV197" s="352"/>
      <c r="CW197" s="352"/>
      <c r="CX197" s="352"/>
      <c r="CY197" s="352"/>
      <c r="CZ197" s="352"/>
      <c r="DA197" s="352"/>
      <c r="DB197" s="352"/>
      <c r="DC197" s="352"/>
      <c r="DD197" s="352"/>
      <c r="DE197" s="7"/>
    </row>
    <row r="198" spans="1:109" ht="15" customHeight="1">
      <c r="A198" s="6"/>
      <c r="B198" s="382"/>
      <c r="C198" s="383"/>
      <c r="D198" s="383"/>
      <c r="E198" s="383"/>
      <c r="F198" s="383"/>
      <c r="G198" s="383"/>
      <c r="H198" s="384"/>
      <c r="I198" s="351"/>
      <c r="J198" s="351"/>
      <c r="K198" s="351"/>
      <c r="L198" s="351"/>
      <c r="M198" s="351"/>
      <c r="N198" s="351"/>
      <c r="O198" s="351"/>
      <c r="P198" s="351"/>
      <c r="Q198" s="351"/>
      <c r="R198" s="351"/>
      <c r="S198" s="351"/>
      <c r="T198" s="351"/>
      <c r="U198" s="351"/>
      <c r="V198" s="351"/>
      <c r="W198" s="359"/>
      <c r="X198" s="359"/>
      <c r="Y198" s="359"/>
      <c r="Z198" s="359"/>
      <c r="AA198" s="359"/>
      <c r="AB198" s="359"/>
      <c r="AC198" s="359"/>
      <c r="AD198" s="359"/>
      <c r="AE198" s="359"/>
      <c r="AF198" s="359"/>
      <c r="AG198" s="359"/>
      <c r="AH198" s="359"/>
      <c r="AI198" s="359"/>
      <c r="AJ198" s="359"/>
      <c r="AK198" s="359"/>
      <c r="AL198" s="359"/>
      <c r="AM198" s="359"/>
      <c r="AN198" s="359"/>
      <c r="AO198" s="359"/>
      <c r="AP198" s="359"/>
      <c r="AQ198" s="359"/>
      <c r="AR198" s="359"/>
      <c r="AS198" s="359"/>
      <c r="AT198" s="359"/>
      <c r="AU198" s="359"/>
      <c r="AV198" s="359"/>
      <c r="AW198" s="359"/>
      <c r="AX198" s="359"/>
      <c r="AY198" s="359"/>
      <c r="AZ198" s="359"/>
      <c r="BA198" s="359"/>
      <c r="BB198" s="359"/>
      <c r="BC198" s="359"/>
      <c r="BD198" s="359"/>
      <c r="BE198" s="359"/>
      <c r="BF198" s="359"/>
      <c r="BG198" s="359"/>
      <c r="BH198" s="359"/>
      <c r="BI198" s="359"/>
      <c r="BJ198" s="359"/>
      <c r="BK198" s="359"/>
      <c r="BL198" s="359"/>
      <c r="BM198" s="351"/>
      <c r="BN198" s="351"/>
      <c r="BO198" s="351"/>
      <c r="BP198" s="351"/>
      <c r="BQ198" s="351"/>
      <c r="BR198" s="351"/>
      <c r="BS198" s="351"/>
      <c r="BT198" s="351"/>
      <c r="BU198" s="351"/>
      <c r="BV198" s="351"/>
      <c r="BW198" s="351"/>
      <c r="BX198" s="351"/>
      <c r="BY198" s="351"/>
      <c r="BZ198" s="351"/>
      <c r="CA198" s="351"/>
      <c r="CB198" s="351"/>
      <c r="CC198" s="351"/>
      <c r="CD198" s="351"/>
      <c r="CE198" s="351"/>
      <c r="CF198" s="351"/>
      <c r="CG198" s="351"/>
      <c r="CH198" s="351"/>
      <c r="CI198" s="351"/>
      <c r="CJ198" s="351"/>
      <c r="CK198" s="351"/>
      <c r="CL198" s="351"/>
      <c r="CM198" s="351"/>
      <c r="CN198" s="351"/>
      <c r="CO198" s="351"/>
      <c r="CP198" s="351"/>
      <c r="CQ198" s="351"/>
      <c r="CR198" s="351"/>
      <c r="CS198" s="351"/>
      <c r="CT198" s="351"/>
      <c r="CU198" s="351"/>
      <c r="CV198" s="351"/>
      <c r="CW198" s="351"/>
      <c r="CX198" s="351"/>
      <c r="CY198" s="351"/>
      <c r="CZ198" s="351"/>
      <c r="DA198" s="351"/>
      <c r="DB198" s="351"/>
      <c r="DC198" s="351"/>
      <c r="DD198" s="351"/>
      <c r="DE198" s="7"/>
    </row>
    <row r="199" spans="1:109" ht="15" customHeight="1">
      <c r="A199" s="3"/>
      <c r="B199" s="385"/>
      <c r="C199" s="386"/>
      <c r="D199" s="386"/>
      <c r="E199" s="386"/>
      <c r="F199" s="386"/>
      <c r="G199" s="386"/>
      <c r="H199" s="387"/>
      <c r="I199" s="351"/>
      <c r="J199" s="351"/>
      <c r="K199" s="351"/>
      <c r="L199" s="351"/>
      <c r="M199" s="351"/>
      <c r="N199" s="351"/>
      <c r="O199" s="351"/>
      <c r="P199" s="351"/>
      <c r="Q199" s="351"/>
      <c r="R199" s="351"/>
      <c r="S199" s="351"/>
      <c r="T199" s="351"/>
      <c r="U199" s="351"/>
      <c r="V199" s="351"/>
      <c r="W199" s="359"/>
      <c r="X199" s="359"/>
      <c r="Y199" s="359"/>
      <c r="Z199" s="359"/>
      <c r="AA199" s="359"/>
      <c r="AB199" s="359"/>
      <c r="AC199" s="359"/>
      <c r="AD199" s="359"/>
      <c r="AE199" s="359"/>
      <c r="AF199" s="359"/>
      <c r="AG199" s="359"/>
      <c r="AH199" s="359"/>
      <c r="AI199" s="359"/>
      <c r="AJ199" s="359"/>
      <c r="AK199" s="359"/>
      <c r="AL199" s="359"/>
      <c r="AM199" s="359"/>
      <c r="AN199" s="359"/>
      <c r="AO199" s="359"/>
      <c r="AP199" s="359"/>
      <c r="AQ199" s="359"/>
      <c r="AR199" s="359"/>
      <c r="AS199" s="359"/>
      <c r="AT199" s="359"/>
      <c r="AU199" s="359"/>
      <c r="AV199" s="359"/>
      <c r="AW199" s="359"/>
      <c r="AX199" s="359"/>
      <c r="AY199" s="359"/>
      <c r="AZ199" s="359"/>
      <c r="BA199" s="359"/>
      <c r="BB199" s="359"/>
      <c r="BC199" s="359"/>
      <c r="BD199" s="359"/>
      <c r="BE199" s="359"/>
      <c r="BF199" s="359"/>
      <c r="BG199" s="359"/>
      <c r="BH199" s="359"/>
      <c r="BI199" s="359"/>
      <c r="BJ199" s="359"/>
      <c r="BK199" s="359"/>
      <c r="BL199" s="359"/>
      <c r="BM199" s="351"/>
      <c r="BN199" s="351"/>
      <c r="BO199" s="351"/>
      <c r="BP199" s="351"/>
      <c r="BQ199" s="351"/>
      <c r="BR199" s="351"/>
      <c r="BS199" s="351"/>
      <c r="BT199" s="351"/>
      <c r="BU199" s="351"/>
      <c r="BV199" s="351"/>
      <c r="BW199" s="351"/>
      <c r="BX199" s="351"/>
      <c r="BY199" s="351"/>
      <c r="BZ199" s="351"/>
      <c r="CA199" s="351"/>
      <c r="CB199" s="351"/>
      <c r="CC199" s="351"/>
      <c r="CD199" s="351"/>
      <c r="CE199" s="351"/>
      <c r="CF199" s="351"/>
      <c r="CG199" s="351"/>
      <c r="CH199" s="351"/>
      <c r="CI199" s="351"/>
      <c r="CJ199" s="351"/>
      <c r="CK199" s="351"/>
      <c r="CL199" s="351"/>
      <c r="CM199" s="351"/>
      <c r="CN199" s="351"/>
      <c r="CO199" s="351"/>
      <c r="CP199" s="351"/>
      <c r="CQ199" s="351"/>
      <c r="CR199" s="351"/>
      <c r="CS199" s="351"/>
      <c r="CT199" s="351"/>
      <c r="CU199" s="351"/>
      <c r="CV199" s="351"/>
      <c r="CW199" s="351"/>
      <c r="CX199" s="351"/>
      <c r="CY199" s="351"/>
      <c r="CZ199" s="351"/>
      <c r="DA199" s="351"/>
      <c r="DB199" s="351"/>
      <c r="DC199" s="351"/>
      <c r="DD199" s="351"/>
      <c r="DE199" s="7"/>
    </row>
    <row r="200" spans="1:109" ht="15" customHeight="1">
      <c r="A200" s="6"/>
      <c r="B200" s="353"/>
      <c r="C200" s="354"/>
      <c r="D200" s="354"/>
      <c r="E200" s="354"/>
      <c r="F200" s="354"/>
      <c r="G200" s="354"/>
      <c r="H200" s="355"/>
      <c r="I200" s="352"/>
      <c r="J200" s="352"/>
      <c r="K200" s="352"/>
      <c r="L200" s="352"/>
      <c r="M200" s="352"/>
      <c r="N200" s="352"/>
      <c r="O200" s="352"/>
      <c r="P200" s="352"/>
      <c r="Q200" s="352"/>
      <c r="R200" s="352"/>
      <c r="S200" s="352"/>
      <c r="T200" s="352"/>
      <c r="U200" s="352"/>
      <c r="V200" s="352"/>
      <c r="W200" s="360"/>
      <c r="X200" s="360"/>
      <c r="Y200" s="360"/>
      <c r="Z200" s="360"/>
      <c r="AA200" s="360"/>
      <c r="AB200" s="360"/>
      <c r="AC200" s="360"/>
      <c r="AD200" s="360"/>
      <c r="AE200" s="360"/>
      <c r="AF200" s="360"/>
      <c r="AG200" s="360"/>
      <c r="AH200" s="360"/>
      <c r="AI200" s="360"/>
      <c r="AJ200" s="360"/>
      <c r="AK200" s="360"/>
      <c r="AL200" s="360"/>
      <c r="AM200" s="360"/>
      <c r="AN200" s="360"/>
      <c r="AO200" s="360"/>
      <c r="AP200" s="360"/>
      <c r="AQ200" s="360"/>
      <c r="AR200" s="360"/>
      <c r="AS200" s="360"/>
      <c r="AT200" s="360"/>
      <c r="AU200" s="360"/>
      <c r="AV200" s="360"/>
      <c r="AW200" s="360"/>
      <c r="AX200" s="360"/>
      <c r="AY200" s="360"/>
      <c r="AZ200" s="360"/>
      <c r="BA200" s="360"/>
      <c r="BB200" s="360"/>
      <c r="BC200" s="360"/>
      <c r="BD200" s="360"/>
      <c r="BE200" s="360"/>
      <c r="BF200" s="360"/>
      <c r="BG200" s="360"/>
      <c r="BH200" s="360"/>
      <c r="BI200" s="360"/>
      <c r="BJ200" s="360"/>
      <c r="BK200" s="360"/>
      <c r="BL200" s="360"/>
      <c r="BM200" s="352"/>
      <c r="BN200" s="352"/>
      <c r="BO200" s="352"/>
      <c r="BP200" s="352"/>
      <c r="BQ200" s="352"/>
      <c r="BR200" s="352"/>
      <c r="BS200" s="352"/>
      <c r="BT200" s="352"/>
      <c r="BU200" s="352"/>
      <c r="BV200" s="352"/>
      <c r="BW200" s="352"/>
      <c r="BX200" s="352"/>
      <c r="BY200" s="352"/>
      <c r="BZ200" s="352"/>
      <c r="CA200" s="352"/>
      <c r="CB200" s="352"/>
      <c r="CC200" s="352"/>
      <c r="CD200" s="352"/>
      <c r="CE200" s="352"/>
      <c r="CF200" s="352"/>
      <c r="CG200" s="352"/>
      <c r="CH200" s="352"/>
      <c r="CI200" s="352"/>
      <c r="CJ200" s="352"/>
      <c r="CK200" s="352"/>
      <c r="CL200" s="352"/>
      <c r="CM200" s="352"/>
      <c r="CN200" s="352"/>
      <c r="CO200" s="352"/>
      <c r="CP200" s="352"/>
      <c r="CQ200" s="352"/>
      <c r="CR200" s="352"/>
      <c r="CS200" s="352"/>
      <c r="CT200" s="352"/>
      <c r="CU200" s="352"/>
      <c r="CV200" s="352"/>
      <c r="CW200" s="352"/>
      <c r="CX200" s="352"/>
      <c r="CY200" s="352"/>
      <c r="CZ200" s="352"/>
      <c r="DA200" s="352"/>
      <c r="DB200" s="352"/>
      <c r="DC200" s="352"/>
      <c r="DD200" s="352"/>
      <c r="DE200" s="7"/>
    </row>
    <row r="201" spans="1:109" ht="15" customHeight="1">
      <c r="A201" s="8"/>
      <c r="B201" s="356"/>
      <c r="C201" s="357"/>
      <c r="D201" s="357"/>
      <c r="E201" s="357"/>
      <c r="F201" s="357"/>
      <c r="G201" s="357"/>
      <c r="H201" s="358"/>
      <c r="I201" s="352"/>
      <c r="J201" s="352"/>
      <c r="K201" s="352"/>
      <c r="L201" s="352"/>
      <c r="M201" s="352"/>
      <c r="N201" s="352"/>
      <c r="O201" s="352"/>
      <c r="P201" s="352"/>
      <c r="Q201" s="352"/>
      <c r="R201" s="352"/>
      <c r="S201" s="352"/>
      <c r="T201" s="352"/>
      <c r="U201" s="352"/>
      <c r="V201" s="352"/>
      <c r="W201" s="360"/>
      <c r="X201" s="360"/>
      <c r="Y201" s="360"/>
      <c r="Z201" s="360"/>
      <c r="AA201" s="360"/>
      <c r="AB201" s="360"/>
      <c r="AC201" s="360"/>
      <c r="AD201" s="360"/>
      <c r="AE201" s="360"/>
      <c r="AF201" s="360"/>
      <c r="AG201" s="360"/>
      <c r="AH201" s="360"/>
      <c r="AI201" s="360"/>
      <c r="AJ201" s="360"/>
      <c r="AK201" s="360"/>
      <c r="AL201" s="360"/>
      <c r="AM201" s="360"/>
      <c r="AN201" s="360"/>
      <c r="AO201" s="360"/>
      <c r="AP201" s="360"/>
      <c r="AQ201" s="360"/>
      <c r="AR201" s="360"/>
      <c r="AS201" s="360"/>
      <c r="AT201" s="360"/>
      <c r="AU201" s="360"/>
      <c r="AV201" s="360"/>
      <c r="AW201" s="360"/>
      <c r="AX201" s="360"/>
      <c r="AY201" s="360"/>
      <c r="AZ201" s="360"/>
      <c r="BA201" s="360"/>
      <c r="BB201" s="360"/>
      <c r="BC201" s="360"/>
      <c r="BD201" s="360"/>
      <c r="BE201" s="360"/>
      <c r="BF201" s="360"/>
      <c r="BG201" s="360"/>
      <c r="BH201" s="360"/>
      <c r="BI201" s="360"/>
      <c r="BJ201" s="360"/>
      <c r="BK201" s="360"/>
      <c r="BL201" s="360"/>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7"/>
    </row>
    <row r="202" spans="1:109" ht="15" customHeight="1">
      <c r="A202" s="8"/>
      <c r="B202" s="382"/>
      <c r="C202" s="383"/>
      <c r="D202" s="383"/>
      <c r="E202" s="383"/>
      <c r="F202" s="383"/>
      <c r="G202" s="383"/>
      <c r="H202" s="384"/>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417"/>
      <c r="AE202" s="351"/>
      <c r="AF202" s="351"/>
      <c r="AG202" s="351"/>
      <c r="AH202" s="351"/>
      <c r="AI202" s="351"/>
      <c r="AJ202" s="351"/>
      <c r="AK202" s="417"/>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82"/>
      <c r="BG202" s="383"/>
      <c r="BH202" s="383"/>
      <c r="BI202" s="383"/>
      <c r="BJ202" s="383"/>
      <c r="BK202" s="383"/>
      <c r="BL202" s="384"/>
      <c r="BM202" s="382"/>
      <c r="BN202" s="383"/>
      <c r="BO202" s="383"/>
      <c r="BP202" s="383"/>
      <c r="BQ202" s="383"/>
      <c r="BR202" s="383"/>
      <c r="BS202" s="383"/>
      <c r="BT202" s="383"/>
      <c r="BU202" s="383"/>
      <c r="BV202" s="383"/>
      <c r="BW202" s="383"/>
      <c r="BX202" s="383"/>
      <c r="BY202" s="383"/>
      <c r="BZ202" s="383"/>
      <c r="CA202" s="383"/>
      <c r="CB202" s="383"/>
      <c r="CC202" s="383"/>
      <c r="CD202" s="383"/>
      <c r="CE202" s="383"/>
      <c r="CF202" s="383"/>
      <c r="CG202" s="383"/>
      <c r="CH202" s="383"/>
      <c r="CI202" s="383"/>
      <c r="CJ202" s="383"/>
      <c r="CK202" s="383"/>
      <c r="CL202" s="384"/>
      <c r="CM202" s="351"/>
      <c r="CN202" s="351"/>
      <c r="CO202" s="351"/>
      <c r="CP202" s="351"/>
      <c r="CQ202" s="351"/>
      <c r="CR202" s="351"/>
      <c r="CS202" s="351"/>
      <c r="CT202" s="351"/>
      <c r="CU202" s="351"/>
      <c r="CV202" s="351"/>
      <c r="CW202" s="351"/>
      <c r="CX202" s="351"/>
      <c r="CY202" s="351"/>
      <c r="CZ202" s="351"/>
      <c r="DA202" s="351"/>
      <c r="DB202" s="351"/>
      <c r="DC202" s="351"/>
      <c r="DD202" s="351"/>
      <c r="DE202" s="7"/>
    </row>
    <row r="203" spans="1:109" ht="15" customHeight="1">
      <c r="A203" s="3"/>
      <c r="B203" s="385"/>
      <c r="C203" s="386"/>
      <c r="D203" s="386"/>
      <c r="E203" s="386"/>
      <c r="F203" s="386"/>
      <c r="G203" s="386"/>
      <c r="H203" s="387"/>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85"/>
      <c r="BG203" s="386"/>
      <c r="BH203" s="386"/>
      <c r="BI203" s="386"/>
      <c r="BJ203" s="386"/>
      <c r="BK203" s="386"/>
      <c r="BL203" s="387"/>
      <c r="BM203" s="385"/>
      <c r="BN203" s="386"/>
      <c r="BO203" s="386"/>
      <c r="BP203" s="386"/>
      <c r="BQ203" s="386"/>
      <c r="BR203" s="386"/>
      <c r="BS203" s="386"/>
      <c r="BT203" s="386"/>
      <c r="BU203" s="386"/>
      <c r="BV203" s="386"/>
      <c r="BW203" s="386"/>
      <c r="BX203" s="386"/>
      <c r="BY203" s="386"/>
      <c r="BZ203" s="386"/>
      <c r="CA203" s="386"/>
      <c r="CB203" s="386"/>
      <c r="CC203" s="386"/>
      <c r="CD203" s="386"/>
      <c r="CE203" s="386"/>
      <c r="CF203" s="386"/>
      <c r="CG203" s="386"/>
      <c r="CH203" s="386"/>
      <c r="CI203" s="386"/>
      <c r="CJ203" s="386"/>
      <c r="CK203" s="386"/>
      <c r="CL203" s="387"/>
      <c r="CM203" s="351"/>
      <c r="CN203" s="351"/>
      <c r="CO203" s="351"/>
      <c r="CP203" s="351"/>
      <c r="CQ203" s="351"/>
      <c r="CR203" s="351"/>
      <c r="CS203" s="351"/>
      <c r="CT203" s="351"/>
      <c r="CU203" s="351"/>
      <c r="CV203" s="351"/>
      <c r="CW203" s="351"/>
      <c r="CX203" s="351"/>
      <c r="CY203" s="351"/>
      <c r="CZ203" s="351"/>
      <c r="DA203" s="351"/>
      <c r="DB203" s="351"/>
      <c r="DC203" s="351"/>
      <c r="DD203" s="351"/>
      <c r="DE203" s="7"/>
    </row>
    <row r="204" spans="1:109" ht="15" customHeight="1">
      <c r="A204" s="3"/>
      <c r="B204" s="352"/>
      <c r="C204" s="352"/>
      <c r="D204" s="352"/>
      <c r="E204" s="352"/>
      <c r="F204" s="352"/>
      <c r="G204" s="352"/>
      <c r="H204" s="352"/>
      <c r="I204" s="352"/>
      <c r="J204" s="352"/>
      <c r="K204" s="352"/>
      <c r="L204" s="352"/>
      <c r="M204" s="352"/>
      <c r="N204" s="352"/>
      <c r="O204" s="352"/>
      <c r="P204" s="352"/>
      <c r="Q204" s="352"/>
      <c r="R204" s="352"/>
      <c r="S204" s="352"/>
      <c r="T204" s="352"/>
      <c r="U204" s="352"/>
      <c r="V204" s="352"/>
      <c r="W204" s="352"/>
      <c r="X204" s="352"/>
      <c r="Y204" s="352"/>
      <c r="Z204" s="352"/>
      <c r="AA204" s="352"/>
      <c r="AB204" s="352"/>
      <c r="AC204" s="352"/>
      <c r="AD204" s="352"/>
      <c r="AE204" s="352"/>
      <c r="AF204" s="352"/>
      <c r="AG204" s="352"/>
      <c r="AH204" s="352"/>
      <c r="AI204" s="352"/>
      <c r="AJ204" s="352"/>
      <c r="AK204" s="352"/>
      <c r="AL204" s="352"/>
      <c r="AM204" s="352"/>
      <c r="AN204" s="352"/>
      <c r="AO204" s="352"/>
      <c r="AP204" s="352"/>
      <c r="AQ204" s="352"/>
      <c r="AR204" s="352"/>
      <c r="AS204" s="352"/>
      <c r="AT204" s="352"/>
      <c r="AU204" s="352"/>
      <c r="AV204" s="352"/>
      <c r="AW204" s="352"/>
      <c r="AX204" s="352"/>
      <c r="AY204" s="352"/>
      <c r="AZ204" s="352"/>
      <c r="BA204" s="352"/>
      <c r="BB204" s="352"/>
      <c r="BC204" s="352"/>
      <c r="BD204" s="352"/>
      <c r="BE204" s="352"/>
      <c r="BF204" s="352"/>
      <c r="BG204" s="352"/>
      <c r="BH204" s="352"/>
      <c r="BI204" s="352"/>
      <c r="BJ204" s="352"/>
      <c r="BK204" s="352"/>
      <c r="BL204" s="352"/>
      <c r="BM204" s="352"/>
      <c r="BN204" s="352"/>
      <c r="BO204" s="352"/>
      <c r="BP204" s="352"/>
      <c r="BQ204" s="352"/>
      <c r="BR204" s="352"/>
      <c r="BS204" s="352"/>
      <c r="BT204" s="352"/>
      <c r="BU204" s="352"/>
      <c r="BV204" s="352"/>
      <c r="BW204" s="352"/>
      <c r="BX204" s="352"/>
      <c r="BY204" s="352"/>
      <c r="BZ204" s="352"/>
      <c r="CA204" s="352"/>
      <c r="CB204" s="352"/>
      <c r="CC204" s="352"/>
      <c r="CD204" s="352"/>
      <c r="CE204" s="352"/>
      <c r="CF204" s="352"/>
      <c r="CG204" s="352"/>
      <c r="CH204" s="352"/>
      <c r="CI204" s="352"/>
      <c r="CJ204" s="352"/>
      <c r="CK204" s="352"/>
      <c r="CL204" s="352"/>
      <c r="CM204" s="352"/>
      <c r="CN204" s="352"/>
      <c r="CO204" s="352"/>
      <c r="CP204" s="352"/>
      <c r="CQ204" s="352"/>
      <c r="CR204" s="352"/>
      <c r="CS204" s="352"/>
      <c r="CT204" s="352"/>
      <c r="CU204" s="352"/>
      <c r="CV204" s="352"/>
      <c r="CW204" s="352"/>
      <c r="CX204" s="352"/>
      <c r="CY204" s="352"/>
      <c r="CZ204" s="352"/>
      <c r="DA204" s="352"/>
      <c r="DB204" s="352"/>
      <c r="DC204" s="352"/>
      <c r="DD204" s="352"/>
      <c r="DE204" s="7"/>
    </row>
    <row r="205" spans="1:109" ht="15" customHeight="1">
      <c r="A205" s="6"/>
      <c r="B205" s="352"/>
      <c r="C205" s="352"/>
      <c r="D205" s="352"/>
      <c r="E205" s="352"/>
      <c r="F205" s="352"/>
      <c r="G205" s="352"/>
      <c r="H205" s="352"/>
      <c r="I205" s="352"/>
      <c r="J205" s="352"/>
      <c r="K205" s="352"/>
      <c r="L205" s="352"/>
      <c r="M205" s="352"/>
      <c r="N205" s="352"/>
      <c r="O205" s="352"/>
      <c r="P205" s="352"/>
      <c r="Q205" s="352"/>
      <c r="R205" s="352"/>
      <c r="S205" s="352"/>
      <c r="T205" s="352"/>
      <c r="U205" s="352"/>
      <c r="V205" s="352"/>
      <c r="W205" s="352"/>
      <c r="X205" s="352"/>
      <c r="Y205" s="352"/>
      <c r="Z205" s="352"/>
      <c r="AA205" s="352"/>
      <c r="AB205" s="352"/>
      <c r="AC205" s="352"/>
      <c r="AD205" s="352"/>
      <c r="AE205" s="352"/>
      <c r="AF205" s="352"/>
      <c r="AG205" s="352"/>
      <c r="AH205" s="352"/>
      <c r="AI205" s="352"/>
      <c r="AJ205" s="352"/>
      <c r="AK205" s="352"/>
      <c r="AL205" s="352"/>
      <c r="AM205" s="352"/>
      <c r="AN205" s="352"/>
      <c r="AO205" s="352"/>
      <c r="AP205" s="352"/>
      <c r="AQ205" s="352"/>
      <c r="AR205" s="352"/>
      <c r="AS205" s="352"/>
      <c r="AT205" s="352"/>
      <c r="AU205" s="352"/>
      <c r="AV205" s="352"/>
      <c r="AW205" s="352"/>
      <c r="AX205" s="352"/>
      <c r="AY205" s="352"/>
      <c r="AZ205" s="352"/>
      <c r="BA205" s="352"/>
      <c r="BB205" s="352"/>
      <c r="BC205" s="352"/>
      <c r="BD205" s="352"/>
      <c r="BE205" s="352"/>
      <c r="BF205" s="352"/>
      <c r="BG205" s="352"/>
      <c r="BH205" s="352"/>
      <c r="BI205" s="352"/>
      <c r="BJ205" s="352"/>
      <c r="BK205" s="352"/>
      <c r="BL205" s="352"/>
      <c r="BM205" s="352"/>
      <c r="BN205" s="352"/>
      <c r="BO205" s="352"/>
      <c r="BP205" s="352"/>
      <c r="BQ205" s="352"/>
      <c r="BR205" s="352"/>
      <c r="BS205" s="352"/>
      <c r="BT205" s="352"/>
      <c r="BU205" s="352"/>
      <c r="BV205" s="352"/>
      <c r="BW205" s="352"/>
      <c r="BX205" s="352"/>
      <c r="BY205" s="352"/>
      <c r="BZ205" s="352"/>
      <c r="CA205" s="352"/>
      <c r="CB205" s="352"/>
      <c r="CC205" s="352"/>
      <c r="CD205" s="352"/>
      <c r="CE205" s="352"/>
      <c r="CF205" s="352"/>
      <c r="CG205" s="352"/>
      <c r="CH205" s="352"/>
      <c r="CI205" s="352"/>
      <c r="CJ205" s="352"/>
      <c r="CK205" s="352"/>
      <c r="CL205" s="352"/>
      <c r="CM205" s="352"/>
      <c r="CN205" s="352"/>
      <c r="CO205" s="352"/>
      <c r="CP205" s="352"/>
      <c r="CQ205" s="352"/>
      <c r="CR205" s="352"/>
      <c r="CS205" s="352"/>
      <c r="CT205" s="352"/>
      <c r="CU205" s="352"/>
      <c r="CV205" s="352"/>
      <c r="CW205" s="352"/>
      <c r="CX205" s="352"/>
      <c r="CY205" s="352"/>
      <c r="CZ205" s="352"/>
      <c r="DA205" s="352"/>
      <c r="DB205" s="352"/>
      <c r="DC205" s="352"/>
      <c r="DD205" s="352"/>
      <c r="DE205" s="7"/>
    </row>
    <row r="206" spans="1:109" ht="15" customHeight="1">
      <c r="A206" s="8"/>
      <c r="B206" s="382"/>
      <c r="C206" s="383"/>
      <c r="D206" s="383"/>
      <c r="E206" s="383"/>
      <c r="F206" s="383"/>
      <c r="G206" s="383"/>
      <c r="H206" s="384"/>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c r="BI206" s="351"/>
      <c r="BJ206" s="351"/>
      <c r="BK206" s="351"/>
      <c r="BL206" s="351"/>
      <c r="BM206" s="351"/>
      <c r="BN206" s="351"/>
      <c r="BO206" s="351"/>
      <c r="BP206" s="351"/>
      <c r="BQ206" s="351"/>
      <c r="BR206" s="351"/>
      <c r="BS206" s="351"/>
      <c r="BT206" s="351"/>
      <c r="BU206" s="351"/>
      <c r="BV206" s="351"/>
      <c r="BW206" s="351"/>
      <c r="BX206" s="351"/>
      <c r="BY206" s="351"/>
      <c r="BZ206" s="351"/>
      <c r="CA206" s="351"/>
      <c r="CB206" s="351"/>
      <c r="CC206" s="351"/>
      <c r="CD206" s="351"/>
      <c r="CE206" s="351"/>
      <c r="CF206" s="351"/>
      <c r="CG206" s="351"/>
      <c r="CH206" s="351"/>
      <c r="CI206" s="351"/>
      <c r="CJ206" s="351"/>
      <c r="CK206" s="351"/>
      <c r="CL206" s="351"/>
      <c r="CM206" s="351"/>
      <c r="CN206" s="351"/>
      <c r="CO206" s="351"/>
      <c r="CP206" s="351"/>
      <c r="CQ206" s="351"/>
      <c r="CR206" s="351"/>
      <c r="CS206" s="351"/>
      <c r="CT206" s="351"/>
      <c r="CU206" s="351"/>
      <c r="CV206" s="351"/>
      <c r="CW206" s="351"/>
      <c r="CX206" s="351"/>
      <c r="CY206" s="351"/>
      <c r="CZ206" s="351"/>
      <c r="DA206" s="351"/>
      <c r="DB206" s="351"/>
      <c r="DC206" s="351"/>
      <c r="DD206" s="351"/>
      <c r="DE206" s="7"/>
    </row>
    <row r="207" spans="1:109" ht="15" customHeight="1">
      <c r="A207" s="3"/>
      <c r="B207" s="385"/>
      <c r="C207" s="386"/>
      <c r="D207" s="386"/>
      <c r="E207" s="386"/>
      <c r="F207" s="386"/>
      <c r="G207" s="386"/>
      <c r="H207" s="387"/>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351"/>
      <c r="BF207" s="351"/>
      <c r="BG207" s="351"/>
      <c r="BH207" s="351"/>
      <c r="BI207" s="351"/>
      <c r="BJ207" s="351"/>
      <c r="BK207" s="351"/>
      <c r="BL207" s="351"/>
      <c r="BM207" s="351"/>
      <c r="BN207" s="351"/>
      <c r="BO207" s="351"/>
      <c r="BP207" s="351"/>
      <c r="BQ207" s="351"/>
      <c r="BR207" s="351"/>
      <c r="BS207" s="351"/>
      <c r="BT207" s="351"/>
      <c r="BU207" s="351"/>
      <c r="BV207" s="351"/>
      <c r="BW207" s="351"/>
      <c r="BX207" s="351"/>
      <c r="BY207" s="351"/>
      <c r="BZ207" s="351"/>
      <c r="CA207" s="351"/>
      <c r="CB207" s="351"/>
      <c r="CC207" s="351"/>
      <c r="CD207" s="351"/>
      <c r="CE207" s="351"/>
      <c r="CF207" s="351"/>
      <c r="CG207" s="351"/>
      <c r="CH207" s="351"/>
      <c r="CI207" s="351"/>
      <c r="CJ207" s="351"/>
      <c r="CK207" s="351"/>
      <c r="CL207" s="351"/>
      <c r="CM207" s="351"/>
      <c r="CN207" s="351"/>
      <c r="CO207" s="351"/>
      <c r="CP207" s="351"/>
      <c r="CQ207" s="351"/>
      <c r="CR207" s="351"/>
      <c r="CS207" s="351"/>
      <c r="CT207" s="351"/>
      <c r="CU207" s="351"/>
      <c r="CV207" s="351"/>
      <c r="CW207" s="351"/>
      <c r="CX207" s="351"/>
      <c r="CY207" s="351"/>
      <c r="CZ207" s="351"/>
      <c r="DA207" s="351"/>
      <c r="DB207" s="351"/>
      <c r="DC207" s="351"/>
      <c r="DD207" s="351"/>
      <c r="DE207" s="7"/>
    </row>
    <row r="208" spans="1:109" ht="15" customHeight="1">
      <c r="A208" s="3"/>
      <c r="B208" s="353"/>
      <c r="C208" s="354"/>
      <c r="D208" s="354"/>
      <c r="E208" s="354"/>
      <c r="F208" s="354"/>
      <c r="G208" s="354"/>
      <c r="H208" s="355"/>
      <c r="I208" s="352"/>
      <c r="J208" s="352"/>
      <c r="K208" s="352"/>
      <c r="L208" s="352"/>
      <c r="M208" s="352"/>
      <c r="N208" s="352"/>
      <c r="O208" s="352"/>
      <c r="P208" s="352"/>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7"/>
    </row>
    <row r="209" spans="1:109" ht="15" customHeight="1">
      <c r="A209" s="3"/>
      <c r="B209" s="356"/>
      <c r="C209" s="357"/>
      <c r="D209" s="357"/>
      <c r="E209" s="357"/>
      <c r="F209" s="357"/>
      <c r="G209" s="357"/>
      <c r="H209" s="358"/>
      <c r="I209" s="352"/>
      <c r="J209" s="352"/>
      <c r="K209" s="352"/>
      <c r="L209" s="352"/>
      <c r="M209" s="352"/>
      <c r="N209" s="352"/>
      <c r="O209" s="352"/>
      <c r="P209" s="352"/>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7"/>
    </row>
    <row r="210" spans="1:109" ht="15" customHeight="1">
      <c r="A210" s="6"/>
      <c r="B210" s="382"/>
      <c r="C210" s="383"/>
      <c r="D210" s="383"/>
      <c r="E210" s="383"/>
      <c r="F210" s="383"/>
      <c r="G210" s="383"/>
      <c r="H210" s="384"/>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c r="BI210" s="351"/>
      <c r="BJ210" s="351"/>
      <c r="BK210" s="351"/>
      <c r="BL210" s="351"/>
      <c r="BM210" s="351"/>
      <c r="BN210" s="351"/>
      <c r="BO210" s="351"/>
      <c r="BP210" s="351"/>
      <c r="BQ210" s="351"/>
      <c r="BR210" s="351"/>
      <c r="BS210" s="351"/>
      <c r="BT210" s="351"/>
      <c r="BU210" s="351"/>
      <c r="BV210" s="351"/>
      <c r="BW210" s="351"/>
      <c r="BX210" s="351"/>
      <c r="BY210" s="351"/>
      <c r="BZ210" s="351"/>
      <c r="CA210" s="351"/>
      <c r="CB210" s="351"/>
      <c r="CC210" s="351"/>
      <c r="CD210" s="351"/>
      <c r="CE210" s="351"/>
      <c r="CF210" s="351"/>
      <c r="CG210" s="351"/>
      <c r="CH210" s="351"/>
      <c r="CI210" s="351"/>
      <c r="CJ210" s="351"/>
      <c r="CK210" s="351"/>
      <c r="CL210" s="351"/>
      <c r="CM210" s="351"/>
      <c r="CN210" s="351"/>
      <c r="CO210" s="351"/>
      <c r="CP210" s="351"/>
      <c r="CQ210" s="351"/>
      <c r="CR210" s="351"/>
      <c r="CS210" s="351"/>
      <c r="CT210" s="351"/>
      <c r="CU210" s="351"/>
      <c r="CV210" s="351"/>
      <c r="CW210" s="351"/>
      <c r="CX210" s="351"/>
      <c r="CY210" s="351"/>
      <c r="CZ210" s="351"/>
      <c r="DA210" s="351"/>
      <c r="DB210" s="351"/>
      <c r="DC210" s="351"/>
      <c r="DD210" s="351"/>
      <c r="DE210" s="7"/>
    </row>
    <row r="211" spans="1:109" ht="15" customHeight="1">
      <c r="A211" s="8"/>
      <c r="B211" s="385"/>
      <c r="C211" s="386"/>
      <c r="D211" s="386"/>
      <c r="E211" s="386"/>
      <c r="F211" s="386"/>
      <c r="G211" s="386"/>
      <c r="H211" s="387"/>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c r="BI211" s="351"/>
      <c r="BJ211" s="351"/>
      <c r="BK211" s="351"/>
      <c r="BL211" s="351"/>
      <c r="BM211" s="351"/>
      <c r="BN211" s="351"/>
      <c r="BO211" s="351"/>
      <c r="BP211" s="351"/>
      <c r="BQ211" s="351"/>
      <c r="BR211" s="351"/>
      <c r="BS211" s="351"/>
      <c r="BT211" s="351"/>
      <c r="BU211" s="351"/>
      <c r="BV211" s="351"/>
      <c r="BW211" s="351"/>
      <c r="BX211" s="351"/>
      <c r="BY211" s="351"/>
      <c r="BZ211" s="351"/>
      <c r="CA211" s="351"/>
      <c r="CB211" s="351"/>
      <c r="CC211" s="351"/>
      <c r="CD211" s="351"/>
      <c r="CE211" s="351"/>
      <c r="CF211" s="351"/>
      <c r="CG211" s="351"/>
      <c r="CH211" s="351"/>
      <c r="CI211" s="351"/>
      <c r="CJ211" s="351"/>
      <c r="CK211" s="351"/>
      <c r="CL211" s="351"/>
      <c r="CM211" s="351"/>
      <c r="CN211" s="351"/>
      <c r="CO211" s="351"/>
      <c r="CP211" s="351"/>
      <c r="CQ211" s="351"/>
      <c r="CR211" s="351"/>
      <c r="CS211" s="351"/>
      <c r="CT211" s="351"/>
      <c r="CU211" s="351"/>
      <c r="CV211" s="351"/>
      <c r="CW211" s="351"/>
      <c r="CX211" s="351"/>
      <c r="CY211" s="351"/>
      <c r="CZ211" s="351"/>
      <c r="DA211" s="351"/>
      <c r="DB211" s="351"/>
      <c r="DC211" s="351"/>
      <c r="DD211" s="351"/>
      <c r="DE211" s="7"/>
    </row>
    <row r="212" spans="1:109" ht="15" customHeight="1">
      <c r="A212" s="8"/>
      <c r="B212" s="353"/>
      <c r="C212" s="354"/>
      <c r="D212" s="354"/>
      <c r="E212" s="354"/>
      <c r="F212" s="354"/>
      <c r="G212" s="354"/>
      <c r="H212" s="355"/>
      <c r="I212" s="352"/>
      <c r="J212" s="352"/>
      <c r="K212" s="352"/>
      <c r="L212" s="352"/>
      <c r="M212" s="352"/>
      <c r="N212" s="352"/>
      <c r="O212" s="352"/>
      <c r="P212" s="352"/>
      <c r="Q212" s="352"/>
      <c r="R212" s="352"/>
      <c r="S212" s="352"/>
      <c r="T212" s="352"/>
      <c r="U212" s="352"/>
      <c r="V212" s="352"/>
      <c r="W212" s="352"/>
      <c r="X212" s="352"/>
      <c r="Y212" s="352"/>
      <c r="Z212" s="352"/>
      <c r="AA212" s="352"/>
      <c r="AB212" s="352"/>
      <c r="AC212" s="352"/>
      <c r="AD212" s="352"/>
      <c r="AE212" s="352"/>
      <c r="AF212" s="352"/>
      <c r="AG212" s="352"/>
      <c r="AH212" s="352"/>
      <c r="AI212" s="352"/>
      <c r="AJ212" s="352"/>
      <c r="AK212" s="352"/>
      <c r="AL212" s="352"/>
      <c r="AM212" s="352"/>
      <c r="AN212" s="352"/>
      <c r="AO212" s="352"/>
      <c r="AP212" s="352"/>
      <c r="AQ212" s="352"/>
      <c r="AR212" s="352"/>
      <c r="AS212" s="352"/>
      <c r="AT212" s="352"/>
      <c r="AU212" s="352"/>
      <c r="AV212" s="352"/>
      <c r="AW212" s="352"/>
      <c r="AX212" s="352"/>
      <c r="AY212" s="352"/>
      <c r="AZ212" s="352"/>
      <c r="BA212" s="352"/>
      <c r="BB212" s="352"/>
      <c r="BC212" s="352"/>
      <c r="BD212" s="352"/>
      <c r="BE212" s="352"/>
      <c r="BF212" s="352"/>
      <c r="BG212" s="352"/>
      <c r="BH212" s="352"/>
      <c r="BI212" s="352"/>
      <c r="BJ212" s="352"/>
      <c r="BK212" s="352"/>
      <c r="BL212" s="352"/>
      <c r="BM212" s="352"/>
      <c r="BN212" s="352"/>
      <c r="BO212" s="352"/>
      <c r="BP212" s="352"/>
      <c r="BQ212" s="352"/>
      <c r="BR212" s="352"/>
      <c r="BS212" s="352"/>
      <c r="BT212" s="352"/>
      <c r="BU212" s="352"/>
      <c r="BV212" s="352"/>
      <c r="BW212" s="352"/>
      <c r="BX212" s="352"/>
      <c r="BY212" s="352"/>
      <c r="BZ212" s="352"/>
      <c r="CA212" s="352"/>
      <c r="CB212" s="352"/>
      <c r="CC212" s="352"/>
      <c r="CD212" s="352"/>
      <c r="CE212" s="352"/>
      <c r="CF212" s="352"/>
      <c r="CG212" s="352"/>
      <c r="CH212" s="352"/>
      <c r="CI212" s="352"/>
      <c r="CJ212" s="352"/>
      <c r="CK212" s="352"/>
      <c r="CL212" s="352"/>
      <c r="CM212" s="352"/>
      <c r="CN212" s="352"/>
      <c r="CO212" s="352"/>
      <c r="CP212" s="352"/>
      <c r="CQ212" s="352"/>
      <c r="CR212" s="352"/>
      <c r="CS212" s="352"/>
      <c r="CT212" s="352"/>
      <c r="CU212" s="352"/>
      <c r="CV212" s="352"/>
      <c r="CW212" s="352"/>
      <c r="CX212" s="352"/>
      <c r="CY212" s="352"/>
      <c r="CZ212" s="352"/>
      <c r="DA212" s="352"/>
      <c r="DB212" s="352"/>
      <c r="DC212" s="352"/>
      <c r="DD212" s="352"/>
      <c r="DE212" s="7"/>
    </row>
    <row r="213" spans="1:109" ht="15" customHeight="1">
      <c r="A213" s="8"/>
      <c r="B213" s="356"/>
      <c r="C213" s="357"/>
      <c r="D213" s="357"/>
      <c r="E213" s="357"/>
      <c r="F213" s="357"/>
      <c r="G213" s="357"/>
      <c r="H213" s="358"/>
      <c r="I213" s="352"/>
      <c r="J213" s="352"/>
      <c r="K213" s="352"/>
      <c r="L213" s="352"/>
      <c r="M213" s="352"/>
      <c r="N213" s="352"/>
      <c r="O213" s="352"/>
      <c r="P213" s="352"/>
      <c r="Q213" s="352"/>
      <c r="R213" s="352"/>
      <c r="S213" s="352"/>
      <c r="T213" s="352"/>
      <c r="U213" s="352"/>
      <c r="V213" s="352"/>
      <c r="W213" s="352"/>
      <c r="X213" s="352"/>
      <c r="Y213" s="352"/>
      <c r="Z213" s="352"/>
      <c r="AA213" s="352"/>
      <c r="AB213" s="352"/>
      <c r="AC213" s="352"/>
      <c r="AD213" s="352"/>
      <c r="AE213" s="352"/>
      <c r="AF213" s="352"/>
      <c r="AG213" s="352"/>
      <c r="AH213" s="352"/>
      <c r="AI213" s="352"/>
      <c r="AJ213" s="352"/>
      <c r="AK213" s="352"/>
      <c r="AL213" s="352"/>
      <c r="AM213" s="352"/>
      <c r="AN213" s="352"/>
      <c r="AO213" s="352"/>
      <c r="AP213" s="352"/>
      <c r="AQ213" s="352"/>
      <c r="AR213" s="352"/>
      <c r="AS213" s="352"/>
      <c r="AT213" s="352"/>
      <c r="AU213" s="352"/>
      <c r="AV213" s="352"/>
      <c r="AW213" s="352"/>
      <c r="AX213" s="352"/>
      <c r="AY213" s="352"/>
      <c r="AZ213" s="352"/>
      <c r="BA213" s="352"/>
      <c r="BB213" s="352"/>
      <c r="BC213" s="352"/>
      <c r="BD213" s="352"/>
      <c r="BE213" s="352"/>
      <c r="BF213" s="352"/>
      <c r="BG213" s="352"/>
      <c r="BH213" s="352"/>
      <c r="BI213" s="352"/>
      <c r="BJ213" s="352"/>
      <c r="BK213" s="352"/>
      <c r="BL213" s="352"/>
      <c r="BM213" s="352"/>
      <c r="BN213" s="352"/>
      <c r="BO213" s="352"/>
      <c r="BP213" s="352"/>
      <c r="BQ213" s="352"/>
      <c r="BR213" s="352"/>
      <c r="BS213" s="352"/>
      <c r="BT213" s="352"/>
      <c r="BU213" s="352"/>
      <c r="BV213" s="352"/>
      <c r="BW213" s="352"/>
      <c r="BX213" s="352"/>
      <c r="BY213" s="352"/>
      <c r="BZ213" s="352"/>
      <c r="CA213" s="352"/>
      <c r="CB213" s="352"/>
      <c r="CC213" s="352"/>
      <c r="CD213" s="352"/>
      <c r="CE213" s="352"/>
      <c r="CF213" s="352"/>
      <c r="CG213" s="352"/>
      <c r="CH213" s="352"/>
      <c r="CI213" s="352"/>
      <c r="CJ213" s="352"/>
      <c r="CK213" s="352"/>
      <c r="CL213" s="352"/>
      <c r="CM213" s="352"/>
      <c r="CN213" s="352"/>
      <c r="CO213" s="352"/>
      <c r="CP213" s="352"/>
      <c r="CQ213" s="352"/>
      <c r="CR213" s="352"/>
      <c r="CS213" s="352"/>
      <c r="CT213" s="352"/>
      <c r="CU213" s="352"/>
      <c r="CV213" s="352"/>
      <c r="CW213" s="352"/>
      <c r="CX213" s="352"/>
      <c r="CY213" s="352"/>
      <c r="CZ213" s="352"/>
      <c r="DA213" s="352"/>
      <c r="DB213" s="352"/>
      <c r="DC213" s="352"/>
      <c r="DD213" s="352"/>
      <c r="DE213" s="7"/>
    </row>
    <row r="214" spans="1:109" ht="15" customHeight="1">
      <c r="A214" s="3"/>
      <c r="B214" s="382"/>
      <c r="C214" s="383"/>
      <c r="D214" s="383"/>
      <c r="E214" s="383"/>
      <c r="F214" s="383"/>
      <c r="G214" s="383"/>
      <c r="H214" s="384"/>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c r="BI214" s="351"/>
      <c r="BJ214" s="351"/>
      <c r="BK214" s="351"/>
      <c r="BL214" s="351"/>
      <c r="BM214" s="351"/>
      <c r="BN214" s="351"/>
      <c r="BO214" s="351"/>
      <c r="BP214" s="351"/>
      <c r="BQ214" s="351"/>
      <c r="BR214" s="351"/>
      <c r="BS214" s="351"/>
      <c r="BT214" s="351"/>
      <c r="BU214" s="351"/>
      <c r="BV214" s="351"/>
      <c r="BW214" s="351"/>
      <c r="BX214" s="351"/>
      <c r="BY214" s="351"/>
      <c r="BZ214" s="351"/>
      <c r="CA214" s="351"/>
      <c r="CB214" s="351"/>
      <c r="CC214" s="351"/>
      <c r="CD214" s="351"/>
      <c r="CE214" s="351"/>
      <c r="CF214" s="351"/>
      <c r="CG214" s="351"/>
      <c r="CH214" s="351"/>
      <c r="CI214" s="351"/>
      <c r="CJ214" s="351"/>
      <c r="CK214" s="351"/>
      <c r="CL214" s="351"/>
      <c r="CM214" s="351"/>
      <c r="CN214" s="351"/>
      <c r="CO214" s="351"/>
      <c r="CP214" s="351"/>
      <c r="CQ214" s="351"/>
      <c r="CR214" s="351"/>
      <c r="CS214" s="351"/>
      <c r="CT214" s="351"/>
      <c r="CU214" s="351"/>
      <c r="CV214" s="351"/>
      <c r="CW214" s="351"/>
      <c r="CX214" s="351"/>
      <c r="CY214" s="351"/>
      <c r="CZ214" s="351"/>
      <c r="DA214" s="351"/>
      <c r="DB214" s="351"/>
      <c r="DC214" s="351"/>
      <c r="DD214" s="351"/>
      <c r="DE214" s="7"/>
    </row>
    <row r="215" spans="1:109" ht="15" customHeight="1">
      <c r="A215" s="3"/>
      <c r="B215" s="385"/>
      <c r="C215" s="386"/>
      <c r="D215" s="386"/>
      <c r="E215" s="386"/>
      <c r="F215" s="386"/>
      <c r="G215" s="386"/>
      <c r="H215" s="387"/>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c r="BI215" s="351"/>
      <c r="BJ215" s="351"/>
      <c r="BK215" s="351"/>
      <c r="BL215" s="351"/>
      <c r="BM215" s="351"/>
      <c r="BN215" s="351"/>
      <c r="BO215" s="351"/>
      <c r="BP215" s="351"/>
      <c r="BQ215" s="351"/>
      <c r="BR215" s="351"/>
      <c r="BS215" s="351"/>
      <c r="BT215" s="351"/>
      <c r="BU215" s="351"/>
      <c r="BV215" s="351"/>
      <c r="BW215" s="351"/>
      <c r="BX215" s="351"/>
      <c r="BY215" s="351"/>
      <c r="BZ215" s="351"/>
      <c r="CA215" s="351"/>
      <c r="CB215" s="351"/>
      <c r="CC215" s="351"/>
      <c r="CD215" s="351"/>
      <c r="CE215" s="351"/>
      <c r="CF215" s="351"/>
      <c r="CG215" s="351"/>
      <c r="CH215" s="351"/>
      <c r="CI215" s="351"/>
      <c r="CJ215" s="351"/>
      <c r="CK215" s="351"/>
      <c r="CL215" s="351"/>
      <c r="CM215" s="351"/>
      <c r="CN215" s="351"/>
      <c r="CO215" s="351"/>
      <c r="CP215" s="351"/>
      <c r="CQ215" s="351"/>
      <c r="CR215" s="351"/>
      <c r="CS215" s="351"/>
      <c r="CT215" s="351"/>
      <c r="CU215" s="351"/>
      <c r="CV215" s="351"/>
      <c r="CW215" s="351"/>
      <c r="CX215" s="351"/>
      <c r="CY215" s="351"/>
      <c r="CZ215" s="351"/>
      <c r="DA215" s="351"/>
      <c r="DB215" s="351"/>
      <c r="DC215" s="351"/>
      <c r="DD215" s="351"/>
      <c r="DE215" s="7"/>
    </row>
    <row r="216" spans="1:109" ht="15" customHeight="1">
      <c r="A216" s="3"/>
      <c r="B216" s="353"/>
      <c r="C216" s="354"/>
      <c r="D216" s="354"/>
      <c r="E216" s="354"/>
      <c r="F216" s="354"/>
      <c r="G216" s="354"/>
      <c r="H216" s="355"/>
      <c r="I216" s="352"/>
      <c r="J216" s="352"/>
      <c r="K216" s="352"/>
      <c r="L216" s="352"/>
      <c r="M216" s="352"/>
      <c r="N216" s="352"/>
      <c r="O216" s="352"/>
      <c r="P216" s="352"/>
      <c r="Q216" s="352"/>
      <c r="R216" s="352"/>
      <c r="S216" s="352"/>
      <c r="T216" s="352"/>
      <c r="U216" s="352"/>
      <c r="V216" s="352"/>
      <c r="W216" s="352"/>
      <c r="X216" s="352"/>
      <c r="Y216" s="352"/>
      <c r="Z216" s="352"/>
      <c r="AA216" s="352"/>
      <c r="AB216" s="352"/>
      <c r="AC216" s="352"/>
      <c r="AD216" s="352"/>
      <c r="AE216" s="352"/>
      <c r="AF216" s="352"/>
      <c r="AG216" s="352"/>
      <c r="AH216" s="352"/>
      <c r="AI216" s="352"/>
      <c r="AJ216" s="352"/>
      <c r="AK216" s="352"/>
      <c r="AL216" s="352"/>
      <c r="AM216" s="352"/>
      <c r="AN216" s="352"/>
      <c r="AO216" s="352"/>
      <c r="AP216" s="352"/>
      <c r="AQ216" s="352"/>
      <c r="AR216" s="352"/>
      <c r="AS216" s="352"/>
      <c r="AT216" s="352"/>
      <c r="AU216" s="352"/>
      <c r="AV216" s="352"/>
      <c r="AW216" s="352"/>
      <c r="AX216" s="352"/>
      <c r="AY216" s="352"/>
      <c r="AZ216" s="352"/>
      <c r="BA216" s="352"/>
      <c r="BB216" s="352"/>
      <c r="BC216" s="352"/>
      <c r="BD216" s="352"/>
      <c r="BE216" s="352"/>
      <c r="BF216" s="352"/>
      <c r="BG216" s="352"/>
      <c r="BH216" s="352"/>
      <c r="BI216" s="352"/>
      <c r="BJ216" s="352"/>
      <c r="BK216" s="352"/>
      <c r="BL216" s="352"/>
      <c r="BM216" s="352"/>
      <c r="BN216" s="352"/>
      <c r="BO216" s="352"/>
      <c r="BP216" s="352"/>
      <c r="BQ216" s="352"/>
      <c r="BR216" s="352"/>
      <c r="BS216" s="352"/>
      <c r="BT216" s="352"/>
      <c r="BU216" s="352"/>
      <c r="BV216" s="352"/>
      <c r="BW216" s="352"/>
      <c r="BX216" s="352"/>
      <c r="BY216" s="352"/>
      <c r="BZ216" s="352"/>
      <c r="CA216" s="352"/>
      <c r="CB216" s="352"/>
      <c r="CC216" s="352"/>
      <c r="CD216" s="352"/>
      <c r="CE216" s="352"/>
      <c r="CF216" s="352"/>
      <c r="CG216" s="352"/>
      <c r="CH216" s="352"/>
      <c r="CI216" s="352"/>
      <c r="CJ216" s="352"/>
      <c r="CK216" s="352"/>
      <c r="CL216" s="352"/>
      <c r="CM216" s="352"/>
      <c r="CN216" s="352"/>
      <c r="CO216" s="352"/>
      <c r="CP216" s="352"/>
      <c r="CQ216" s="352"/>
      <c r="CR216" s="352"/>
      <c r="CS216" s="352"/>
      <c r="CT216" s="352"/>
      <c r="CU216" s="352"/>
      <c r="CV216" s="352"/>
      <c r="CW216" s="352"/>
      <c r="CX216" s="352"/>
      <c r="CY216" s="352"/>
      <c r="CZ216" s="352"/>
      <c r="DA216" s="352"/>
      <c r="DB216" s="352"/>
      <c r="DC216" s="352"/>
      <c r="DD216" s="352"/>
      <c r="DE216" s="24"/>
    </row>
    <row r="217" spans="1:109" ht="15" customHeight="1">
      <c r="A217" s="3"/>
      <c r="B217" s="356"/>
      <c r="C217" s="357"/>
      <c r="D217" s="357"/>
      <c r="E217" s="357"/>
      <c r="F217" s="357"/>
      <c r="G217" s="357"/>
      <c r="H217" s="358"/>
      <c r="I217" s="352"/>
      <c r="J217" s="352"/>
      <c r="K217" s="352"/>
      <c r="L217" s="352"/>
      <c r="M217" s="352"/>
      <c r="N217" s="352"/>
      <c r="O217" s="352"/>
      <c r="P217" s="352"/>
      <c r="Q217" s="352"/>
      <c r="R217" s="352"/>
      <c r="S217" s="352"/>
      <c r="T217" s="352"/>
      <c r="U217" s="352"/>
      <c r="V217" s="352"/>
      <c r="W217" s="352"/>
      <c r="X217" s="352"/>
      <c r="Y217" s="352"/>
      <c r="Z217" s="352"/>
      <c r="AA217" s="352"/>
      <c r="AB217" s="352"/>
      <c r="AC217" s="352"/>
      <c r="AD217" s="352"/>
      <c r="AE217" s="352"/>
      <c r="AF217" s="352"/>
      <c r="AG217" s="352"/>
      <c r="AH217" s="352"/>
      <c r="AI217" s="352"/>
      <c r="AJ217" s="352"/>
      <c r="AK217" s="352"/>
      <c r="AL217" s="352"/>
      <c r="AM217" s="352"/>
      <c r="AN217" s="352"/>
      <c r="AO217" s="352"/>
      <c r="AP217" s="352"/>
      <c r="AQ217" s="352"/>
      <c r="AR217" s="352"/>
      <c r="AS217" s="352"/>
      <c r="AT217" s="352"/>
      <c r="AU217" s="352"/>
      <c r="AV217" s="352"/>
      <c r="AW217" s="352"/>
      <c r="AX217" s="352"/>
      <c r="AY217" s="352"/>
      <c r="AZ217" s="352"/>
      <c r="BA217" s="352"/>
      <c r="BB217" s="352"/>
      <c r="BC217" s="352"/>
      <c r="BD217" s="352"/>
      <c r="BE217" s="352"/>
      <c r="BF217" s="352"/>
      <c r="BG217" s="352"/>
      <c r="BH217" s="352"/>
      <c r="BI217" s="352"/>
      <c r="BJ217" s="352"/>
      <c r="BK217" s="352"/>
      <c r="BL217" s="352"/>
      <c r="BM217" s="352"/>
      <c r="BN217" s="352"/>
      <c r="BO217" s="352"/>
      <c r="BP217" s="352"/>
      <c r="BQ217" s="352"/>
      <c r="BR217" s="352"/>
      <c r="BS217" s="352"/>
      <c r="BT217" s="352"/>
      <c r="BU217" s="352"/>
      <c r="BV217" s="352"/>
      <c r="BW217" s="352"/>
      <c r="BX217" s="352"/>
      <c r="BY217" s="352"/>
      <c r="BZ217" s="352"/>
      <c r="CA217" s="352"/>
      <c r="CB217" s="352"/>
      <c r="CC217" s="352"/>
      <c r="CD217" s="352"/>
      <c r="CE217" s="352"/>
      <c r="CF217" s="352"/>
      <c r="CG217" s="352"/>
      <c r="CH217" s="352"/>
      <c r="CI217" s="352"/>
      <c r="CJ217" s="352"/>
      <c r="CK217" s="352"/>
      <c r="CL217" s="352"/>
      <c r="CM217" s="352"/>
      <c r="CN217" s="352"/>
      <c r="CO217" s="352"/>
      <c r="CP217" s="352"/>
      <c r="CQ217" s="352"/>
      <c r="CR217" s="352"/>
      <c r="CS217" s="352"/>
      <c r="CT217" s="352"/>
      <c r="CU217" s="352"/>
      <c r="CV217" s="352"/>
      <c r="CW217" s="352"/>
      <c r="CX217" s="352"/>
      <c r="CY217" s="352"/>
      <c r="CZ217" s="352"/>
      <c r="DA217" s="352"/>
      <c r="DB217" s="352"/>
      <c r="DC217" s="352"/>
      <c r="DD217" s="352"/>
      <c r="DE217" s="7"/>
    </row>
    <row r="218" spans="1:109" ht="15" customHeight="1">
      <c r="A218" s="3"/>
      <c r="B218" s="382"/>
      <c r="C218" s="383"/>
      <c r="D218" s="383"/>
      <c r="E218" s="383"/>
      <c r="F218" s="383"/>
      <c r="G218" s="383"/>
      <c r="H218" s="384"/>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c r="BI218" s="351"/>
      <c r="BJ218" s="351"/>
      <c r="BK218" s="351"/>
      <c r="BL218" s="351"/>
      <c r="BM218" s="351"/>
      <c r="BN218" s="351"/>
      <c r="BO218" s="351"/>
      <c r="BP218" s="351"/>
      <c r="BQ218" s="351"/>
      <c r="BR218" s="351"/>
      <c r="BS218" s="351"/>
      <c r="BT218" s="351"/>
      <c r="BU218" s="351"/>
      <c r="BV218" s="351"/>
      <c r="BW218" s="351"/>
      <c r="BX218" s="351"/>
      <c r="BY218" s="351"/>
      <c r="BZ218" s="351"/>
      <c r="CA218" s="351"/>
      <c r="CB218" s="351"/>
      <c r="CC218" s="351"/>
      <c r="CD218" s="351"/>
      <c r="CE218" s="351"/>
      <c r="CF218" s="351"/>
      <c r="CG218" s="351"/>
      <c r="CH218" s="351"/>
      <c r="CI218" s="351"/>
      <c r="CJ218" s="351"/>
      <c r="CK218" s="351"/>
      <c r="CL218" s="351"/>
      <c r="CM218" s="351"/>
      <c r="CN218" s="351"/>
      <c r="CO218" s="351"/>
      <c r="CP218" s="351"/>
      <c r="CQ218" s="351"/>
      <c r="CR218" s="351"/>
      <c r="CS218" s="351"/>
      <c r="CT218" s="351"/>
      <c r="CU218" s="351"/>
      <c r="CV218" s="351"/>
      <c r="CW218" s="351"/>
      <c r="CX218" s="351"/>
      <c r="CY218" s="351"/>
      <c r="CZ218" s="351"/>
      <c r="DA218" s="351"/>
      <c r="DB218" s="351"/>
      <c r="DC218" s="351"/>
      <c r="DD218" s="351"/>
      <c r="DE218" s="7"/>
    </row>
    <row r="219" spans="1:109" ht="15" customHeight="1">
      <c r="A219" s="6"/>
      <c r="B219" s="385"/>
      <c r="C219" s="386"/>
      <c r="D219" s="386"/>
      <c r="E219" s="386"/>
      <c r="F219" s="386"/>
      <c r="G219" s="386"/>
      <c r="H219" s="387"/>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c r="BI219" s="351"/>
      <c r="BJ219" s="351"/>
      <c r="BK219" s="351"/>
      <c r="BL219" s="351"/>
      <c r="BM219" s="351"/>
      <c r="BN219" s="351"/>
      <c r="BO219" s="351"/>
      <c r="BP219" s="351"/>
      <c r="BQ219" s="351"/>
      <c r="BR219" s="351"/>
      <c r="BS219" s="351"/>
      <c r="BT219" s="351"/>
      <c r="BU219" s="351"/>
      <c r="BV219" s="351"/>
      <c r="BW219" s="351"/>
      <c r="BX219" s="351"/>
      <c r="BY219" s="351"/>
      <c r="BZ219" s="351"/>
      <c r="CA219" s="351"/>
      <c r="CB219" s="351"/>
      <c r="CC219" s="351"/>
      <c r="CD219" s="351"/>
      <c r="CE219" s="351"/>
      <c r="CF219" s="351"/>
      <c r="CG219" s="351"/>
      <c r="CH219" s="351"/>
      <c r="CI219" s="351"/>
      <c r="CJ219" s="351"/>
      <c r="CK219" s="351"/>
      <c r="CL219" s="351"/>
      <c r="CM219" s="351"/>
      <c r="CN219" s="351"/>
      <c r="CO219" s="351"/>
      <c r="CP219" s="351"/>
      <c r="CQ219" s="351"/>
      <c r="CR219" s="351"/>
      <c r="CS219" s="351"/>
      <c r="CT219" s="351"/>
      <c r="CU219" s="351"/>
      <c r="CV219" s="351"/>
      <c r="CW219" s="351"/>
      <c r="CX219" s="351"/>
      <c r="CY219" s="351"/>
      <c r="CZ219" s="351"/>
      <c r="DA219" s="351"/>
      <c r="DB219" s="351"/>
      <c r="DC219" s="351"/>
      <c r="DD219" s="351"/>
      <c r="DE219" s="7"/>
    </row>
    <row r="220" spans="1:109" ht="15" customHeight="1" thickBot="1">
      <c r="A220" s="25"/>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4"/>
    </row>
    <row r="221" spans="1:109" ht="15" customHeight="1">
      <c r="A221" s="3"/>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row>
    <row r="222" spans="1:109" ht="15" customHeight="1">
      <c r="A222" s="8" t="s">
        <v>41</v>
      </c>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row>
    <row r="223" spans="1:109" ht="15" customHeight="1">
      <c r="A223" s="17" t="s">
        <v>42</v>
      </c>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CJ223" s="9"/>
      <c r="CK223" s="9"/>
      <c r="CL223" s="9"/>
      <c r="CM223" s="9"/>
      <c r="CN223" s="10"/>
      <c r="CO223" s="10"/>
      <c r="CP223" s="10"/>
      <c r="CQ223" s="10"/>
      <c r="CR223" s="10"/>
      <c r="CS223" s="10"/>
      <c r="CT223" s="10"/>
      <c r="CU223" s="10"/>
      <c r="CV223" s="10"/>
      <c r="CW223" s="10"/>
      <c r="CX223" s="10"/>
      <c r="CY223" s="10"/>
      <c r="CZ223" s="10"/>
      <c r="DA223" s="10"/>
      <c r="DB223" s="10"/>
      <c r="DC223" s="10"/>
      <c r="DD223" s="10"/>
      <c r="DE223" s="10"/>
    </row>
    <row r="224" spans="1:109" ht="15" customHeight="1">
      <c r="A224" s="15" t="s">
        <v>43</v>
      </c>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15"/>
      <c r="AV224" s="15"/>
    </row>
    <row r="225" spans="1:87" ht="15" customHeight="1">
      <c r="A225" s="1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W225" s="16"/>
      <c r="AX225" s="16"/>
      <c r="AY225" s="16"/>
      <c r="AZ225" s="16"/>
      <c r="BA225" s="16"/>
      <c r="BB225" s="16"/>
      <c r="BC225" s="16"/>
      <c r="BD225" s="16"/>
      <c r="BE225" s="16"/>
      <c r="BF225" s="16"/>
      <c r="BG225" s="16"/>
      <c r="BH225" s="16"/>
      <c r="BI225" s="16"/>
      <c r="BJ225" s="16"/>
      <c r="BK225" s="16"/>
      <c r="BL225" s="16"/>
      <c r="BM225" s="16"/>
    </row>
    <row r="226" spans="1:87" ht="15" customHeight="1">
      <c r="A226" s="1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15"/>
      <c r="AV226" s="17"/>
    </row>
    <row r="227" spans="1:87" ht="1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5"/>
      <c r="AV227" s="5"/>
      <c r="AW227" s="5"/>
      <c r="AX227" s="5"/>
      <c r="AY227" s="5"/>
      <c r="AZ227" s="5"/>
      <c r="BA227" s="5"/>
      <c r="BB227" s="5"/>
      <c r="BC227" s="5"/>
      <c r="BD227" s="5"/>
      <c r="BE227" s="5"/>
      <c r="BF227" s="5"/>
      <c r="BG227" s="5"/>
      <c r="BH227" s="5"/>
      <c r="BI227" s="5"/>
      <c r="BJ227" s="5"/>
      <c r="BK227" s="5"/>
      <c r="BL227" s="5"/>
      <c r="BM227" s="5"/>
    </row>
    <row r="228" spans="1:87" ht="15" customHeight="1">
      <c r="A228" s="17"/>
      <c r="B228" s="16"/>
      <c r="C228" s="16"/>
      <c r="D228" s="16"/>
      <c r="E228" s="5"/>
      <c r="F228" s="5"/>
      <c r="G228" s="5"/>
      <c r="H228" s="5"/>
      <c r="I228" s="5"/>
      <c r="J228" s="5"/>
      <c r="K228" s="5"/>
      <c r="L228" s="5"/>
      <c r="M228" s="5"/>
      <c r="N228" s="5"/>
      <c r="O228" s="5"/>
      <c r="P228" s="5"/>
      <c r="Q228" s="16"/>
      <c r="R228" s="16"/>
      <c r="S228" s="16"/>
      <c r="T228" s="16"/>
      <c r="U228" s="16"/>
      <c r="V228" s="16"/>
      <c r="W228" s="16"/>
      <c r="X228" s="21"/>
      <c r="Y228" s="21"/>
      <c r="Z228" s="21"/>
      <c r="AA228" s="21"/>
      <c r="AE228" s="16"/>
      <c r="AF228" s="16"/>
      <c r="AG228" s="16"/>
      <c r="AH228" s="16"/>
      <c r="AI228" s="16"/>
      <c r="AJ228" s="16"/>
      <c r="AK228" s="16"/>
      <c r="AL228" s="16"/>
      <c r="AM228" s="16"/>
      <c r="AN228" s="16"/>
      <c r="AO228" s="16"/>
      <c r="AP228" s="16"/>
      <c r="AQ228" s="16"/>
      <c r="AR228" s="16"/>
      <c r="AS228" s="16"/>
      <c r="AU228" s="16"/>
      <c r="AV228" s="16"/>
      <c r="AW228" s="16"/>
      <c r="AX228" s="16"/>
      <c r="AY228" s="16"/>
      <c r="AZ228" s="16"/>
      <c r="BA228" s="16"/>
      <c r="BB228" s="16"/>
      <c r="BC228" s="16"/>
      <c r="BD228" s="16"/>
      <c r="BE228" s="16"/>
      <c r="BF228" s="16"/>
      <c r="BG228" s="16"/>
      <c r="BH228" s="16"/>
      <c r="BI228" s="16"/>
      <c r="BJ228" s="16"/>
      <c r="BK228" s="16"/>
      <c r="BL228" s="16"/>
      <c r="BM228" s="16"/>
      <c r="BN228" s="16"/>
      <c r="BO228" s="11"/>
      <c r="BP228" s="11"/>
      <c r="BQ228" s="11"/>
      <c r="BR228" s="11"/>
      <c r="BS228" s="11"/>
      <c r="BT228" s="11"/>
      <c r="BU228" s="11"/>
      <c r="BV228" s="11"/>
      <c r="BW228" s="11"/>
      <c r="BX228" s="11"/>
      <c r="BY228" s="11"/>
      <c r="BZ228" s="11"/>
      <c r="CA228" s="11"/>
      <c r="CB228" s="11"/>
      <c r="CC228" s="11"/>
      <c r="CD228" s="11"/>
      <c r="CE228" s="11"/>
      <c r="CF228" s="11"/>
      <c r="CG228" s="11"/>
      <c r="CH228" s="11"/>
      <c r="CI228" s="11"/>
    </row>
    <row r="229" spans="1:87" ht="15" customHeight="1">
      <c r="A229" s="17"/>
      <c r="AU229" s="22"/>
      <c r="AV229" s="22"/>
      <c r="AW229" s="19"/>
      <c r="AX229" s="19"/>
      <c r="AY229" s="22"/>
      <c r="AZ229" s="22"/>
      <c r="BA229" s="19"/>
      <c r="BB229" s="19"/>
      <c r="BC229" s="5"/>
      <c r="BD229" s="5"/>
      <c r="BE229" s="5"/>
      <c r="BF229" s="5"/>
      <c r="BG229" s="5"/>
      <c r="BH229" s="5"/>
      <c r="BI229" s="5"/>
      <c r="BJ229" s="5"/>
      <c r="BK229" s="5"/>
      <c r="BL229" s="5"/>
      <c r="BM229" s="5"/>
      <c r="BN229" s="5"/>
      <c r="BO229" s="11"/>
      <c r="BP229" s="11"/>
      <c r="BQ229" s="11"/>
      <c r="BR229" s="11"/>
      <c r="BS229" s="11"/>
      <c r="BT229" s="11"/>
      <c r="BU229" s="11"/>
      <c r="BV229" s="11"/>
      <c r="BW229" s="11"/>
      <c r="BX229" s="11"/>
      <c r="BY229" s="11"/>
      <c r="BZ229" s="11"/>
      <c r="CA229" s="11"/>
      <c r="CB229" s="11"/>
      <c r="CC229" s="11"/>
      <c r="CD229" s="11"/>
      <c r="CE229" s="11"/>
      <c r="CF229" s="11"/>
      <c r="CG229" s="11"/>
      <c r="CH229" s="11"/>
      <c r="CI229" s="11"/>
    </row>
    <row r="230" spans="1:87" ht="15" customHeight="1">
      <c r="A230" s="15"/>
      <c r="B230" s="16"/>
      <c r="C230" s="16"/>
      <c r="D230" s="16"/>
      <c r="E230" s="16"/>
      <c r="F230" s="16"/>
      <c r="G230" s="16"/>
      <c r="H230" s="16"/>
      <c r="I230" s="16"/>
      <c r="J230" s="16"/>
      <c r="K230" s="16"/>
      <c r="L230" s="16"/>
      <c r="M230" s="16"/>
      <c r="N230" s="16"/>
      <c r="O230" s="16"/>
      <c r="P230" s="16"/>
      <c r="Q230" s="16"/>
      <c r="R230" s="16"/>
      <c r="S230" s="16"/>
      <c r="T230" s="5"/>
      <c r="U230" s="5"/>
      <c r="V230" s="5"/>
      <c r="W230" s="5"/>
      <c r="X230" s="5"/>
      <c r="Y230" s="5"/>
      <c r="Z230" s="5"/>
      <c r="AA230" s="5"/>
      <c r="AB230" s="5"/>
      <c r="AC230" s="5"/>
      <c r="AD230" s="5"/>
      <c r="AE230" s="5"/>
      <c r="AF230" s="5"/>
      <c r="AG230" s="5"/>
      <c r="AH230" s="5"/>
      <c r="AI230" s="16"/>
      <c r="AJ230" s="16"/>
      <c r="AK230" s="16"/>
      <c r="AL230" s="16"/>
      <c r="AM230" s="16"/>
      <c r="AN230" s="16"/>
      <c r="AO230" s="5"/>
      <c r="AP230" s="5"/>
      <c r="AQ230" s="5"/>
      <c r="AR230" s="5"/>
      <c r="AS230" s="5"/>
      <c r="AT230" s="5"/>
      <c r="AU230" s="18"/>
      <c r="AV230" s="18"/>
      <c r="AW230" s="18"/>
      <c r="AX230" s="18"/>
      <c r="AY230" s="18"/>
      <c r="AZ230" s="5"/>
      <c r="BA230" s="5"/>
      <c r="BB230" s="5"/>
      <c r="BC230" s="5"/>
      <c r="BD230" s="5"/>
      <c r="BE230" s="5"/>
      <c r="BF230" s="5"/>
      <c r="BG230" s="5"/>
      <c r="BH230" s="5"/>
      <c r="BI230" s="5"/>
      <c r="BJ230" s="5"/>
      <c r="BK230" s="5"/>
      <c r="BL230" s="5"/>
      <c r="BM230" s="5"/>
      <c r="BN230" s="5"/>
      <c r="BO230" s="11"/>
      <c r="BP230" s="11"/>
      <c r="BQ230" s="11"/>
      <c r="BR230" s="11"/>
      <c r="BS230" s="11"/>
      <c r="BT230" s="11"/>
      <c r="BU230" s="11"/>
      <c r="BV230" s="11"/>
      <c r="BW230" s="11"/>
      <c r="BX230" s="11"/>
      <c r="BY230" s="11"/>
      <c r="BZ230" s="11"/>
      <c r="CA230" s="11"/>
      <c r="CB230" s="11"/>
      <c r="CC230" s="11"/>
      <c r="CD230" s="11"/>
      <c r="CE230" s="11"/>
      <c r="CF230" s="11"/>
      <c r="CG230" s="11"/>
      <c r="CH230" s="11"/>
      <c r="CI230" s="11"/>
    </row>
    <row r="231" spans="1:87" ht="1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9"/>
      <c r="AV231" s="19"/>
      <c r="AW231" s="19"/>
      <c r="AX231" s="19"/>
      <c r="AY231" s="19"/>
      <c r="AZ231" s="19"/>
      <c r="BA231" s="19"/>
      <c r="BB231" s="19"/>
      <c r="BC231" s="19"/>
      <c r="BD231" s="19"/>
      <c r="BE231" s="19"/>
      <c r="BF231" s="19"/>
      <c r="BG231" s="19"/>
      <c r="BH231" s="19"/>
      <c r="BI231" s="19"/>
      <c r="BJ231" s="19"/>
      <c r="BK231" s="19"/>
      <c r="BL231" s="19"/>
      <c r="BM231" s="19"/>
      <c r="BN231" s="19"/>
      <c r="BO231" s="11"/>
      <c r="BP231" s="11"/>
      <c r="BQ231" s="11"/>
      <c r="BR231" s="11"/>
      <c r="BS231" s="11"/>
      <c r="BT231" s="11"/>
      <c r="BU231" s="11"/>
      <c r="BV231" s="11"/>
      <c r="BW231" s="11"/>
      <c r="BX231" s="11"/>
      <c r="BY231" s="11"/>
      <c r="BZ231" s="11"/>
      <c r="CA231" s="11"/>
      <c r="CB231" s="11"/>
      <c r="CC231" s="11"/>
      <c r="CD231" s="11"/>
      <c r="CE231" s="11"/>
      <c r="CF231" s="11"/>
      <c r="CG231" s="11"/>
      <c r="CH231" s="11"/>
      <c r="CI231" s="11"/>
    </row>
    <row r="232" spans="1:87" ht="1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18"/>
      <c r="AN232" s="18"/>
      <c r="AO232" s="18"/>
      <c r="AP232" s="19"/>
      <c r="AQ232" s="19"/>
      <c r="AR232" s="19"/>
      <c r="AS232" s="19"/>
      <c r="AT232" s="19"/>
      <c r="AU232" s="20"/>
      <c r="AV232" s="20"/>
      <c r="AW232" s="20"/>
      <c r="AX232" s="20"/>
      <c r="AY232" s="20"/>
      <c r="AZ232" s="20"/>
      <c r="BA232" s="20"/>
      <c r="BB232" s="20"/>
      <c r="BC232" s="20"/>
      <c r="BD232" s="20"/>
      <c r="BE232" s="20"/>
      <c r="BF232" s="20"/>
      <c r="BG232" s="20"/>
      <c r="BH232" s="20"/>
      <c r="BI232" s="20"/>
      <c r="BJ232" s="20"/>
      <c r="BK232" s="20"/>
      <c r="BL232" s="20"/>
      <c r="BM232" s="20"/>
      <c r="BN232" s="20"/>
      <c r="BO232" s="11"/>
      <c r="BP232" s="11"/>
      <c r="BQ232" s="11"/>
      <c r="BR232" s="11"/>
      <c r="BS232" s="11"/>
      <c r="BT232" s="11"/>
      <c r="BU232" s="11"/>
      <c r="BV232" s="11"/>
      <c r="BW232" s="11"/>
      <c r="BX232" s="11"/>
      <c r="BY232" s="11"/>
      <c r="BZ232" s="11"/>
      <c r="CA232" s="11"/>
      <c r="CB232" s="11"/>
      <c r="CC232" s="11"/>
      <c r="CD232" s="11"/>
      <c r="CE232" s="11"/>
      <c r="CF232" s="11"/>
      <c r="CG232" s="11"/>
      <c r="CH232" s="11"/>
      <c r="CI232" s="11"/>
    </row>
    <row r="233" spans="1:87" ht="1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18"/>
      <c r="AN233" s="18"/>
      <c r="AO233" s="18"/>
      <c r="AP233" s="18"/>
      <c r="AQ233" s="18"/>
      <c r="AR233" s="18"/>
      <c r="AS233" s="18"/>
      <c r="AT233" s="18"/>
      <c r="AU233" s="20"/>
      <c r="AV233" s="20"/>
      <c r="AW233" s="20"/>
      <c r="AX233" s="20"/>
      <c r="AY233" s="20"/>
      <c r="AZ233" s="20"/>
      <c r="BA233" s="20"/>
      <c r="BB233" s="20"/>
      <c r="BC233" s="20"/>
      <c r="BD233" s="20"/>
      <c r="BE233" s="20"/>
      <c r="BF233" s="20"/>
      <c r="BG233" s="20"/>
      <c r="BH233" s="20"/>
      <c r="BI233" s="20"/>
      <c r="BJ233" s="20"/>
      <c r="BK233" s="20"/>
      <c r="BL233" s="20"/>
      <c r="BM233" s="20"/>
      <c r="BN233" s="20"/>
      <c r="BO233" s="11"/>
      <c r="BP233" s="11"/>
      <c r="BQ233" s="11"/>
      <c r="BR233" s="11"/>
      <c r="BS233" s="11"/>
      <c r="BT233" s="11"/>
      <c r="BU233" s="11"/>
      <c r="BV233" s="11"/>
      <c r="BW233" s="11"/>
      <c r="BX233" s="11"/>
      <c r="BY233" s="11"/>
      <c r="BZ233" s="11"/>
      <c r="CA233" s="11"/>
      <c r="CB233" s="11"/>
      <c r="CC233" s="11"/>
      <c r="CD233" s="11"/>
      <c r="CE233" s="11"/>
      <c r="CF233" s="11"/>
      <c r="CG233" s="11"/>
      <c r="CH233" s="11"/>
      <c r="CI233" s="11"/>
    </row>
    <row r="234" spans="1:87" ht="1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20"/>
      <c r="AV234" s="20"/>
      <c r="AW234" s="20"/>
      <c r="AX234" s="20"/>
      <c r="AY234" s="20"/>
      <c r="AZ234" s="20"/>
      <c r="BA234" s="20"/>
      <c r="BB234" s="20"/>
      <c r="BC234" s="20"/>
      <c r="BD234" s="20"/>
      <c r="BE234" s="20"/>
      <c r="BF234" s="20"/>
      <c r="BG234" s="20"/>
      <c r="BH234" s="20"/>
      <c r="BI234" s="20"/>
      <c r="BJ234" s="20"/>
      <c r="BK234" s="20"/>
      <c r="BL234" s="20"/>
      <c r="BM234" s="20"/>
      <c r="BN234" s="20"/>
      <c r="BO234" s="11"/>
      <c r="BP234" s="11"/>
      <c r="BQ234" s="11"/>
      <c r="BR234" s="11"/>
      <c r="BS234" s="11"/>
      <c r="BT234" s="11"/>
      <c r="BU234" s="11"/>
      <c r="BV234" s="11"/>
      <c r="BW234" s="11"/>
      <c r="BX234" s="11"/>
      <c r="BY234" s="11"/>
      <c r="BZ234" s="11"/>
      <c r="CA234" s="11"/>
      <c r="CB234" s="11"/>
      <c r="CC234" s="11"/>
      <c r="CD234" s="11"/>
      <c r="CE234" s="11"/>
      <c r="CF234" s="11"/>
      <c r="CG234" s="11"/>
      <c r="CH234" s="11"/>
      <c r="CI234" s="11"/>
    </row>
    <row r="235" spans="1:87" ht="1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11"/>
      <c r="BP235" s="11"/>
      <c r="BQ235" s="11"/>
      <c r="BR235" s="11"/>
      <c r="BS235" s="11"/>
      <c r="BT235" s="11"/>
      <c r="BU235" s="11"/>
      <c r="BV235" s="11"/>
      <c r="BW235" s="11"/>
      <c r="BX235" s="11"/>
      <c r="BY235" s="11"/>
      <c r="BZ235" s="11"/>
      <c r="CA235" s="11"/>
      <c r="CB235" s="11"/>
      <c r="CC235" s="11"/>
      <c r="CD235" s="11"/>
      <c r="CE235" s="11"/>
      <c r="CF235" s="11"/>
      <c r="CG235" s="11"/>
      <c r="CH235" s="11"/>
      <c r="CI235" s="11"/>
    </row>
    <row r="236" spans="1:87" ht="1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11"/>
      <c r="BP236" s="11"/>
      <c r="BQ236" s="11"/>
      <c r="BR236" s="11"/>
      <c r="BS236" s="11"/>
      <c r="BT236" s="11"/>
      <c r="BU236" s="11"/>
      <c r="BV236" s="11"/>
      <c r="BW236" s="11"/>
      <c r="BX236" s="11"/>
      <c r="BY236" s="11"/>
      <c r="BZ236" s="11"/>
      <c r="CA236" s="11"/>
      <c r="CB236" s="11"/>
      <c r="CC236" s="11"/>
      <c r="CD236" s="11"/>
      <c r="CE236" s="11"/>
      <c r="CF236" s="11"/>
      <c r="CG236" s="11"/>
      <c r="CH236" s="11"/>
      <c r="CI236" s="11"/>
    </row>
    <row r="237" spans="1:87" ht="1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11"/>
      <c r="BP237" s="11"/>
      <c r="BQ237" s="11"/>
      <c r="BR237" s="11"/>
      <c r="BS237" s="11"/>
      <c r="BT237" s="11"/>
      <c r="BU237" s="11"/>
      <c r="BV237" s="11"/>
      <c r="BW237" s="11"/>
      <c r="BX237" s="11"/>
      <c r="BY237" s="11"/>
      <c r="BZ237" s="11"/>
      <c r="CA237" s="11"/>
      <c r="CB237" s="11"/>
      <c r="CC237" s="11"/>
      <c r="CD237" s="11"/>
      <c r="CE237" s="11"/>
      <c r="CF237" s="11"/>
      <c r="CG237" s="11"/>
      <c r="CH237" s="11"/>
      <c r="CI237" s="11"/>
    </row>
    <row r="238" spans="1:87" ht="1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11"/>
      <c r="BP238" s="11"/>
      <c r="BQ238" s="11"/>
      <c r="BR238" s="11"/>
      <c r="BS238" s="11"/>
      <c r="BT238" s="11"/>
      <c r="BU238" s="11"/>
      <c r="BV238" s="11"/>
      <c r="BW238" s="11"/>
      <c r="BX238" s="11"/>
      <c r="BY238" s="11"/>
      <c r="BZ238" s="11"/>
      <c r="CA238" s="11"/>
      <c r="CB238" s="11"/>
      <c r="CC238" s="11"/>
      <c r="CD238" s="11"/>
      <c r="CE238" s="11"/>
      <c r="CF238" s="11"/>
      <c r="CG238" s="11"/>
      <c r="CH238" s="11"/>
      <c r="CI238" s="11"/>
    </row>
    <row r="239" spans="1:87" ht="1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BM239" s="12"/>
      <c r="BN239" s="12"/>
    </row>
    <row r="240" spans="1:87" ht="1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row>
    <row r="241" spans="1:46" ht="1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row>
  </sheetData>
  <sheetProtection formatCells="0"/>
  <mergeCells count="1016">
    <mergeCell ref="A12:DE12"/>
    <mergeCell ref="A13:J13"/>
    <mergeCell ref="K13:S13"/>
    <mergeCell ref="T13:AB13"/>
    <mergeCell ref="A1:CU6"/>
    <mergeCell ref="CV1:DE6"/>
    <mergeCell ref="A7:CO8"/>
    <mergeCell ref="CP7:DE8"/>
    <mergeCell ref="A9:R9"/>
    <mergeCell ref="S9:AD9"/>
    <mergeCell ref="AE9:AR9"/>
    <mergeCell ref="AS9:BF9"/>
    <mergeCell ref="BG9:CM11"/>
    <mergeCell ref="CN9:CP9"/>
    <mergeCell ref="A11:R11"/>
    <mergeCell ref="S11:AD11"/>
    <mergeCell ref="AE11:AR11"/>
    <mergeCell ref="AS11:BF11"/>
    <mergeCell ref="CN11:CP11"/>
    <mergeCell ref="CQ11:DE11"/>
    <mergeCell ref="CQ9:DE9"/>
    <mergeCell ref="A10:R10"/>
    <mergeCell ref="S10:AD10"/>
    <mergeCell ref="AE10:AR10"/>
    <mergeCell ref="AS10:BF10"/>
    <mergeCell ref="CN10:CP10"/>
    <mergeCell ref="CQ10:DE10"/>
    <mergeCell ref="AR17:AX18"/>
    <mergeCell ref="AY17:BE18"/>
    <mergeCell ref="BF17:BL18"/>
    <mergeCell ref="BM17:CL18"/>
    <mergeCell ref="CM17:DD18"/>
    <mergeCell ref="A14:J14"/>
    <mergeCell ref="K14:S14"/>
    <mergeCell ref="T14:AB14"/>
    <mergeCell ref="AC14:AK14"/>
    <mergeCell ref="AL14:AT14"/>
    <mergeCell ref="AU14:BC14"/>
    <mergeCell ref="BD14:BL14"/>
    <mergeCell ref="BM14:CM14"/>
    <mergeCell ref="CN14:CV14"/>
    <mergeCell ref="AU13:BC13"/>
    <mergeCell ref="BD13:BL13"/>
    <mergeCell ref="BM13:CM13"/>
    <mergeCell ref="CN13:CV13"/>
    <mergeCell ref="CW13:DE13"/>
    <mergeCell ref="AC13:AK13"/>
    <mergeCell ref="AL13:AT13"/>
    <mergeCell ref="CW14:DE14"/>
    <mergeCell ref="A15:DE15"/>
    <mergeCell ref="B17:H18"/>
    <mergeCell ref="I17:O18"/>
    <mergeCell ref="P17:V18"/>
    <mergeCell ref="W17:AC18"/>
    <mergeCell ref="AD17:AJ18"/>
    <mergeCell ref="AK17:AQ18"/>
    <mergeCell ref="AR21:AX22"/>
    <mergeCell ref="AY21:BE22"/>
    <mergeCell ref="BF21:BL22"/>
    <mergeCell ref="BM21:CL22"/>
    <mergeCell ref="CM21:DD22"/>
    <mergeCell ref="AY19:BE20"/>
    <mergeCell ref="BF19:BL20"/>
    <mergeCell ref="BM19:CL20"/>
    <mergeCell ref="CM19:DD20"/>
    <mergeCell ref="B21:H22"/>
    <mergeCell ref="I21:O22"/>
    <mergeCell ref="P21:V22"/>
    <mergeCell ref="W21:AC22"/>
    <mergeCell ref="AD21:AJ22"/>
    <mergeCell ref="AK21:AQ22"/>
    <mergeCell ref="B19:H20"/>
    <mergeCell ref="I19:O20"/>
    <mergeCell ref="P19:V20"/>
    <mergeCell ref="W19:AC20"/>
    <mergeCell ref="AD19:AJ20"/>
    <mergeCell ref="AK19:AQ20"/>
    <mergeCell ref="AR19:AX20"/>
    <mergeCell ref="AR25:AX26"/>
    <mergeCell ref="AY25:BE26"/>
    <mergeCell ref="BF25:BL26"/>
    <mergeCell ref="BM25:CL26"/>
    <mergeCell ref="CM25:DD26"/>
    <mergeCell ref="AK25:AQ26"/>
    <mergeCell ref="B27:H28"/>
    <mergeCell ref="I27:O28"/>
    <mergeCell ref="P27:V28"/>
    <mergeCell ref="W27:AC28"/>
    <mergeCell ref="AD27:AJ28"/>
    <mergeCell ref="B25:H26"/>
    <mergeCell ref="I25:O26"/>
    <mergeCell ref="P25:V26"/>
    <mergeCell ref="W25:AC26"/>
    <mergeCell ref="AD25:AJ26"/>
    <mergeCell ref="AY23:BE24"/>
    <mergeCell ref="BF23:BL24"/>
    <mergeCell ref="BM23:CL24"/>
    <mergeCell ref="CM23:DD24"/>
    <mergeCell ref="B23:H24"/>
    <mergeCell ref="I23:O24"/>
    <mergeCell ref="P23:V24"/>
    <mergeCell ref="W23:AC24"/>
    <mergeCell ref="AD23:AJ24"/>
    <mergeCell ref="AK23:AQ24"/>
    <mergeCell ref="AR23:AX24"/>
    <mergeCell ref="AR29:AX30"/>
    <mergeCell ref="AY29:BE30"/>
    <mergeCell ref="BF29:BL30"/>
    <mergeCell ref="BM29:CL30"/>
    <mergeCell ref="CM29:DD30"/>
    <mergeCell ref="AK29:AQ30"/>
    <mergeCell ref="B31:H32"/>
    <mergeCell ref="I31:O32"/>
    <mergeCell ref="P31:V32"/>
    <mergeCell ref="W31:AC32"/>
    <mergeCell ref="AD31:AJ32"/>
    <mergeCell ref="B29:H30"/>
    <mergeCell ref="I29:O30"/>
    <mergeCell ref="P29:V30"/>
    <mergeCell ref="W29:AC30"/>
    <mergeCell ref="AD29:AJ30"/>
    <mergeCell ref="AK27:AQ28"/>
    <mergeCell ref="AR27:AX28"/>
    <mergeCell ref="AY27:BE28"/>
    <mergeCell ref="BF27:BL28"/>
    <mergeCell ref="BM27:CL28"/>
    <mergeCell ref="CM27:DD28"/>
    <mergeCell ref="AR33:AX34"/>
    <mergeCell ref="AY33:BE34"/>
    <mergeCell ref="BF33:BL34"/>
    <mergeCell ref="BM33:CL34"/>
    <mergeCell ref="CM33:DD34"/>
    <mergeCell ref="AK33:AQ34"/>
    <mergeCell ref="B35:H36"/>
    <mergeCell ref="I35:O36"/>
    <mergeCell ref="P35:V36"/>
    <mergeCell ref="W35:AC36"/>
    <mergeCell ref="AD35:AJ36"/>
    <mergeCell ref="B33:H34"/>
    <mergeCell ref="I33:O34"/>
    <mergeCell ref="P33:V34"/>
    <mergeCell ref="W33:AC34"/>
    <mergeCell ref="AD33:AJ34"/>
    <mergeCell ref="AK31:AQ32"/>
    <mergeCell ref="AR31:AX32"/>
    <mergeCell ref="AY31:BE32"/>
    <mergeCell ref="BF31:BL32"/>
    <mergeCell ref="BM31:CL32"/>
    <mergeCell ref="CM31:DD32"/>
    <mergeCell ref="AR37:AX38"/>
    <mergeCell ref="AY37:BE38"/>
    <mergeCell ref="BF37:BL38"/>
    <mergeCell ref="BM37:CL38"/>
    <mergeCell ref="CM37:DD38"/>
    <mergeCell ref="AK37:AQ38"/>
    <mergeCell ref="B39:H40"/>
    <mergeCell ref="I39:O40"/>
    <mergeCell ref="P39:V40"/>
    <mergeCell ref="W39:AC40"/>
    <mergeCell ref="AD39:AJ40"/>
    <mergeCell ref="B37:H38"/>
    <mergeCell ref="I37:O38"/>
    <mergeCell ref="P37:V38"/>
    <mergeCell ref="W37:AC38"/>
    <mergeCell ref="AD37:AJ38"/>
    <mergeCell ref="AK35:AQ36"/>
    <mergeCell ref="AR35:AX36"/>
    <mergeCell ref="AY35:BE36"/>
    <mergeCell ref="BF35:BL36"/>
    <mergeCell ref="BM35:CL36"/>
    <mergeCell ref="CM35:DD36"/>
    <mergeCell ref="AR41:AX42"/>
    <mergeCell ref="AY41:BE42"/>
    <mergeCell ref="BF41:BL42"/>
    <mergeCell ref="BM41:CL42"/>
    <mergeCell ref="CM41:DD42"/>
    <mergeCell ref="AK41:AQ42"/>
    <mergeCell ref="B43:H44"/>
    <mergeCell ref="I43:O44"/>
    <mergeCell ref="P43:V44"/>
    <mergeCell ref="W43:AC44"/>
    <mergeCell ref="AD43:AJ44"/>
    <mergeCell ref="B41:H42"/>
    <mergeCell ref="I41:O42"/>
    <mergeCell ref="P41:V42"/>
    <mergeCell ref="W41:AC42"/>
    <mergeCell ref="AD41:AJ42"/>
    <mergeCell ref="AK39:AQ40"/>
    <mergeCell ref="AR39:AX40"/>
    <mergeCell ref="AY39:BE40"/>
    <mergeCell ref="BF39:BL40"/>
    <mergeCell ref="BM39:CL40"/>
    <mergeCell ref="CM39:DD40"/>
    <mergeCell ref="AR45:AX46"/>
    <mergeCell ref="AY45:BE46"/>
    <mergeCell ref="BF45:BL46"/>
    <mergeCell ref="BM45:CL46"/>
    <mergeCell ref="CM45:DD46"/>
    <mergeCell ref="AK45:AQ46"/>
    <mergeCell ref="B47:H48"/>
    <mergeCell ref="I47:O48"/>
    <mergeCell ref="P47:V48"/>
    <mergeCell ref="W47:AC48"/>
    <mergeCell ref="AD47:AJ48"/>
    <mergeCell ref="B45:H46"/>
    <mergeCell ref="I45:O46"/>
    <mergeCell ref="P45:V46"/>
    <mergeCell ref="W45:AC46"/>
    <mergeCell ref="AD45:AJ46"/>
    <mergeCell ref="AK43:AQ44"/>
    <mergeCell ref="AR43:AX44"/>
    <mergeCell ref="AY43:BE44"/>
    <mergeCell ref="BF43:BL44"/>
    <mergeCell ref="BM43:CL44"/>
    <mergeCell ref="CM43:DD44"/>
    <mergeCell ref="AR49:AX50"/>
    <mergeCell ref="AY49:BE50"/>
    <mergeCell ref="BF49:BL50"/>
    <mergeCell ref="BM49:CL50"/>
    <mergeCell ref="CM49:DD50"/>
    <mergeCell ref="AK49:AQ50"/>
    <mergeCell ref="B51:H52"/>
    <mergeCell ref="I51:O52"/>
    <mergeCell ref="P51:V52"/>
    <mergeCell ref="W51:AC52"/>
    <mergeCell ref="AD51:AJ52"/>
    <mergeCell ref="B49:H50"/>
    <mergeCell ref="I49:O50"/>
    <mergeCell ref="P49:V50"/>
    <mergeCell ref="W49:AC50"/>
    <mergeCell ref="AD49:AJ50"/>
    <mergeCell ref="AK47:AQ48"/>
    <mergeCell ref="AR47:AX48"/>
    <mergeCell ref="AY47:BE48"/>
    <mergeCell ref="BF47:BL48"/>
    <mergeCell ref="BM47:CL48"/>
    <mergeCell ref="CM47:DD48"/>
    <mergeCell ref="CN65:CP65"/>
    <mergeCell ref="CQ65:DE65"/>
    <mergeCell ref="AR53:AX54"/>
    <mergeCell ref="AY53:BE54"/>
    <mergeCell ref="BF53:BL54"/>
    <mergeCell ref="BM53:CL54"/>
    <mergeCell ref="CM53:DD54"/>
    <mergeCell ref="AK53:AQ54"/>
    <mergeCell ref="B53:H54"/>
    <mergeCell ref="I53:O54"/>
    <mergeCell ref="P53:V54"/>
    <mergeCell ref="W53:AC54"/>
    <mergeCell ref="AD53:AJ54"/>
    <mergeCell ref="AK51:AQ52"/>
    <mergeCell ref="AR51:AX52"/>
    <mergeCell ref="AY51:BE52"/>
    <mergeCell ref="BF51:BL52"/>
    <mergeCell ref="BM51:CL52"/>
    <mergeCell ref="CM51:DD52"/>
    <mergeCell ref="A67:DE67"/>
    <mergeCell ref="A68:J68"/>
    <mergeCell ref="K68:S68"/>
    <mergeCell ref="T68:AB68"/>
    <mergeCell ref="AC68:AK68"/>
    <mergeCell ref="AL68:AT68"/>
    <mergeCell ref="AU68:BC68"/>
    <mergeCell ref="BD68:BL68"/>
    <mergeCell ref="BM68:CM68"/>
    <mergeCell ref="CN68:CV68"/>
    <mergeCell ref="CW68:DE68"/>
    <mergeCell ref="A56:CU61"/>
    <mergeCell ref="CV56:DE61"/>
    <mergeCell ref="A62:CO63"/>
    <mergeCell ref="CP62:DE63"/>
    <mergeCell ref="A64:R64"/>
    <mergeCell ref="S64:AD64"/>
    <mergeCell ref="AE64:AR64"/>
    <mergeCell ref="AS64:BF64"/>
    <mergeCell ref="BG64:CM66"/>
    <mergeCell ref="CN64:CP64"/>
    <mergeCell ref="A66:R66"/>
    <mergeCell ref="S66:AD66"/>
    <mergeCell ref="AE66:AR66"/>
    <mergeCell ref="AS66:BF66"/>
    <mergeCell ref="CN66:CP66"/>
    <mergeCell ref="CQ66:DE66"/>
    <mergeCell ref="CQ64:DE64"/>
    <mergeCell ref="A65:R65"/>
    <mergeCell ref="S65:AD65"/>
    <mergeCell ref="AE65:AR65"/>
    <mergeCell ref="AS65:BF65"/>
    <mergeCell ref="CW69:DE69"/>
    <mergeCell ref="A70:DE70"/>
    <mergeCell ref="B72:H73"/>
    <mergeCell ref="I72:O73"/>
    <mergeCell ref="P72:V73"/>
    <mergeCell ref="W72:AC73"/>
    <mergeCell ref="AD72:AJ73"/>
    <mergeCell ref="AK72:AQ73"/>
    <mergeCell ref="AR72:AX73"/>
    <mergeCell ref="AY72:BE73"/>
    <mergeCell ref="BF72:BL73"/>
    <mergeCell ref="BM72:CL73"/>
    <mergeCell ref="CM72:DD73"/>
    <mergeCell ref="A69:J69"/>
    <mergeCell ref="K69:S69"/>
    <mergeCell ref="T69:AB69"/>
    <mergeCell ref="AC69:AK69"/>
    <mergeCell ref="AL69:AT69"/>
    <mergeCell ref="AU69:BC69"/>
    <mergeCell ref="BD69:BL69"/>
    <mergeCell ref="BM69:CM69"/>
    <mergeCell ref="CN69:CV69"/>
    <mergeCell ref="AR76:AX77"/>
    <mergeCell ref="AY76:BE77"/>
    <mergeCell ref="BF76:BL77"/>
    <mergeCell ref="BM76:CL77"/>
    <mergeCell ref="CM76:DD77"/>
    <mergeCell ref="AY74:BE75"/>
    <mergeCell ref="BF74:BL75"/>
    <mergeCell ref="BM74:CL75"/>
    <mergeCell ref="CM74:DD75"/>
    <mergeCell ref="B76:H77"/>
    <mergeCell ref="I76:O77"/>
    <mergeCell ref="P76:V77"/>
    <mergeCell ref="W76:AC77"/>
    <mergeCell ref="AD76:AJ77"/>
    <mergeCell ref="AK76:AQ77"/>
    <mergeCell ref="B74:H75"/>
    <mergeCell ref="I74:O75"/>
    <mergeCell ref="P74:V75"/>
    <mergeCell ref="W74:AC75"/>
    <mergeCell ref="AD74:AJ75"/>
    <mergeCell ref="AK74:AQ75"/>
    <mergeCell ref="AR74:AX75"/>
    <mergeCell ref="AR80:AX81"/>
    <mergeCell ref="AY80:BE81"/>
    <mergeCell ref="BF80:BL81"/>
    <mergeCell ref="BM80:CL81"/>
    <mergeCell ref="CM80:DD81"/>
    <mergeCell ref="AK80:AQ81"/>
    <mergeCell ref="B82:H83"/>
    <mergeCell ref="I82:O83"/>
    <mergeCell ref="P82:V83"/>
    <mergeCell ref="W82:AC83"/>
    <mergeCell ref="AD82:AJ83"/>
    <mergeCell ref="B80:H81"/>
    <mergeCell ref="I80:O81"/>
    <mergeCell ref="P80:V81"/>
    <mergeCell ref="W80:AC81"/>
    <mergeCell ref="AD80:AJ81"/>
    <mergeCell ref="AY78:BE79"/>
    <mergeCell ref="BF78:BL79"/>
    <mergeCell ref="BM78:CL79"/>
    <mergeCell ref="CM78:DD79"/>
    <mergeCell ref="B78:H79"/>
    <mergeCell ref="I78:O79"/>
    <mergeCell ref="P78:V79"/>
    <mergeCell ref="W78:AC79"/>
    <mergeCell ref="AD78:AJ79"/>
    <mergeCell ref="AK78:AQ79"/>
    <mergeCell ref="AR78:AX79"/>
    <mergeCell ref="AR84:AX85"/>
    <mergeCell ref="AY84:BE85"/>
    <mergeCell ref="BF84:BL85"/>
    <mergeCell ref="BM84:CL85"/>
    <mergeCell ref="CM84:DD85"/>
    <mergeCell ref="AK84:AQ85"/>
    <mergeCell ref="B86:H87"/>
    <mergeCell ref="I86:O87"/>
    <mergeCell ref="P86:V87"/>
    <mergeCell ref="W86:AC87"/>
    <mergeCell ref="AD86:AJ87"/>
    <mergeCell ref="B84:H85"/>
    <mergeCell ref="I84:O85"/>
    <mergeCell ref="P84:V85"/>
    <mergeCell ref="W84:AC85"/>
    <mergeCell ref="AD84:AJ85"/>
    <mergeCell ref="AK82:AQ83"/>
    <mergeCell ref="AR82:AX83"/>
    <mergeCell ref="AY82:BE83"/>
    <mergeCell ref="BF82:BL83"/>
    <mergeCell ref="BM82:CL83"/>
    <mergeCell ref="CM82:DD83"/>
    <mergeCell ref="AR88:AX89"/>
    <mergeCell ref="AY88:BE89"/>
    <mergeCell ref="BF88:BL89"/>
    <mergeCell ref="BM88:CL89"/>
    <mergeCell ref="CM88:DD89"/>
    <mergeCell ref="AK88:AQ89"/>
    <mergeCell ref="B90:H91"/>
    <mergeCell ref="I90:O91"/>
    <mergeCell ref="P90:V91"/>
    <mergeCell ref="W90:AC91"/>
    <mergeCell ref="AD90:AJ91"/>
    <mergeCell ref="B88:H89"/>
    <mergeCell ref="I88:O89"/>
    <mergeCell ref="P88:V89"/>
    <mergeCell ref="W88:AC89"/>
    <mergeCell ref="AD88:AJ89"/>
    <mergeCell ref="AK86:AQ87"/>
    <mergeCell ref="AR86:AX87"/>
    <mergeCell ref="AY86:BE87"/>
    <mergeCell ref="BF86:BL87"/>
    <mergeCell ref="BM86:CL87"/>
    <mergeCell ref="CM86:DD87"/>
    <mergeCell ref="AR92:AX93"/>
    <mergeCell ref="AY92:BE93"/>
    <mergeCell ref="BF92:BL93"/>
    <mergeCell ref="BM92:CL93"/>
    <mergeCell ref="CM92:DD93"/>
    <mergeCell ref="AK92:AQ93"/>
    <mergeCell ref="B94:H95"/>
    <mergeCell ref="I94:O95"/>
    <mergeCell ref="P94:V95"/>
    <mergeCell ref="W94:AC95"/>
    <mergeCell ref="AD94:AJ95"/>
    <mergeCell ref="B92:H93"/>
    <mergeCell ref="I92:O93"/>
    <mergeCell ref="P92:V93"/>
    <mergeCell ref="W92:AC93"/>
    <mergeCell ref="AD92:AJ93"/>
    <mergeCell ref="AK90:AQ91"/>
    <mergeCell ref="AR90:AX91"/>
    <mergeCell ref="AY90:BE91"/>
    <mergeCell ref="BF90:BL91"/>
    <mergeCell ref="BM90:CL91"/>
    <mergeCell ref="CM90:DD91"/>
    <mergeCell ref="AR96:AX97"/>
    <mergeCell ref="AY96:BE97"/>
    <mergeCell ref="BF96:BL97"/>
    <mergeCell ref="BM96:CL97"/>
    <mergeCell ref="CM96:DD97"/>
    <mergeCell ref="AK96:AQ97"/>
    <mergeCell ref="B98:H99"/>
    <mergeCell ref="I98:O99"/>
    <mergeCell ref="P98:V99"/>
    <mergeCell ref="W98:AC99"/>
    <mergeCell ref="AD98:AJ99"/>
    <mergeCell ref="B96:H97"/>
    <mergeCell ref="I96:O97"/>
    <mergeCell ref="P96:V97"/>
    <mergeCell ref="W96:AC97"/>
    <mergeCell ref="AD96:AJ97"/>
    <mergeCell ref="AK94:AQ95"/>
    <mergeCell ref="AR94:AX95"/>
    <mergeCell ref="AY94:BE95"/>
    <mergeCell ref="BF94:BL95"/>
    <mergeCell ref="BM94:CL95"/>
    <mergeCell ref="CM94:DD95"/>
    <mergeCell ref="AR100:AX101"/>
    <mergeCell ref="AY100:BE101"/>
    <mergeCell ref="BF100:BL101"/>
    <mergeCell ref="BM100:CL101"/>
    <mergeCell ref="CM100:DD101"/>
    <mergeCell ref="AK100:AQ101"/>
    <mergeCell ref="B102:H103"/>
    <mergeCell ref="I102:O103"/>
    <mergeCell ref="P102:V103"/>
    <mergeCell ref="W102:AC103"/>
    <mergeCell ref="AD102:AJ103"/>
    <mergeCell ref="B100:H101"/>
    <mergeCell ref="I100:O101"/>
    <mergeCell ref="P100:V101"/>
    <mergeCell ref="W100:AC101"/>
    <mergeCell ref="AD100:AJ101"/>
    <mergeCell ref="AK98:AQ99"/>
    <mergeCell ref="AR98:AX99"/>
    <mergeCell ref="AY98:BE99"/>
    <mergeCell ref="BF98:BL99"/>
    <mergeCell ref="BM98:CL99"/>
    <mergeCell ref="CM98:DD99"/>
    <mergeCell ref="AR104:AX105"/>
    <mergeCell ref="AY104:BE105"/>
    <mergeCell ref="BF104:BL105"/>
    <mergeCell ref="BM104:CL105"/>
    <mergeCell ref="CM104:DD105"/>
    <mergeCell ref="AK104:AQ105"/>
    <mergeCell ref="B106:H107"/>
    <mergeCell ref="I106:O107"/>
    <mergeCell ref="P106:V107"/>
    <mergeCell ref="W106:AC107"/>
    <mergeCell ref="AD106:AJ107"/>
    <mergeCell ref="B104:H105"/>
    <mergeCell ref="I104:O105"/>
    <mergeCell ref="P104:V105"/>
    <mergeCell ref="W104:AC105"/>
    <mergeCell ref="AD104:AJ105"/>
    <mergeCell ref="AK102:AQ103"/>
    <mergeCell ref="AR102:AX103"/>
    <mergeCell ref="AY102:BE103"/>
    <mergeCell ref="BF102:BL103"/>
    <mergeCell ref="BM102:CL103"/>
    <mergeCell ref="CM102:DD103"/>
    <mergeCell ref="AR108:AX109"/>
    <mergeCell ref="AY108:BE109"/>
    <mergeCell ref="BF108:BL109"/>
    <mergeCell ref="BM108:CL109"/>
    <mergeCell ref="CM108:DD109"/>
    <mergeCell ref="AK108:AQ109"/>
    <mergeCell ref="A111:CU116"/>
    <mergeCell ref="CV111:DE116"/>
    <mergeCell ref="B108:H109"/>
    <mergeCell ref="I108:O109"/>
    <mergeCell ref="P108:V109"/>
    <mergeCell ref="W108:AC109"/>
    <mergeCell ref="AD108:AJ109"/>
    <mergeCell ref="AK106:AQ107"/>
    <mergeCell ref="AR106:AX107"/>
    <mergeCell ref="AY106:BE107"/>
    <mergeCell ref="BF106:BL107"/>
    <mergeCell ref="BM106:CL107"/>
    <mergeCell ref="CM106:DD107"/>
    <mergeCell ref="A122:DE122"/>
    <mergeCell ref="A123:J123"/>
    <mergeCell ref="K123:S123"/>
    <mergeCell ref="T123:AB123"/>
    <mergeCell ref="AC123:AK123"/>
    <mergeCell ref="AL123:AT123"/>
    <mergeCell ref="AU123:BC123"/>
    <mergeCell ref="BD123:BL123"/>
    <mergeCell ref="BM123:CM123"/>
    <mergeCell ref="CN123:CV123"/>
    <mergeCell ref="CW123:DE123"/>
    <mergeCell ref="A117:CO118"/>
    <mergeCell ref="CP117:DE118"/>
    <mergeCell ref="A119:R119"/>
    <mergeCell ref="S119:AD119"/>
    <mergeCell ref="AE119:AR119"/>
    <mergeCell ref="AS119:BF119"/>
    <mergeCell ref="BG119:CM121"/>
    <mergeCell ref="CN119:CP119"/>
    <mergeCell ref="CQ119:DE119"/>
    <mergeCell ref="A120:R120"/>
    <mergeCell ref="S120:AD120"/>
    <mergeCell ref="AE120:AR120"/>
    <mergeCell ref="AS120:BF120"/>
    <mergeCell ref="CN120:CP120"/>
    <mergeCell ref="CQ120:DE120"/>
    <mergeCell ref="A121:R121"/>
    <mergeCell ref="S121:AD121"/>
    <mergeCell ref="AE121:AR121"/>
    <mergeCell ref="AS121:BF121"/>
    <mergeCell ref="CN121:CP121"/>
    <mergeCell ref="CQ121:DE121"/>
    <mergeCell ref="CW124:DE124"/>
    <mergeCell ref="A125:DE125"/>
    <mergeCell ref="B127:H128"/>
    <mergeCell ref="I127:O128"/>
    <mergeCell ref="P127:V128"/>
    <mergeCell ref="W127:AC128"/>
    <mergeCell ref="AD127:AJ128"/>
    <mergeCell ref="AK127:AQ128"/>
    <mergeCell ref="AR127:AX128"/>
    <mergeCell ref="AY127:BE128"/>
    <mergeCell ref="BF127:BL128"/>
    <mergeCell ref="BM127:CL128"/>
    <mergeCell ref="CM127:DD128"/>
    <mergeCell ref="A124:J124"/>
    <mergeCell ref="K124:S124"/>
    <mergeCell ref="T124:AB124"/>
    <mergeCell ref="AC124:AK124"/>
    <mergeCell ref="AL124:AT124"/>
    <mergeCell ref="AU124:BC124"/>
    <mergeCell ref="BD124:BL124"/>
    <mergeCell ref="BM124:CM124"/>
    <mergeCell ref="CN124:CV124"/>
    <mergeCell ref="BM129:CL130"/>
    <mergeCell ref="CM129:DD130"/>
    <mergeCell ref="B131:H132"/>
    <mergeCell ref="I131:O132"/>
    <mergeCell ref="P131:V132"/>
    <mergeCell ref="W131:AC132"/>
    <mergeCell ref="AD131:AJ132"/>
    <mergeCell ref="AK131:AQ132"/>
    <mergeCell ref="AR131:AX132"/>
    <mergeCell ref="AY131:BE132"/>
    <mergeCell ref="BF131:BL132"/>
    <mergeCell ref="BM131:CL132"/>
    <mergeCell ref="CM131:DD132"/>
    <mergeCell ref="B129:H130"/>
    <mergeCell ref="I129:O130"/>
    <mergeCell ref="P129:V130"/>
    <mergeCell ref="W129:AC130"/>
    <mergeCell ref="AD129:AJ130"/>
    <mergeCell ref="AK129:AQ130"/>
    <mergeCell ref="AR129:AX130"/>
    <mergeCell ref="AY129:BE130"/>
    <mergeCell ref="BF129:BL130"/>
    <mergeCell ref="BM133:CL134"/>
    <mergeCell ref="CM133:DD134"/>
    <mergeCell ref="B135:H136"/>
    <mergeCell ref="I135:O136"/>
    <mergeCell ref="P135:V136"/>
    <mergeCell ref="W135:AC136"/>
    <mergeCell ref="AD135:AJ136"/>
    <mergeCell ref="AK135:AQ136"/>
    <mergeCell ref="AR135:AX136"/>
    <mergeCell ref="AY135:BE136"/>
    <mergeCell ref="BF135:BL136"/>
    <mergeCell ref="BM135:CL136"/>
    <mergeCell ref="CM135:DD136"/>
    <mergeCell ref="B133:H134"/>
    <mergeCell ref="I133:O134"/>
    <mergeCell ref="P133:V134"/>
    <mergeCell ref="W133:AC134"/>
    <mergeCell ref="AD133:AJ134"/>
    <mergeCell ref="AK133:AQ134"/>
    <mergeCell ref="AR133:AX134"/>
    <mergeCell ref="AY133:BE134"/>
    <mergeCell ref="BF133:BL134"/>
    <mergeCell ref="BM137:CL138"/>
    <mergeCell ref="CM137:DD138"/>
    <mergeCell ref="B139:H140"/>
    <mergeCell ref="I139:O140"/>
    <mergeCell ref="P139:V140"/>
    <mergeCell ref="W139:AC140"/>
    <mergeCell ref="AD139:AJ140"/>
    <mergeCell ref="AK139:AQ140"/>
    <mergeCell ref="AR139:AX140"/>
    <mergeCell ref="AY139:BE140"/>
    <mergeCell ref="BF139:BL140"/>
    <mergeCell ref="BM139:CL140"/>
    <mergeCell ref="CM139:DD140"/>
    <mergeCell ref="B137:H138"/>
    <mergeCell ref="I137:O138"/>
    <mergeCell ref="P137:V138"/>
    <mergeCell ref="W137:AC138"/>
    <mergeCell ref="AD137:AJ138"/>
    <mergeCell ref="AK137:AQ138"/>
    <mergeCell ref="AR137:AX138"/>
    <mergeCell ref="AY137:BE138"/>
    <mergeCell ref="BF137:BL138"/>
    <mergeCell ref="BM141:CL142"/>
    <mergeCell ref="CM141:DD142"/>
    <mergeCell ref="B143:H144"/>
    <mergeCell ref="I143:O144"/>
    <mergeCell ref="P143:V144"/>
    <mergeCell ref="W143:AC144"/>
    <mergeCell ref="AD143:AJ144"/>
    <mergeCell ref="AK143:AQ144"/>
    <mergeCell ref="AR143:AX144"/>
    <mergeCell ref="AY143:BE144"/>
    <mergeCell ref="BF143:BL144"/>
    <mergeCell ref="BM143:CL144"/>
    <mergeCell ref="CM143:DD144"/>
    <mergeCell ref="B141:H142"/>
    <mergeCell ref="I141:O142"/>
    <mergeCell ref="P141:V142"/>
    <mergeCell ref="W141:AC142"/>
    <mergeCell ref="AD141:AJ142"/>
    <mergeCell ref="AK141:AQ142"/>
    <mergeCell ref="AR141:AX142"/>
    <mergeCell ref="AY141:BE142"/>
    <mergeCell ref="BF141:BL142"/>
    <mergeCell ref="BM145:CL146"/>
    <mergeCell ref="CM145:DD146"/>
    <mergeCell ref="B147:H148"/>
    <mergeCell ref="I147:O148"/>
    <mergeCell ref="P147:V148"/>
    <mergeCell ref="W147:AC148"/>
    <mergeCell ref="AD147:AJ148"/>
    <mergeCell ref="AK147:AQ148"/>
    <mergeCell ref="AR147:AX148"/>
    <mergeCell ref="AY147:BE148"/>
    <mergeCell ref="BF147:BL148"/>
    <mergeCell ref="BM147:CL148"/>
    <mergeCell ref="CM147:DD148"/>
    <mergeCell ref="B145:H146"/>
    <mergeCell ref="I145:O146"/>
    <mergeCell ref="P145:V146"/>
    <mergeCell ref="W145:AC146"/>
    <mergeCell ref="AD145:AJ146"/>
    <mergeCell ref="AK145:AQ146"/>
    <mergeCell ref="AR145:AX146"/>
    <mergeCell ref="AY145:BE146"/>
    <mergeCell ref="BF145:BL146"/>
    <mergeCell ref="BM149:CL150"/>
    <mergeCell ref="CM149:DD150"/>
    <mergeCell ref="B151:H152"/>
    <mergeCell ref="I151:O152"/>
    <mergeCell ref="P151:V152"/>
    <mergeCell ref="W151:AC152"/>
    <mergeCell ref="AD151:AJ152"/>
    <mergeCell ref="AK151:AQ152"/>
    <mergeCell ref="AR151:AX152"/>
    <mergeCell ref="AY151:BE152"/>
    <mergeCell ref="BF151:BL152"/>
    <mergeCell ref="BM151:CL152"/>
    <mergeCell ref="CM151:DD152"/>
    <mergeCell ref="B149:H150"/>
    <mergeCell ref="I149:O150"/>
    <mergeCell ref="P149:V150"/>
    <mergeCell ref="W149:AC150"/>
    <mergeCell ref="AD149:AJ150"/>
    <mergeCell ref="AK149:AQ150"/>
    <mergeCell ref="AR149:AX150"/>
    <mergeCell ref="AY149:BE150"/>
    <mergeCell ref="BF149:BL150"/>
    <mergeCell ref="BM153:CL154"/>
    <mergeCell ref="CM153:DD154"/>
    <mergeCell ref="B155:H156"/>
    <mergeCell ref="I155:O156"/>
    <mergeCell ref="P155:V156"/>
    <mergeCell ref="W155:AC156"/>
    <mergeCell ref="AD155:AJ156"/>
    <mergeCell ref="AK155:AQ156"/>
    <mergeCell ref="AR155:AX156"/>
    <mergeCell ref="AY155:BE156"/>
    <mergeCell ref="BF155:BL156"/>
    <mergeCell ref="BM155:CL156"/>
    <mergeCell ref="CM155:DD156"/>
    <mergeCell ref="B153:H154"/>
    <mergeCell ref="I153:O154"/>
    <mergeCell ref="P153:V154"/>
    <mergeCell ref="W153:AC154"/>
    <mergeCell ref="AD153:AJ154"/>
    <mergeCell ref="AK153:AQ154"/>
    <mergeCell ref="AR153:AX154"/>
    <mergeCell ref="AY153:BE154"/>
    <mergeCell ref="BF153:BL154"/>
    <mergeCell ref="BM157:CL158"/>
    <mergeCell ref="CM157:DD158"/>
    <mergeCell ref="B159:H160"/>
    <mergeCell ref="I159:O160"/>
    <mergeCell ref="P159:V160"/>
    <mergeCell ref="W159:AC160"/>
    <mergeCell ref="AD159:AJ160"/>
    <mergeCell ref="AK159:AQ160"/>
    <mergeCell ref="AR159:AX160"/>
    <mergeCell ref="AY159:BE160"/>
    <mergeCell ref="BF159:BL160"/>
    <mergeCell ref="BM159:CL160"/>
    <mergeCell ref="CM159:DD160"/>
    <mergeCell ref="B157:H158"/>
    <mergeCell ref="I157:O158"/>
    <mergeCell ref="P157:V158"/>
    <mergeCell ref="W157:AC158"/>
    <mergeCell ref="AD157:AJ158"/>
    <mergeCell ref="AK157:AQ158"/>
    <mergeCell ref="AR157:AX158"/>
    <mergeCell ref="AY157:BE158"/>
    <mergeCell ref="BF157:BL158"/>
    <mergeCell ref="CN176:CP176"/>
    <mergeCell ref="CQ176:DE176"/>
    <mergeCell ref="BM161:CL162"/>
    <mergeCell ref="CM161:DD162"/>
    <mergeCell ref="B163:H164"/>
    <mergeCell ref="I163:O164"/>
    <mergeCell ref="P163:V164"/>
    <mergeCell ref="W163:AC164"/>
    <mergeCell ref="AD163:AJ164"/>
    <mergeCell ref="AK163:AQ164"/>
    <mergeCell ref="AR163:AX164"/>
    <mergeCell ref="AY163:BE164"/>
    <mergeCell ref="BF163:BL164"/>
    <mergeCell ref="BM163:CL164"/>
    <mergeCell ref="CM163:DD164"/>
    <mergeCell ref="B161:H162"/>
    <mergeCell ref="I161:O162"/>
    <mergeCell ref="P161:V162"/>
    <mergeCell ref="W161:AC162"/>
    <mergeCell ref="AD161:AJ162"/>
    <mergeCell ref="AK161:AQ162"/>
    <mergeCell ref="AR161:AX162"/>
    <mergeCell ref="AY161:BE162"/>
    <mergeCell ref="BF161:BL162"/>
    <mergeCell ref="A177:DE177"/>
    <mergeCell ref="A178:J178"/>
    <mergeCell ref="K178:S178"/>
    <mergeCell ref="T178:AB178"/>
    <mergeCell ref="AC178:AK178"/>
    <mergeCell ref="AL178:AT178"/>
    <mergeCell ref="AU178:BC178"/>
    <mergeCell ref="BD178:BL178"/>
    <mergeCell ref="BM178:CM178"/>
    <mergeCell ref="CN178:CV178"/>
    <mergeCell ref="CW178:DE178"/>
    <mergeCell ref="A166:CU171"/>
    <mergeCell ref="CV166:DE171"/>
    <mergeCell ref="A172:CO173"/>
    <mergeCell ref="CP172:DE173"/>
    <mergeCell ref="A174:R174"/>
    <mergeCell ref="S174:AD174"/>
    <mergeCell ref="AE174:AR174"/>
    <mergeCell ref="AS174:BF174"/>
    <mergeCell ref="BG174:CM176"/>
    <mergeCell ref="CN174:CP174"/>
    <mergeCell ref="CQ174:DE174"/>
    <mergeCell ref="A175:R175"/>
    <mergeCell ref="S175:AD175"/>
    <mergeCell ref="AE175:AR175"/>
    <mergeCell ref="AS175:BF175"/>
    <mergeCell ref="CN175:CP175"/>
    <mergeCell ref="CQ175:DE175"/>
    <mergeCell ref="A176:R176"/>
    <mergeCell ref="S176:AD176"/>
    <mergeCell ref="AE176:AR176"/>
    <mergeCell ref="AS176:BF176"/>
    <mergeCell ref="CW179:DE179"/>
    <mergeCell ref="A180:DE180"/>
    <mergeCell ref="B182:H183"/>
    <mergeCell ref="I182:O183"/>
    <mergeCell ref="P182:V183"/>
    <mergeCell ref="W182:AC183"/>
    <mergeCell ref="AD182:AJ183"/>
    <mergeCell ref="AK182:AQ183"/>
    <mergeCell ref="AR182:AX183"/>
    <mergeCell ref="AY182:BE183"/>
    <mergeCell ref="BF182:BL183"/>
    <mergeCell ref="BM182:CL183"/>
    <mergeCell ref="CM182:DD183"/>
    <mergeCell ref="A179:J179"/>
    <mergeCell ref="K179:S179"/>
    <mergeCell ref="T179:AB179"/>
    <mergeCell ref="AC179:AK179"/>
    <mergeCell ref="AL179:AT179"/>
    <mergeCell ref="AU179:BC179"/>
    <mergeCell ref="BD179:BL179"/>
    <mergeCell ref="BM179:CM179"/>
    <mergeCell ref="CN179:CV179"/>
    <mergeCell ref="BM184:CL185"/>
    <mergeCell ref="CM184:DD185"/>
    <mergeCell ref="B186:H187"/>
    <mergeCell ref="I186:O187"/>
    <mergeCell ref="P186:V187"/>
    <mergeCell ref="W186:AC187"/>
    <mergeCell ref="AD186:AJ187"/>
    <mergeCell ref="AK186:AQ187"/>
    <mergeCell ref="AR186:AX187"/>
    <mergeCell ref="AY186:BE187"/>
    <mergeCell ref="BF186:BL187"/>
    <mergeCell ref="BM186:CL187"/>
    <mergeCell ref="CM186:DD187"/>
    <mergeCell ref="B184:H185"/>
    <mergeCell ref="I184:O185"/>
    <mergeCell ref="P184:V185"/>
    <mergeCell ref="W184:AC185"/>
    <mergeCell ref="AD184:AJ185"/>
    <mergeCell ref="AK184:AQ185"/>
    <mergeCell ref="AR184:AX185"/>
    <mergeCell ref="AY184:BE185"/>
    <mergeCell ref="BF184:BL185"/>
    <mergeCell ref="BM188:CL189"/>
    <mergeCell ref="CM188:DD189"/>
    <mergeCell ref="B190:H191"/>
    <mergeCell ref="I190:O191"/>
    <mergeCell ref="P190:V191"/>
    <mergeCell ref="W190:AC191"/>
    <mergeCell ref="AD190:AJ191"/>
    <mergeCell ref="AK190:AQ191"/>
    <mergeCell ref="AR190:AX191"/>
    <mergeCell ref="AY190:BE191"/>
    <mergeCell ref="BF190:BL191"/>
    <mergeCell ref="BM190:CL191"/>
    <mergeCell ref="CM190:DD191"/>
    <mergeCell ref="B188:H189"/>
    <mergeCell ref="I188:O189"/>
    <mergeCell ref="P188:V189"/>
    <mergeCell ref="W188:AC189"/>
    <mergeCell ref="AD188:AJ189"/>
    <mergeCell ref="AK188:AQ189"/>
    <mergeCell ref="AR188:AX189"/>
    <mergeCell ref="AY188:BE189"/>
    <mergeCell ref="BF188:BL189"/>
    <mergeCell ref="BM192:CL193"/>
    <mergeCell ref="CM192:DD193"/>
    <mergeCell ref="B194:H195"/>
    <mergeCell ref="I194:O195"/>
    <mergeCell ref="P194:V195"/>
    <mergeCell ref="W194:AC195"/>
    <mergeCell ref="AD194:AJ195"/>
    <mergeCell ref="AK194:AQ195"/>
    <mergeCell ref="AR194:AX195"/>
    <mergeCell ref="AY194:BE195"/>
    <mergeCell ref="BF194:BL195"/>
    <mergeCell ref="BM194:CL195"/>
    <mergeCell ref="CM194:DD195"/>
    <mergeCell ref="B192:H193"/>
    <mergeCell ref="I192:O193"/>
    <mergeCell ref="P192:V193"/>
    <mergeCell ref="W192:AC193"/>
    <mergeCell ref="AD192:AJ193"/>
    <mergeCell ref="AK192:AQ193"/>
    <mergeCell ref="AR192:AX193"/>
    <mergeCell ref="AY192:BE193"/>
    <mergeCell ref="BF192:BL193"/>
    <mergeCell ref="BM196:CL197"/>
    <mergeCell ref="CM196:DD197"/>
    <mergeCell ref="B198:H199"/>
    <mergeCell ref="I198:O199"/>
    <mergeCell ref="P198:V199"/>
    <mergeCell ref="W198:AC199"/>
    <mergeCell ref="AD198:AJ199"/>
    <mergeCell ref="AK198:AQ199"/>
    <mergeCell ref="AR198:AX199"/>
    <mergeCell ref="AY198:BE199"/>
    <mergeCell ref="BF198:BL199"/>
    <mergeCell ref="BM198:CL199"/>
    <mergeCell ref="CM198:DD199"/>
    <mergeCell ref="B196:H197"/>
    <mergeCell ref="I196:O197"/>
    <mergeCell ref="P196:V197"/>
    <mergeCell ref="W196:AC197"/>
    <mergeCell ref="AD196:AJ197"/>
    <mergeCell ref="AK196:AQ197"/>
    <mergeCell ref="AR196:AX197"/>
    <mergeCell ref="AY196:BE197"/>
    <mergeCell ref="BF196:BL197"/>
    <mergeCell ref="BM200:CL201"/>
    <mergeCell ref="CM200:DD201"/>
    <mergeCell ref="B202:H203"/>
    <mergeCell ref="I202:O203"/>
    <mergeCell ref="P202:V203"/>
    <mergeCell ref="W202:AC203"/>
    <mergeCell ref="AD202:AJ203"/>
    <mergeCell ref="AK202:AQ203"/>
    <mergeCell ref="AR202:AX203"/>
    <mergeCell ref="AY202:BE203"/>
    <mergeCell ref="BF202:BL203"/>
    <mergeCell ref="BM202:CL203"/>
    <mergeCell ref="CM202:DD203"/>
    <mergeCell ref="B200:H201"/>
    <mergeCell ref="I200:O201"/>
    <mergeCell ref="P200:V201"/>
    <mergeCell ref="W200:AC201"/>
    <mergeCell ref="AD200:AJ201"/>
    <mergeCell ref="AK200:AQ201"/>
    <mergeCell ref="AR200:AX201"/>
    <mergeCell ref="AY200:BE201"/>
    <mergeCell ref="BF200:BL201"/>
    <mergeCell ref="BM204:CL205"/>
    <mergeCell ref="CM204:DD205"/>
    <mergeCell ref="B206:H207"/>
    <mergeCell ref="I206:O207"/>
    <mergeCell ref="P206:V207"/>
    <mergeCell ref="W206:AC207"/>
    <mergeCell ref="AD206:AJ207"/>
    <mergeCell ref="AK206:AQ207"/>
    <mergeCell ref="AR206:AX207"/>
    <mergeCell ref="AY206:BE207"/>
    <mergeCell ref="BF206:BL207"/>
    <mergeCell ref="BM206:CL207"/>
    <mergeCell ref="CM206:DD207"/>
    <mergeCell ref="B204:H205"/>
    <mergeCell ref="I204:O205"/>
    <mergeCell ref="P204:V205"/>
    <mergeCell ref="W204:AC205"/>
    <mergeCell ref="AD204:AJ205"/>
    <mergeCell ref="AK204:AQ205"/>
    <mergeCell ref="AR204:AX205"/>
    <mergeCell ref="AY204:BE205"/>
    <mergeCell ref="BF204:BL205"/>
    <mergeCell ref="BM208:CL209"/>
    <mergeCell ref="CM208:DD209"/>
    <mergeCell ref="B210:H211"/>
    <mergeCell ref="I210:O211"/>
    <mergeCell ref="P210:V211"/>
    <mergeCell ref="W210:AC211"/>
    <mergeCell ref="AD210:AJ211"/>
    <mergeCell ref="AK210:AQ211"/>
    <mergeCell ref="AR210:AX211"/>
    <mergeCell ref="AY210:BE211"/>
    <mergeCell ref="BF210:BL211"/>
    <mergeCell ref="BM210:CL211"/>
    <mergeCell ref="CM210:DD211"/>
    <mergeCell ref="B208:H209"/>
    <mergeCell ref="I208:O209"/>
    <mergeCell ref="P208:V209"/>
    <mergeCell ref="W208:AC209"/>
    <mergeCell ref="AD208:AJ209"/>
    <mergeCell ref="AK208:AQ209"/>
    <mergeCell ref="AR208:AX209"/>
    <mergeCell ref="AY208:BE209"/>
    <mergeCell ref="BF208:BL209"/>
    <mergeCell ref="BM212:CL213"/>
    <mergeCell ref="CM212:DD213"/>
    <mergeCell ref="B214:H215"/>
    <mergeCell ref="I214:O215"/>
    <mergeCell ref="P214:V215"/>
    <mergeCell ref="W214:AC215"/>
    <mergeCell ref="AD214:AJ215"/>
    <mergeCell ref="AK214:AQ215"/>
    <mergeCell ref="AR214:AX215"/>
    <mergeCell ref="AY214:BE215"/>
    <mergeCell ref="BF214:BL215"/>
    <mergeCell ref="BM214:CL215"/>
    <mergeCell ref="CM214:DD215"/>
    <mergeCell ref="B212:H213"/>
    <mergeCell ref="I212:O213"/>
    <mergeCell ref="P212:V213"/>
    <mergeCell ref="W212:AC213"/>
    <mergeCell ref="AD212:AJ213"/>
    <mergeCell ref="AK212:AQ213"/>
    <mergeCell ref="AR212:AX213"/>
    <mergeCell ref="AY212:BE213"/>
    <mergeCell ref="BF212:BL213"/>
    <mergeCell ref="BM216:CL217"/>
    <mergeCell ref="CM216:DD217"/>
    <mergeCell ref="B218:H219"/>
    <mergeCell ref="I218:O219"/>
    <mergeCell ref="P218:V219"/>
    <mergeCell ref="W218:AC219"/>
    <mergeCell ref="AD218:AJ219"/>
    <mergeCell ref="AK218:AQ219"/>
    <mergeCell ref="AR218:AX219"/>
    <mergeCell ref="AY218:BE219"/>
    <mergeCell ref="BF218:BL219"/>
    <mergeCell ref="BM218:CL219"/>
    <mergeCell ref="CM218:DD219"/>
    <mergeCell ref="B216:H217"/>
    <mergeCell ref="I216:O217"/>
    <mergeCell ref="P216:V217"/>
    <mergeCell ref="W216:AC217"/>
    <mergeCell ref="AD216:AJ217"/>
    <mergeCell ref="AK216:AQ217"/>
    <mergeCell ref="AR216:AX217"/>
    <mergeCell ref="AY216:BE217"/>
    <mergeCell ref="BF216:BL217"/>
  </mergeCells>
  <hyperlinks>
    <hyperlink ref="CV1" r:id="rId1" display="www.aes-ab.com" xr:uid="{87AB5C2B-14C7-4C25-A660-F4CAD14A9668}"/>
    <hyperlink ref="CV1:DE6" r:id="rId2" display="http://www.resapower.com/" xr:uid="{05B51898-A7BC-4CF1-A561-AF165204A50A}"/>
    <hyperlink ref="CV56" r:id="rId3" display="www.aes-ab.com" xr:uid="{5FEB8517-66B8-4CAD-B48C-528A82025F2E}"/>
    <hyperlink ref="CV56:DE61" r:id="rId4" display="http://www.resapower.com/" xr:uid="{177E9CF3-BC4B-42A7-AADB-F22D8A465C99}"/>
    <hyperlink ref="CV111" r:id="rId5" display="www.aes-ab.com" xr:uid="{48DDA864-AFAA-43A9-97A6-2F77AB396732}"/>
    <hyperlink ref="CV111:DE116" r:id="rId6" display="http://www.resapower.com/" xr:uid="{92A4F260-5ED1-4270-ACDD-C2F56D37DB74}"/>
    <hyperlink ref="CV166" r:id="rId7" display="www.aes-ab.com" xr:uid="{47EBBFD4-9C21-428A-BC7E-257898EAA245}"/>
    <hyperlink ref="CV166:DE171" r:id="rId8" display="http://www.resapower.com/" xr:uid="{84B473D9-B220-4E34-A66E-7369FF2B71DF}"/>
  </hyperlinks>
  <printOptions horizontalCentered="1" verticalCentered="1"/>
  <pageMargins left="0.19685039370078741" right="0.19685039370078741" top="0.59055118110236227" bottom="0.59055118110236227" header="0.59055118110236227" footer="0.19685039370078741"/>
  <pageSetup scale="63" fitToHeight="0" orientation="landscape" r:id="rId9"/>
  <headerFooter alignWithMargins="0">
    <oddHeader xml:space="preserve">&amp;R
</oddHeader>
    <oddFooter>&amp;L&amp;F&amp;RPage &amp;P</oddFooter>
  </headerFooter>
  <rowBreaks count="1" manualBreakCount="1">
    <brk id="55" max="108" man="1"/>
  </rowBreaks>
  <drawing r:id="rId10"/>
  <legacyDrawing r:id="rId1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3635-BC06-4ECC-9867-9FF570482203}">
  <sheetPr codeName="Sheet10">
    <pageSetUpPr fitToPage="1"/>
  </sheetPr>
  <dimension ref="A1:EI131"/>
  <sheetViews>
    <sheetView view="pageBreakPreview" topLeftCell="A8" zoomScale="97" zoomScaleNormal="54" zoomScaleSheetLayoutView="55" workbookViewId="0">
      <selection activeCell="BF102" sqref="BF102:BL103"/>
    </sheetView>
  </sheetViews>
  <sheetFormatPr defaultColWidth="2.42578125" defaultRowHeight="15" customHeight="1"/>
  <cols>
    <col min="1" max="18" width="2.42578125" style="1"/>
    <col min="19" max="19" width="2.42578125" style="1" customWidth="1"/>
    <col min="20" max="66" width="2.42578125" style="1"/>
    <col min="67" max="86" width="0" style="1" hidden="1" customWidth="1"/>
    <col min="87" max="16384" width="2.42578125" style="1"/>
  </cols>
  <sheetData>
    <row r="1" spans="1:139" ht="15" customHeight="1">
      <c r="A1" s="388"/>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389"/>
      <c r="CO1" s="389"/>
      <c r="CP1" s="389"/>
      <c r="CQ1" s="389"/>
      <c r="CR1" s="389"/>
      <c r="CS1" s="389"/>
      <c r="CT1" s="389"/>
      <c r="CU1" s="389"/>
      <c r="CV1" s="361" t="s">
        <v>1</v>
      </c>
      <c r="CW1" s="361"/>
      <c r="CX1" s="361"/>
      <c r="CY1" s="361"/>
      <c r="CZ1" s="361"/>
      <c r="DA1" s="361"/>
      <c r="DB1" s="361"/>
      <c r="DC1" s="361"/>
      <c r="DD1" s="361"/>
      <c r="DE1" s="362"/>
    </row>
    <row r="2" spans="1:139" ht="15" customHeight="1">
      <c r="A2" s="390"/>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c r="BN2" s="391"/>
      <c r="BO2" s="391"/>
      <c r="BP2" s="391"/>
      <c r="BQ2" s="391"/>
      <c r="BR2" s="391"/>
      <c r="BS2" s="391"/>
      <c r="BT2" s="391"/>
      <c r="BU2" s="391"/>
      <c r="BV2" s="391"/>
      <c r="BW2" s="391"/>
      <c r="BX2" s="391"/>
      <c r="BY2" s="391"/>
      <c r="BZ2" s="391"/>
      <c r="CA2" s="391"/>
      <c r="CB2" s="391"/>
      <c r="CC2" s="391"/>
      <c r="CD2" s="391"/>
      <c r="CE2" s="391"/>
      <c r="CF2" s="391"/>
      <c r="CG2" s="391"/>
      <c r="CH2" s="391"/>
      <c r="CI2" s="391"/>
      <c r="CJ2" s="391"/>
      <c r="CK2" s="391"/>
      <c r="CL2" s="391"/>
      <c r="CM2" s="391"/>
      <c r="CN2" s="391"/>
      <c r="CO2" s="391"/>
      <c r="CP2" s="391"/>
      <c r="CQ2" s="391"/>
      <c r="CR2" s="391"/>
      <c r="CS2" s="391"/>
      <c r="CT2" s="391"/>
      <c r="CU2" s="391"/>
      <c r="CV2" s="363"/>
      <c r="CW2" s="363"/>
      <c r="CX2" s="363"/>
      <c r="CY2" s="363"/>
      <c r="CZ2" s="363"/>
      <c r="DA2" s="363"/>
      <c r="DB2" s="363"/>
      <c r="DC2" s="363"/>
      <c r="DD2" s="363"/>
      <c r="DE2" s="364"/>
    </row>
    <row r="3" spans="1:139" ht="15" customHeight="1">
      <c r="A3" s="390"/>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1"/>
      <c r="BP3" s="391"/>
      <c r="BQ3" s="391"/>
      <c r="BR3" s="391"/>
      <c r="BS3" s="391"/>
      <c r="BT3" s="391"/>
      <c r="BU3" s="391"/>
      <c r="BV3" s="391"/>
      <c r="BW3" s="391"/>
      <c r="BX3" s="391"/>
      <c r="BY3" s="391"/>
      <c r="BZ3" s="391"/>
      <c r="CA3" s="391"/>
      <c r="CB3" s="391"/>
      <c r="CC3" s="391"/>
      <c r="CD3" s="391"/>
      <c r="CE3" s="391"/>
      <c r="CF3" s="391"/>
      <c r="CG3" s="391"/>
      <c r="CH3" s="391"/>
      <c r="CI3" s="391"/>
      <c r="CJ3" s="391"/>
      <c r="CK3" s="391"/>
      <c r="CL3" s="391"/>
      <c r="CM3" s="391"/>
      <c r="CN3" s="391"/>
      <c r="CO3" s="391"/>
      <c r="CP3" s="391"/>
      <c r="CQ3" s="391"/>
      <c r="CR3" s="391"/>
      <c r="CS3" s="391"/>
      <c r="CT3" s="391"/>
      <c r="CU3" s="391"/>
      <c r="CV3" s="363"/>
      <c r="CW3" s="363"/>
      <c r="CX3" s="363"/>
      <c r="CY3" s="363"/>
      <c r="CZ3" s="363"/>
      <c r="DA3" s="363"/>
      <c r="DB3" s="363"/>
      <c r="DC3" s="363"/>
      <c r="DD3" s="363"/>
      <c r="DE3" s="364"/>
    </row>
    <row r="4" spans="1:139" ht="15" customHeight="1">
      <c r="A4" s="390"/>
      <c r="B4" s="391"/>
      <c r="C4" s="391"/>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63"/>
      <c r="CW4" s="363"/>
      <c r="CX4" s="363"/>
      <c r="CY4" s="363"/>
      <c r="CZ4" s="363"/>
      <c r="DA4" s="363"/>
      <c r="DB4" s="363"/>
      <c r="DC4" s="363"/>
      <c r="DD4" s="363"/>
      <c r="DE4" s="364"/>
    </row>
    <row r="5" spans="1:139" ht="15" customHeight="1">
      <c r="A5" s="390"/>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c r="BY5" s="391"/>
      <c r="BZ5" s="391"/>
      <c r="CA5" s="391"/>
      <c r="CB5" s="391"/>
      <c r="CC5" s="391"/>
      <c r="CD5" s="391"/>
      <c r="CE5" s="391"/>
      <c r="CF5" s="391"/>
      <c r="CG5" s="391"/>
      <c r="CH5" s="391"/>
      <c r="CI5" s="391"/>
      <c r="CJ5" s="391"/>
      <c r="CK5" s="391"/>
      <c r="CL5" s="391"/>
      <c r="CM5" s="391"/>
      <c r="CN5" s="391"/>
      <c r="CO5" s="391"/>
      <c r="CP5" s="391"/>
      <c r="CQ5" s="391"/>
      <c r="CR5" s="391"/>
      <c r="CS5" s="391"/>
      <c r="CT5" s="391"/>
      <c r="CU5" s="391"/>
      <c r="CV5" s="363"/>
      <c r="CW5" s="363"/>
      <c r="CX5" s="363"/>
      <c r="CY5" s="363"/>
      <c r="CZ5" s="363"/>
      <c r="DA5" s="363"/>
      <c r="DB5" s="363"/>
      <c r="DC5" s="363"/>
      <c r="DD5" s="363"/>
      <c r="DE5" s="364"/>
    </row>
    <row r="6" spans="1:139" ht="15" customHeight="1" thickBot="1">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65"/>
      <c r="CW6" s="365"/>
      <c r="CX6" s="365"/>
      <c r="CY6" s="365"/>
      <c r="CZ6" s="365"/>
      <c r="DA6" s="365"/>
      <c r="DB6" s="365"/>
      <c r="DC6" s="365"/>
      <c r="DD6" s="365"/>
      <c r="DE6" s="366"/>
    </row>
    <row r="7" spans="1:139" ht="15" customHeight="1">
      <c r="A7" s="392" t="s">
        <v>83</v>
      </c>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c r="BL7" s="393"/>
      <c r="BM7" s="393"/>
      <c r="BN7" s="393"/>
      <c r="BO7" s="393"/>
      <c r="BP7" s="393"/>
      <c r="BQ7" s="393"/>
      <c r="BR7" s="393"/>
      <c r="BS7" s="393"/>
      <c r="BT7" s="393"/>
      <c r="BU7" s="393"/>
      <c r="BV7" s="393"/>
      <c r="BW7" s="393"/>
      <c r="BX7" s="393"/>
      <c r="BY7" s="393"/>
      <c r="BZ7" s="393"/>
      <c r="CA7" s="393"/>
      <c r="CB7" s="393"/>
      <c r="CC7" s="393"/>
      <c r="CD7" s="393"/>
      <c r="CE7" s="393"/>
      <c r="CF7" s="393"/>
      <c r="CG7" s="393"/>
      <c r="CH7" s="393"/>
      <c r="CI7" s="393"/>
      <c r="CJ7" s="393"/>
      <c r="CK7" s="393"/>
      <c r="CL7" s="393"/>
      <c r="CM7" s="393"/>
      <c r="CN7" s="393"/>
      <c r="CO7" s="393"/>
      <c r="CP7" s="367" t="s">
        <v>3</v>
      </c>
      <c r="CQ7" s="367"/>
      <c r="CR7" s="367"/>
      <c r="CS7" s="367"/>
      <c r="CT7" s="367"/>
      <c r="CU7" s="367"/>
      <c r="CV7" s="367"/>
      <c r="CW7" s="367"/>
      <c r="CX7" s="367"/>
      <c r="CY7" s="367"/>
      <c r="CZ7" s="367"/>
      <c r="DA7" s="367"/>
      <c r="DB7" s="367"/>
      <c r="DC7" s="367"/>
      <c r="DD7" s="367"/>
      <c r="DE7" s="368"/>
    </row>
    <row r="8" spans="1:139" ht="15" customHeight="1">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c r="BL8" s="393"/>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67"/>
      <c r="CQ8" s="367"/>
      <c r="CR8" s="367"/>
      <c r="CS8" s="367"/>
      <c r="CT8" s="367"/>
      <c r="CU8" s="367"/>
      <c r="CV8" s="367"/>
      <c r="CW8" s="367"/>
      <c r="CX8" s="367"/>
      <c r="CY8" s="367"/>
      <c r="CZ8" s="367"/>
      <c r="DA8" s="367"/>
      <c r="DB8" s="367"/>
      <c r="DC8" s="367"/>
      <c r="DD8" s="367"/>
      <c r="DE8" s="368"/>
    </row>
    <row r="9" spans="1:139" ht="15" customHeight="1">
      <c r="A9" s="375" t="s">
        <v>4</v>
      </c>
      <c r="B9" s="369"/>
      <c r="C9" s="369"/>
      <c r="D9" s="369"/>
      <c r="E9" s="369"/>
      <c r="F9" s="369"/>
      <c r="G9" s="369"/>
      <c r="H9" s="369"/>
      <c r="I9" s="369"/>
      <c r="J9" s="369"/>
      <c r="K9" s="369"/>
      <c r="L9" s="369"/>
      <c r="M9" s="369"/>
      <c r="N9" s="369"/>
      <c r="O9" s="369"/>
      <c r="P9" s="369"/>
      <c r="Q9" s="369"/>
      <c r="R9" s="369"/>
      <c r="S9" s="370">
        <v>559082</v>
      </c>
      <c r="T9" s="370"/>
      <c r="U9" s="370"/>
      <c r="V9" s="370"/>
      <c r="W9" s="370"/>
      <c r="X9" s="370"/>
      <c r="Y9" s="370"/>
      <c r="Z9" s="370"/>
      <c r="AA9" s="370"/>
      <c r="AB9" s="370"/>
      <c r="AC9" s="370"/>
      <c r="AD9" s="370"/>
      <c r="AE9" s="369" t="s">
        <v>5</v>
      </c>
      <c r="AF9" s="369"/>
      <c r="AG9" s="369"/>
      <c r="AH9" s="369"/>
      <c r="AI9" s="369"/>
      <c r="AJ9" s="369"/>
      <c r="AK9" s="369"/>
      <c r="AL9" s="369"/>
      <c r="AM9" s="369"/>
      <c r="AN9" s="369"/>
      <c r="AO9" s="369"/>
      <c r="AP9" s="369"/>
      <c r="AQ9" s="369"/>
      <c r="AR9" s="369"/>
      <c r="AS9" s="394">
        <v>45678</v>
      </c>
      <c r="AT9" s="394"/>
      <c r="AU9" s="394"/>
      <c r="AV9" s="394"/>
      <c r="AW9" s="394"/>
      <c r="AX9" s="394"/>
      <c r="AY9" s="394"/>
      <c r="AZ9" s="394"/>
      <c r="BA9" s="394"/>
      <c r="BB9" s="394"/>
      <c r="BC9" s="394"/>
      <c r="BD9" s="394"/>
      <c r="BE9" s="394"/>
      <c r="BF9" s="394"/>
      <c r="BG9" s="369" t="s">
        <v>6</v>
      </c>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71" t="s">
        <v>7</v>
      </c>
      <c r="CO9" s="371"/>
      <c r="CP9" s="371"/>
      <c r="CQ9" s="372" t="s">
        <v>8</v>
      </c>
      <c r="CR9" s="372"/>
      <c r="CS9" s="372"/>
      <c r="CT9" s="372"/>
      <c r="CU9" s="372"/>
      <c r="CV9" s="372"/>
      <c r="CW9" s="372"/>
      <c r="CX9" s="372"/>
      <c r="CY9" s="372"/>
      <c r="CZ9" s="372"/>
      <c r="DA9" s="372"/>
      <c r="DB9" s="372"/>
      <c r="DC9" s="372"/>
      <c r="DD9" s="372"/>
      <c r="DE9" s="373"/>
    </row>
    <row r="10" spans="1:139" ht="15" customHeight="1">
      <c r="A10" s="375" t="s">
        <v>9</v>
      </c>
      <c r="B10" s="369"/>
      <c r="C10" s="369"/>
      <c r="D10" s="369"/>
      <c r="E10" s="369"/>
      <c r="F10" s="369"/>
      <c r="G10" s="369"/>
      <c r="H10" s="369"/>
      <c r="I10" s="369"/>
      <c r="J10" s="369"/>
      <c r="K10" s="369"/>
      <c r="L10" s="369"/>
      <c r="M10" s="369"/>
      <c r="N10" s="369"/>
      <c r="O10" s="369"/>
      <c r="P10" s="369"/>
      <c r="Q10" s="369"/>
      <c r="R10" s="369"/>
      <c r="S10" s="370" t="s">
        <v>10</v>
      </c>
      <c r="T10" s="370"/>
      <c r="U10" s="370"/>
      <c r="V10" s="370"/>
      <c r="W10" s="370"/>
      <c r="X10" s="370"/>
      <c r="Y10" s="370"/>
      <c r="Z10" s="370"/>
      <c r="AA10" s="370"/>
      <c r="AB10" s="370"/>
      <c r="AC10" s="370"/>
      <c r="AD10" s="370"/>
      <c r="AE10" s="369" t="s">
        <v>11</v>
      </c>
      <c r="AF10" s="369"/>
      <c r="AG10" s="369"/>
      <c r="AH10" s="369"/>
      <c r="AI10" s="369"/>
      <c r="AJ10" s="369"/>
      <c r="AK10" s="369"/>
      <c r="AL10" s="369"/>
      <c r="AM10" s="369"/>
      <c r="AN10" s="369"/>
      <c r="AO10" s="369"/>
      <c r="AP10" s="369"/>
      <c r="AQ10" s="369"/>
      <c r="AR10" s="369"/>
      <c r="AS10" s="370" t="s">
        <v>12</v>
      </c>
      <c r="AT10" s="370"/>
      <c r="AU10" s="370"/>
      <c r="AV10" s="370"/>
      <c r="AW10" s="370"/>
      <c r="AX10" s="370"/>
      <c r="AY10" s="370"/>
      <c r="AZ10" s="370"/>
      <c r="BA10" s="370"/>
      <c r="BB10" s="370"/>
      <c r="BC10" s="370"/>
      <c r="BD10" s="370"/>
      <c r="BE10" s="370"/>
      <c r="BF10" s="370"/>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71"/>
      <c r="CO10" s="371"/>
      <c r="CP10" s="371"/>
      <c r="CQ10" s="372" t="s">
        <v>13</v>
      </c>
      <c r="CR10" s="372"/>
      <c r="CS10" s="372"/>
      <c r="CT10" s="372"/>
      <c r="CU10" s="372"/>
      <c r="CV10" s="372"/>
      <c r="CW10" s="372"/>
      <c r="CX10" s="372"/>
      <c r="CY10" s="372"/>
      <c r="CZ10" s="372"/>
      <c r="DA10" s="372"/>
      <c r="DB10" s="372"/>
      <c r="DC10" s="372"/>
      <c r="DD10" s="372"/>
      <c r="DE10" s="373"/>
    </row>
    <row r="11" spans="1:139" ht="15" customHeight="1">
      <c r="A11" s="375" t="s">
        <v>14</v>
      </c>
      <c r="B11" s="369"/>
      <c r="C11" s="369"/>
      <c r="D11" s="369"/>
      <c r="E11" s="369"/>
      <c r="F11" s="369"/>
      <c r="G11" s="369"/>
      <c r="H11" s="369"/>
      <c r="I11" s="369"/>
      <c r="J11" s="369"/>
      <c r="K11" s="369"/>
      <c r="L11" s="369"/>
      <c r="M11" s="369"/>
      <c r="N11" s="369"/>
      <c r="O11" s="369"/>
      <c r="P11" s="369"/>
      <c r="Q11" s="369"/>
      <c r="R11" s="369"/>
      <c r="S11" s="370" t="s">
        <v>15</v>
      </c>
      <c r="T11" s="370"/>
      <c r="U11" s="370"/>
      <c r="V11" s="370"/>
      <c r="W11" s="370"/>
      <c r="X11" s="370"/>
      <c r="Y11" s="370"/>
      <c r="Z11" s="370"/>
      <c r="AA11" s="370"/>
      <c r="AB11" s="370"/>
      <c r="AC11" s="370"/>
      <c r="AD11" s="370"/>
      <c r="AE11" s="369" t="s">
        <v>16</v>
      </c>
      <c r="AF11" s="369"/>
      <c r="AG11" s="369"/>
      <c r="AH11" s="369"/>
      <c r="AI11" s="369"/>
      <c r="AJ11" s="369"/>
      <c r="AK11" s="369"/>
      <c r="AL11" s="369"/>
      <c r="AM11" s="369"/>
      <c r="AN11" s="369"/>
      <c r="AO11" s="369"/>
      <c r="AP11" s="369"/>
      <c r="AQ11" s="369"/>
      <c r="AR11" s="369"/>
      <c r="AS11" s="370" t="s">
        <v>17</v>
      </c>
      <c r="AT11" s="370"/>
      <c r="AU11" s="370"/>
      <c r="AV11" s="370"/>
      <c r="AW11" s="370"/>
      <c r="AX11" s="370"/>
      <c r="AY11" s="370"/>
      <c r="AZ11" s="370"/>
      <c r="BA11" s="370"/>
      <c r="BB11" s="370"/>
      <c r="BC11" s="370"/>
      <c r="BD11" s="370"/>
      <c r="BE11" s="370"/>
      <c r="BF11" s="370"/>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71"/>
      <c r="CO11" s="371"/>
      <c r="CP11" s="371"/>
      <c r="CQ11" s="372" t="s">
        <v>18</v>
      </c>
      <c r="CR11" s="372"/>
      <c r="CS11" s="372"/>
      <c r="CT11" s="372"/>
      <c r="CU11" s="372"/>
      <c r="CV11" s="372"/>
      <c r="CW11" s="372"/>
      <c r="CX11" s="372"/>
      <c r="CY11" s="372"/>
      <c r="CZ11" s="372"/>
      <c r="DA11" s="372"/>
      <c r="DB11" s="372"/>
      <c r="DC11" s="372"/>
      <c r="DD11" s="372"/>
      <c r="DE11" s="373"/>
    </row>
    <row r="12" spans="1:139" ht="15" customHeight="1">
      <c r="A12" s="446" t="s">
        <v>84</v>
      </c>
      <c r="B12" s="447"/>
      <c r="C12" s="447"/>
      <c r="D12" s="447"/>
      <c r="E12" s="447"/>
      <c r="F12" s="447"/>
      <c r="G12" s="447"/>
      <c r="H12" s="447"/>
      <c r="I12" s="447"/>
      <c r="J12" s="447"/>
      <c r="K12" s="447"/>
      <c r="L12" s="447"/>
      <c r="M12" s="447"/>
      <c r="N12" s="447"/>
      <c r="O12" s="447"/>
      <c r="P12" s="447"/>
      <c r="Q12" s="447"/>
      <c r="R12" s="447"/>
      <c r="S12" s="447"/>
      <c r="T12" s="447"/>
      <c r="U12" s="447"/>
      <c r="V12" s="447"/>
      <c r="W12" s="447"/>
      <c r="X12" s="447"/>
      <c r="Y12" s="447"/>
      <c r="Z12" s="447"/>
      <c r="AA12" s="447"/>
      <c r="AB12" s="447"/>
      <c r="AC12" s="447"/>
      <c r="AD12" s="447"/>
      <c r="AE12" s="447"/>
      <c r="AF12" s="447"/>
      <c r="AG12" s="447"/>
      <c r="AH12" s="447"/>
      <c r="AI12" s="447"/>
      <c r="AJ12" s="447"/>
      <c r="AK12" s="447"/>
      <c r="AL12" s="447"/>
      <c r="AM12" s="447"/>
      <c r="AN12" s="447"/>
      <c r="AO12" s="447"/>
      <c r="AP12" s="447"/>
      <c r="AQ12" s="447"/>
      <c r="AR12" s="447"/>
      <c r="AS12" s="447"/>
      <c r="AT12" s="447"/>
      <c r="AU12" s="447"/>
      <c r="AV12" s="447"/>
      <c r="AW12" s="447"/>
      <c r="AX12" s="447"/>
      <c r="AY12" s="447"/>
      <c r="AZ12" s="447"/>
      <c r="BA12" s="447"/>
      <c r="BB12" s="447"/>
      <c r="BC12" s="447"/>
      <c r="BD12" s="447"/>
      <c r="BE12" s="447"/>
      <c r="BF12" s="447"/>
      <c r="BG12" s="447"/>
      <c r="BH12" s="447"/>
      <c r="BI12" s="447"/>
      <c r="BJ12" s="447"/>
      <c r="BK12" s="447"/>
      <c r="BL12" s="447"/>
      <c r="BM12" s="447"/>
      <c r="BN12" s="447"/>
      <c r="BO12" s="447"/>
      <c r="BP12" s="447"/>
      <c r="BQ12" s="447"/>
      <c r="BR12" s="447"/>
      <c r="BS12" s="447"/>
      <c r="BT12" s="447"/>
      <c r="BU12" s="447"/>
      <c r="BV12" s="447"/>
      <c r="BW12" s="447"/>
      <c r="BX12" s="447"/>
      <c r="BY12" s="447"/>
      <c r="BZ12" s="447"/>
      <c r="CA12" s="447"/>
      <c r="CB12" s="447"/>
      <c r="CC12" s="447"/>
      <c r="CD12" s="447"/>
      <c r="CE12" s="447"/>
      <c r="CF12" s="447"/>
      <c r="CG12" s="447"/>
      <c r="CH12" s="447"/>
      <c r="CI12" s="447"/>
      <c r="CJ12" s="447"/>
      <c r="CK12" s="447"/>
      <c r="CL12" s="447"/>
      <c r="CM12" s="447"/>
      <c r="CN12" s="447"/>
      <c r="CO12" s="447"/>
      <c r="CP12" s="447"/>
      <c r="CQ12" s="447"/>
      <c r="CR12" s="447"/>
      <c r="CS12" s="447"/>
      <c r="CT12" s="447"/>
      <c r="CU12" s="447"/>
      <c r="CV12" s="447"/>
      <c r="CW12" s="447"/>
      <c r="CX12" s="447"/>
      <c r="CY12" s="447"/>
      <c r="CZ12" s="447"/>
      <c r="DA12" s="447"/>
      <c r="DB12" s="447"/>
      <c r="DC12" s="447"/>
      <c r="DD12" s="447"/>
      <c r="DE12" s="448"/>
    </row>
    <row r="13" spans="1:139" ht="15" customHeight="1">
      <c r="A13" s="449" t="s">
        <v>85</v>
      </c>
      <c r="B13" s="450"/>
      <c r="C13" s="450"/>
      <c r="D13" s="450"/>
      <c r="E13" s="450"/>
      <c r="F13" s="450"/>
      <c r="G13" s="450"/>
      <c r="H13" s="450"/>
      <c r="I13" s="450"/>
      <c r="J13" s="450"/>
      <c r="K13" s="455" t="s">
        <v>86</v>
      </c>
      <c r="L13" s="455"/>
      <c r="M13" s="455"/>
      <c r="N13" s="455"/>
      <c r="O13" s="455"/>
      <c r="P13" s="455"/>
      <c r="Q13" s="455"/>
      <c r="R13" s="455"/>
      <c r="S13" s="455"/>
      <c r="T13" s="450" t="s">
        <v>87</v>
      </c>
      <c r="U13" s="450"/>
      <c r="V13" s="450"/>
      <c r="W13" s="450"/>
      <c r="X13" s="450"/>
      <c r="Y13" s="450"/>
      <c r="Z13" s="450"/>
      <c r="AA13" s="450"/>
      <c r="AB13" s="450"/>
      <c r="AC13" s="455">
        <v>1200</v>
      </c>
      <c r="AD13" s="455"/>
      <c r="AE13" s="455"/>
      <c r="AF13" s="455"/>
      <c r="AG13" s="455"/>
      <c r="AH13" s="455"/>
      <c r="AI13" s="455"/>
      <c r="AJ13" s="455"/>
      <c r="AK13" s="455"/>
      <c r="AL13" s="450" t="s">
        <v>88</v>
      </c>
      <c r="AM13" s="450"/>
      <c r="AN13" s="450"/>
      <c r="AO13" s="450"/>
      <c r="AP13" s="450"/>
      <c r="AQ13" s="450"/>
      <c r="AR13" s="450"/>
      <c r="AS13" s="450"/>
      <c r="AT13" s="450"/>
      <c r="AU13" s="455">
        <v>10</v>
      </c>
      <c r="AV13" s="455"/>
      <c r="AW13" s="455"/>
      <c r="AX13" s="455"/>
      <c r="AY13" s="455"/>
      <c r="AZ13" s="455"/>
      <c r="BA13" s="455"/>
      <c r="BB13" s="455"/>
      <c r="BC13" s="455"/>
      <c r="BD13" s="450" t="s">
        <v>89</v>
      </c>
      <c r="BE13" s="450"/>
      <c r="BF13" s="450"/>
      <c r="BG13" s="450"/>
      <c r="BH13" s="450"/>
      <c r="BI13" s="450"/>
      <c r="BJ13" s="450"/>
      <c r="BK13" s="450"/>
      <c r="BL13" s="450"/>
      <c r="BM13" s="452" t="s">
        <v>90</v>
      </c>
      <c r="BN13" s="453"/>
      <c r="BO13" s="453"/>
      <c r="BP13" s="453"/>
      <c r="BQ13" s="453"/>
      <c r="BR13" s="453"/>
      <c r="BS13" s="453"/>
      <c r="BT13" s="453"/>
      <c r="BU13" s="453"/>
      <c r="BV13" s="453"/>
      <c r="BW13" s="453"/>
      <c r="BX13" s="453"/>
      <c r="BY13" s="453"/>
      <c r="BZ13" s="453"/>
      <c r="CA13" s="453"/>
      <c r="CB13" s="453"/>
      <c r="CC13" s="453"/>
      <c r="CD13" s="453"/>
      <c r="CE13" s="453"/>
      <c r="CF13" s="453"/>
      <c r="CG13" s="453"/>
      <c r="CH13" s="453"/>
      <c r="CI13" s="453"/>
      <c r="CJ13" s="453"/>
      <c r="CK13" s="453"/>
      <c r="CL13" s="453"/>
      <c r="CM13" s="454"/>
      <c r="CN13" s="450" t="s">
        <v>91</v>
      </c>
      <c r="CO13" s="450"/>
      <c r="CP13" s="450"/>
      <c r="CQ13" s="450"/>
      <c r="CR13" s="450"/>
      <c r="CS13" s="450"/>
      <c r="CT13" s="450"/>
      <c r="CU13" s="450"/>
      <c r="CV13" s="450"/>
      <c r="CW13" s="455" t="s">
        <v>92</v>
      </c>
      <c r="CX13" s="455"/>
      <c r="CY13" s="455"/>
      <c r="CZ13" s="455"/>
      <c r="DA13" s="455"/>
      <c r="DB13" s="455"/>
      <c r="DC13" s="455"/>
      <c r="DD13" s="455"/>
      <c r="DE13" s="456"/>
    </row>
    <row r="14" spans="1:139" ht="15" customHeight="1">
      <c r="A14" s="449" t="s">
        <v>93</v>
      </c>
      <c r="B14" s="450"/>
      <c r="C14" s="450"/>
      <c r="D14" s="450"/>
      <c r="E14" s="450"/>
      <c r="F14" s="450"/>
      <c r="G14" s="450"/>
      <c r="H14" s="450"/>
      <c r="I14" s="450"/>
      <c r="J14" s="450"/>
      <c r="K14" s="444" t="s">
        <v>94</v>
      </c>
      <c r="L14" s="444"/>
      <c r="M14" s="444"/>
      <c r="N14" s="444"/>
      <c r="O14" s="444"/>
      <c r="P14" s="444"/>
      <c r="Q14" s="444"/>
      <c r="R14" s="444"/>
      <c r="S14" s="444"/>
      <c r="T14" s="451" t="s">
        <v>95</v>
      </c>
      <c r="U14" s="451"/>
      <c r="V14" s="451"/>
      <c r="W14" s="451"/>
      <c r="X14" s="451"/>
      <c r="Y14" s="451"/>
      <c r="Z14" s="451"/>
      <c r="AA14" s="451"/>
      <c r="AB14" s="451"/>
      <c r="AC14" s="444" t="s">
        <v>96</v>
      </c>
      <c r="AD14" s="444"/>
      <c r="AE14" s="444"/>
      <c r="AF14" s="444"/>
      <c r="AG14" s="444"/>
      <c r="AH14" s="444"/>
      <c r="AI14" s="444"/>
      <c r="AJ14" s="444"/>
      <c r="AK14" s="444"/>
      <c r="AL14" s="451" t="s">
        <v>97</v>
      </c>
      <c r="AM14" s="451"/>
      <c r="AN14" s="451"/>
      <c r="AO14" s="451"/>
      <c r="AP14" s="451"/>
      <c r="AQ14" s="451"/>
      <c r="AR14" s="451"/>
      <c r="AS14" s="451"/>
      <c r="AT14" s="451"/>
      <c r="AU14" s="444" t="s">
        <v>98</v>
      </c>
      <c r="AV14" s="444"/>
      <c r="AW14" s="444"/>
      <c r="AX14" s="444"/>
      <c r="AY14" s="444"/>
      <c r="AZ14" s="444"/>
      <c r="BA14" s="444"/>
      <c r="BB14" s="444"/>
      <c r="BC14" s="444"/>
      <c r="BD14" s="451" t="s">
        <v>99</v>
      </c>
      <c r="BE14" s="451"/>
      <c r="BF14" s="451"/>
      <c r="BG14" s="451"/>
      <c r="BH14" s="451"/>
      <c r="BI14" s="451"/>
      <c r="BJ14" s="451"/>
      <c r="BK14" s="451"/>
      <c r="BL14" s="451"/>
      <c r="BM14" s="452" t="s">
        <v>100</v>
      </c>
      <c r="BN14" s="453"/>
      <c r="BO14" s="453"/>
      <c r="BP14" s="453"/>
      <c r="BQ14" s="453"/>
      <c r="BR14" s="453"/>
      <c r="BS14" s="453"/>
      <c r="BT14" s="453"/>
      <c r="BU14" s="453"/>
      <c r="BV14" s="453"/>
      <c r="BW14" s="453"/>
      <c r="BX14" s="453"/>
      <c r="BY14" s="453"/>
      <c r="BZ14" s="453"/>
      <c r="CA14" s="453"/>
      <c r="CB14" s="453"/>
      <c r="CC14" s="453"/>
      <c r="CD14" s="453"/>
      <c r="CE14" s="453"/>
      <c r="CF14" s="453"/>
      <c r="CG14" s="453"/>
      <c r="CH14" s="453"/>
      <c r="CI14" s="453"/>
      <c r="CJ14" s="453"/>
      <c r="CK14" s="453"/>
      <c r="CL14" s="453"/>
      <c r="CM14" s="454"/>
      <c r="CN14" s="451" t="s">
        <v>101</v>
      </c>
      <c r="CO14" s="451"/>
      <c r="CP14" s="451"/>
      <c r="CQ14" s="451"/>
      <c r="CR14" s="451"/>
      <c r="CS14" s="451"/>
      <c r="CT14" s="451"/>
      <c r="CU14" s="451"/>
      <c r="CV14" s="451"/>
      <c r="CW14" s="444" t="s">
        <v>102</v>
      </c>
      <c r="CX14" s="444"/>
      <c r="CY14" s="444"/>
      <c r="CZ14" s="444"/>
      <c r="DA14" s="444"/>
      <c r="DB14" s="444"/>
      <c r="DC14" s="444"/>
      <c r="DD14" s="444"/>
      <c r="DE14" s="445"/>
    </row>
    <row r="15" spans="1:139" ht="15" customHeight="1">
      <c r="A15" s="446" t="s">
        <v>103</v>
      </c>
      <c r="B15" s="447"/>
      <c r="C15" s="447"/>
      <c r="D15" s="447"/>
      <c r="E15" s="447"/>
      <c r="F15" s="447"/>
      <c r="G15" s="447"/>
      <c r="H15" s="447"/>
      <c r="I15" s="447"/>
      <c r="J15" s="447"/>
      <c r="K15" s="447"/>
      <c r="L15" s="447"/>
      <c r="M15" s="447"/>
      <c r="N15" s="447"/>
      <c r="O15" s="447"/>
      <c r="P15" s="447"/>
      <c r="Q15" s="447"/>
      <c r="R15" s="447"/>
      <c r="S15" s="447"/>
      <c r="T15" s="447"/>
      <c r="U15" s="447"/>
      <c r="V15" s="447"/>
      <c r="W15" s="447"/>
      <c r="X15" s="447"/>
      <c r="Y15" s="447"/>
      <c r="Z15" s="447"/>
      <c r="AA15" s="447"/>
      <c r="AB15" s="447"/>
      <c r="AC15" s="447"/>
      <c r="AD15" s="447"/>
      <c r="AE15" s="447"/>
      <c r="AF15" s="447"/>
      <c r="AG15" s="447"/>
      <c r="AH15" s="447"/>
      <c r="AI15" s="447"/>
      <c r="AJ15" s="447"/>
      <c r="AK15" s="447"/>
      <c r="AL15" s="447"/>
      <c r="AM15" s="447"/>
      <c r="AN15" s="447"/>
      <c r="AO15" s="447"/>
      <c r="AP15" s="447"/>
      <c r="AQ15" s="447"/>
      <c r="AR15" s="447"/>
      <c r="AS15" s="447"/>
      <c r="AT15" s="447"/>
      <c r="AU15" s="447"/>
      <c r="AV15" s="447"/>
      <c r="AW15" s="447"/>
      <c r="AX15" s="447"/>
      <c r="AY15" s="447"/>
      <c r="AZ15" s="447"/>
      <c r="BA15" s="447"/>
      <c r="BB15" s="447"/>
      <c r="BC15" s="447"/>
      <c r="BD15" s="447"/>
      <c r="BE15" s="447"/>
      <c r="BF15" s="447"/>
      <c r="BG15" s="447"/>
      <c r="BH15" s="447"/>
      <c r="BI15" s="447"/>
      <c r="BJ15" s="447"/>
      <c r="BK15" s="447"/>
      <c r="BL15" s="447"/>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447"/>
      <c r="CJ15" s="447"/>
      <c r="CK15" s="447"/>
      <c r="CL15" s="447"/>
      <c r="CM15" s="447"/>
      <c r="CN15" s="447"/>
      <c r="CO15" s="447"/>
      <c r="CP15" s="447"/>
      <c r="CQ15" s="447"/>
      <c r="CR15" s="447"/>
      <c r="CS15" s="447"/>
      <c r="CT15" s="447"/>
      <c r="CU15" s="447"/>
      <c r="CV15" s="447"/>
      <c r="CW15" s="447"/>
      <c r="CX15" s="447"/>
      <c r="CY15" s="447"/>
      <c r="CZ15" s="447"/>
      <c r="DA15" s="447"/>
      <c r="DB15" s="447"/>
      <c r="DC15" s="447"/>
      <c r="DD15" s="447"/>
      <c r="DE15" s="448"/>
      <c r="DF15" s="2"/>
      <c r="DG15" s="2"/>
      <c r="DH15" s="2"/>
      <c r="DI15" s="2"/>
      <c r="DJ15" s="27"/>
      <c r="DK15" s="27"/>
      <c r="DL15" s="27"/>
      <c r="DM15" s="27"/>
      <c r="DN15" s="27"/>
      <c r="DO15" s="27"/>
      <c r="DP15" s="2"/>
      <c r="DQ15" s="2"/>
      <c r="DR15" s="2"/>
      <c r="DS15" s="2"/>
      <c r="DT15" s="2"/>
      <c r="DU15" s="2"/>
      <c r="DV15" s="2"/>
      <c r="DW15" s="2"/>
      <c r="DX15" s="2"/>
      <c r="DY15" s="2"/>
      <c r="DZ15" s="2"/>
      <c r="EA15" s="2"/>
      <c r="EB15" s="2"/>
      <c r="EC15" s="2"/>
      <c r="ED15" s="2"/>
      <c r="EE15" s="2"/>
      <c r="EF15" s="2"/>
      <c r="EG15" s="2"/>
      <c r="EH15" s="2"/>
      <c r="EI15" s="2"/>
    </row>
    <row r="16" spans="1:139" ht="15" customHeight="1">
      <c r="A16" s="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CN16" s="4"/>
      <c r="CO16" s="4"/>
      <c r="CP16" s="4"/>
      <c r="CQ16" s="4"/>
      <c r="CR16" s="4"/>
      <c r="CS16" s="4"/>
      <c r="CT16" s="4"/>
      <c r="CU16" s="4"/>
      <c r="CV16" s="4"/>
      <c r="CW16" s="4"/>
      <c r="CX16" s="4"/>
      <c r="CY16" s="4"/>
      <c r="CZ16" s="4"/>
      <c r="DA16" s="4"/>
      <c r="DB16" s="4"/>
      <c r="DC16" s="4"/>
      <c r="DD16" s="4"/>
      <c r="DE16" s="23"/>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2"/>
      <c r="EI16" s="2"/>
    </row>
    <row r="17" spans="1:133" ht="15" customHeight="1">
      <c r="A17" s="6"/>
      <c r="B17" s="376" t="s">
        <v>19</v>
      </c>
      <c r="C17" s="377"/>
      <c r="D17" s="377"/>
      <c r="E17" s="377"/>
      <c r="F17" s="377"/>
      <c r="G17" s="377"/>
      <c r="H17" s="378"/>
      <c r="I17" s="376" t="s">
        <v>21</v>
      </c>
      <c r="J17" s="377"/>
      <c r="K17" s="377"/>
      <c r="L17" s="377"/>
      <c r="M17" s="377"/>
      <c r="N17" s="377"/>
      <c r="O17" s="378"/>
      <c r="P17" s="376" t="s">
        <v>104</v>
      </c>
      <c r="Q17" s="377"/>
      <c r="R17" s="377"/>
      <c r="S17" s="377"/>
      <c r="T17" s="377"/>
      <c r="U17" s="377"/>
      <c r="V17" s="378"/>
      <c r="W17" s="376" t="s">
        <v>105</v>
      </c>
      <c r="X17" s="377"/>
      <c r="Y17" s="377"/>
      <c r="Z17" s="377"/>
      <c r="AA17" s="377"/>
      <c r="AB17" s="377"/>
      <c r="AC17" s="378"/>
      <c r="AD17" s="376" t="s">
        <v>24</v>
      </c>
      <c r="AE17" s="377"/>
      <c r="AF17" s="377"/>
      <c r="AG17" s="377"/>
      <c r="AH17" s="377"/>
      <c r="AI17" s="377"/>
      <c r="AJ17" s="378"/>
      <c r="AK17" s="376" t="s">
        <v>106</v>
      </c>
      <c r="AL17" s="377"/>
      <c r="AM17" s="377"/>
      <c r="AN17" s="377"/>
      <c r="AO17" s="377"/>
      <c r="AP17" s="377"/>
      <c r="AQ17" s="378"/>
      <c r="AR17" s="376" t="s">
        <v>107</v>
      </c>
      <c r="AS17" s="377"/>
      <c r="AT17" s="377"/>
      <c r="AU17" s="377"/>
      <c r="AV17" s="377"/>
      <c r="AW17" s="377"/>
      <c r="AX17" s="378"/>
      <c r="AY17" s="376" t="s">
        <v>24</v>
      </c>
      <c r="AZ17" s="377"/>
      <c r="BA17" s="377"/>
      <c r="BB17" s="377"/>
      <c r="BC17" s="377"/>
      <c r="BD17" s="377"/>
      <c r="BE17" s="378"/>
      <c r="BF17" s="376" t="s">
        <v>108</v>
      </c>
      <c r="BG17" s="377"/>
      <c r="BH17" s="377"/>
      <c r="BI17" s="377"/>
      <c r="BJ17" s="377"/>
      <c r="BK17" s="377"/>
      <c r="BL17" s="378"/>
      <c r="BM17" s="376" t="s">
        <v>109</v>
      </c>
      <c r="BN17" s="377"/>
      <c r="BO17" s="377"/>
      <c r="BP17" s="377"/>
      <c r="BQ17" s="377"/>
      <c r="BR17" s="377"/>
      <c r="BS17" s="377"/>
      <c r="BT17" s="377"/>
      <c r="BU17" s="377"/>
      <c r="BV17" s="377"/>
      <c r="BW17" s="377"/>
      <c r="BX17" s="377"/>
      <c r="BY17" s="377"/>
      <c r="BZ17" s="377"/>
      <c r="CA17" s="377"/>
      <c r="CB17" s="377"/>
      <c r="CC17" s="377"/>
      <c r="CD17" s="377"/>
      <c r="CE17" s="377"/>
      <c r="CF17" s="377"/>
      <c r="CG17" s="377"/>
      <c r="CH17" s="377"/>
      <c r="CI17" s="377"/>
      <c r="CJ17" s="377"/>
      <c r="CK17" s="377"/>
      <c r="CL17" s="378"/>
      <c r="CM17" s="376" t="s">
        <v>30</v>
      </c>
      <c r="CN17" s="377"/>
      <c r="CO17" s="377"/>
      <c r="CP17" s="377"/>
      <c r="CQ17" s="377"/>
      <c r="CR17" s="377"/>
      <c r="CS17" s="377"/>
      <c r="CT17" s="377"/>
      <c r="CU17" s="377"/>
      <c r="CV17" s="377"/>
      <c r="CW17" s="377"/>
      <c r="CX17" s="377"/>
      <c r="CY17" s="377"/>
      <c r="CZ17" s="377"/>
      <c r="DA17" s="377"/>
      <c r="DB17" s="377"/>
      <c r="DC17" s="377"/>
      <c r="DD17" s="378"/>
      <c r="DE17" s="7"/>
    </row>
    <row r="18" spans="1:133" ht="15" customHeight="1">
      <c r="A18" s="6"/>
      <c r="B18" s="379"/>
      <c r="C18" s="380"/>
      <c r="D18" s="380"/>
      <c r="E18" s="380"/>
      <c r="F18" s="380"/>
      <c r="G18" s="380"/>
      <c r="H18" s="381"/>
      <c r="I18" s="379"/>
      <c r="J18" s="380"/>
      <c r="K18" s="380"/>
      <c r="L18" s="380"/>
      <c r="M18" s="380"/>
      <c r="N18" s="380"/>
      <c r="O18" s="381"/>
      <c r="P18" s="379"/>
      <c r="Q18" s="380"/>
      <c r="R18" s="380"/>
      <c r="S18" s="380"/>
      <c r="T18" s="380"/>
      <c r="U18" s="380"/>
      <c r="V18" s="381"/>
      <c r="W18" s="379"/>
      <c r="X18" s="380"/>
      <c r="Y18" s="380"/>
      <c r="Z18" s="380"/>
      <c r="AA18" s="380"/>
      <c r="AB18" s="380"/>
      <c r="AC18" s="381"/>
      <c r="AD18" s="379"/>
      <c r="AE18" s="380"/>
      <c r="AF18" s="380"/>
      <c r="AG18" s="380"/>
      <c r="AH18" s="380"/>
      <c r="AI18" s="380"/>
      <c r="AJ18" s="381"/>
      <c r="AK18" s="379"/>
      <c r="AL18" s="380"/>
      <c r="AM18" s="380"/>
      <c r="AN18" s="380"/>
      <c r="AO18" s="380"/>
      <c r="AP18" s="380"/>
      <c r="AQ18" s="381"/>
      <c r="AR18" s="379"/>
      <c r="AS18" s="380"/>
      <c r="AT18" s="380"/>
      <c r="AU18" s="380"/>
      <c r="AV18" s="380"/>
      <c r="AW18" s="380"/>
      <c r="AX18" s="381"/>
      <c r="AY18" s="379"/>
      <c r="AZ18" s="380"/>
      <c r="BA18" s="380"/>
      <c r="BB18" s="380"/>
      <c r="BC18" s="380"/>
      <c r="BD18" s="380"/>
      <c r="BE18" s="381"/>
      <c r="BF18" s="379"/>
      <c r="BG18" s="380"/>
      <c r="BH18" s="380"/>
      <c r="BI18" s="380"/>
      <c r="BJ18" s="380"/>
      <c r="BK18" s="380"/>
      <c r="BL18" s="381"/>
      <c r="BM18" s="379"/>
      <c r="BN18" s="380"/>
      <c r="BO18" s="380"/>
      <c r="BP18" s="380"/>
      <c r="BQ18" s="380"/>
      <c r="BR18" s="380"/>
      <c r="BS18" s="380"/>
      <c r="BT18" s="380"/>
      <c r="BU18" s="380"/>
      <c r="BV18" s="380"/>
      <c r="BW18" s="380"/>
      <c r="BX18" s="380"/>
      <c r="BY18" s="380"/>
      <c r="BZ18" s="380"/>
      <c r="CA18" s="380"/>
      <c r="CB18" s="380"/>
      <c r="CC18" s="380"/>
      <c r="CD18" s="380"/>
      <c r="CE18" s="380"/>
      <c r="CF18" s="380"/>
      <c r="CG18" s="380"/>
      <c r="CH18" s="380"/>
      <c r="CI18" s="380"/>
      <c r="CJ18" s="380"/>
      <c r="CK18" s="380"/>
      <c r="CL18" s="381"/>
      <c r="CM18" s="379"/>
      <c r="CN18" s="380"/>
      <c r="CO18" s="380"/>
      <c r="CP18" s="380"/>
      <c r="CQ18" s="380"/>
      <c r="CR18" s="380"/>
      <c r="CS18" s="380"/>
      <c r="CT18" s="380"/>
      <c r="CU18" s="380"/>
      <c r="CV18" s="380"/>
      <c r="CW18" s="380"/>
      <c r="CX18" s="380"/>
      <c r="CY18" s="380"/>
      <c r="CZ18" s="380"/>
      <c r="DA18" s="380"/>
      <c r="DB18" s="380"/>
      <c r="DC18" s="380"/>
      <c r="DD18" s="381"/>
      <c r="DE18" s="7"/>
    </row>
    <row r="19" spans="1:133" ht="15" customHeight="1">
      <c r="A19" s="6"/>
      <c r="B19" s="353"/>
      <c r="C19" s="354"/>
      <c r="D19" s="354"/>
      <c r="E19" s="354"/>
      <c r="F19" s="354"/>
      <c r="G19" s="354"/>
      <c r="H19" s="355"/>
      <c r="I19" s="353"/>
      <c r="J19" s="354"/>
      <c r="K19" s="354"/>
      <c r="L19" s="354"/>
      <c r="M19" s="354"/>
      <c r="N19" s="354"/>
      <c r="O19" s="355"/>
      <c r="P19" s="465"/>
      <c r="Q19" s="466"/>
      <c r="R19" s="466"/>
      <c r="S19" s="466"/>
      <c r="T19" s="466"/>
      <c r="U19" s="466"/>
      <c r="V19" s="467"/>
      <c r="W19" s="395"/>
      <c r="X19" s="396"/>
      <c r="Y19" s="396"/>
      <c r="Z19" s="396"/>
      <c r="AA19" s="396"/>
      <c r="AB19" s="396"/>
      <c r="AC19" s="397"/>
      <c r="AD19" s="395"/>
      <c r="AE19" s="396"/>
      <c r="AF19" s="396"/>
      <c r="AG19" s="396"/>
      <c r="AH19" s="396"/>
      <c r="AI19" s="396"/>
      <c r="AJ19" s="397"/>
      <c r="AK19" s="395"/>
      <c r="AL19" s="396"/>
      <c r="AM19" s="396"/>
      <c r="AN19" s="396"/>
      <c r="AO19" s="396"/>
      <c r="AP19" s="396"/>
      <c r="AQ19" s="397"/>
      <c r="AR19" s="395"/>
      <c r="AS19" s="396"/>
      <c r="AT19" s="396"/>
      <c r="AU19" s="396"/>
      <c r="AV19" s="396"/>
      <c r="AW19" s="396"/>
      <c r="AX19" s="397"/>
      <c r="AY19" s="395"/>
      <c r="AZ19" s="396"/>
      <c r="BA19" s="396"/>
      <c r="BB19" s="396"/>
      <c r="BC19" s="396"/>
      <c r="BD19" s="396"/>
      <c r="BE19" s="397"/>
      <c r="BF19" s="395"/>
      <c r="BG19" s="396"/>
      <c r="BH19" s="396"/>
      <c r="BI19" s="396"/>
      <c r="BJ19" s="396"/>
      <c r="BK19" s="396"/>
      <c r="BL19" s="397"/>
      <c r="BM19" s="353"/>
      <c r="BN19" s="354"/>
      <c r="BO19" s="354"/>
      <c r="BP19" s="354"/>
      <c r="BQ19" s="354"/>
      <c r="BR19" s="354"/>
      <c r="BS19" s="354"/>
      <c r="BT19" s="354"/>
      <c r="BU19" s="354"/>
      <c r="BV19" s="354"/>
      <c r="BW19" s="354"/>
      <c r="BX19" s="354"/>
      <c r="BY19" s="354"/>
      <c r="BZ19" s="354"/>
      <c r="CA19" s="354"/>
      <c r="CB19" s="354"/>
      <c r="CC19" s="354"/>
      <c r="CD19" s="354"/>
      <c r="CE19" s="354"/>
      <c r="CF19" s="354"/>
      <c r="CG19" s="354"/>
      <c r="CH19" s="354"/>
      <c r="CI19" s="354"/>
      <c r="CJ19" s="354"/>
      <c r="CK19" s="354"/>
      <c r="CL19" s="355"/>
      <c r="CM19" s="353"/>
      <c r="CN19" s="354"/>
      <c r="CO19" s="354"/>
      <c r="CP19" s="354"/>
      <c r="CQ19" s="354"/>
      <c r="CR19" s="354"/>
      <c r="CS19" s="354"/>
      <c r="CT19" s="354"/>
      <c r="CU19" s="354"/>
      <c r="CV19" s="354"/>
      <c r="CW19" s="354"/>
      <c r="CX19" s="354"/>
      <c r="CY19" s="354"/>
      <c r="CZ19" s="354"/>
      <c r="DA19" s="354"/>
      <c r="DB19" s="354"/>
      <c r="DC19" s="354"/>
      <c r="DD19" s="355"/>
      <c r="DE19" s="7"/>
    </row>
    <row r="20" spans="1:133" ht="12.75">
      <c r="A20" s="6"/>
      <c r="B20" s="356"/>
      <c r="C20" s="357"/>
      <c r="D20" s="357"/>
      <c r="E20" s="357"/>
      <c r="F20" s="357"/>
      <c r="G20" s="357"/>
      <c r="H20" s="358"/>
      <c r="I20" s="356"/>
      <c r="J20" s="357"/>
      <c r="K20" s="357"/>
      <c r="L20" s="357"/>
      <c r="M20" s="357"/>
      <c r="N20" s="357"/>
      <c r="O20" s="358"/>
      <c r="P20" s="468"/>
      <c r="Q20" s="469"/>
      <c r="R20" s="469"/>
      <c r="S20" s="469"/>
      <c r="T20" s="469"/>
      <c r="U20" s="469"/>
      <c r="V20" s="470"/>
      <c r="W20" s="398"/>
      <c r="X20" s="399"/>
      <c r="Y20" s="399"/>
      <c r="Z20" s="399"/>
      <c r="AA20" s="399"/>
      <c r="AB20" s="399"/>
      <c r="AC20" s="400"/>
      <c r="AD20" s="398"/>
      <c r="AE20" s="399"/>
      <c r="AF20" s="399"/>
      <c r="AG20" s="399"/>
      <c r="AH20" s="399"/>
      <c r="AI20" s="399"/>
      <c r="AJ20" s="400"/>
      <c r="AK20" s="398"/>
      <c r="AL20" s="399"/>
      <c r="AM20" s="399"/>
      <c r="AN20" s="399"/>
      <c r="AO20" s="399"/>
      <c r="AP20" s="399"/>
      <c r="AQ20" s="400"/>
      <c r="AR20" s="398"/>
      <c r="AS20" s="399"/>
      <c r="AT20" s="399"/>
      <c r="AU20" s="399"/>
      <c r="AV20" s="399"/>
      <c r="AW20" s="399"/>
      <c r="AX20" s="400"/>
      <c r="AY20" s="398"/>
      <c r="AZ20" s="399"/>
      <c r="BA20" s="399"/>
      <c r="BB20" s="399"/>
      <c r="BC20" s="399"/>
      <c r="BD20" s="399"/>
      <c r="BE20" s="400"/>
      <c r="BF20" s="398"/>
      <c r="BG20" s="399"/>
      <c r="BH20" s="399"/>
      <c r="BI20" s="399"/>
      <c r="BJ20" s="399"/>
      <c r="BK20" s="399"/>
      <c r="BL20" s="400"/>
      <c r="BM20" s="356"/>
      <c r="BN20" s="357"/>
      <c r="BO20" s="357"/>
      <c r="BP20" s="357"/>
      <c r="BQ20" s="357"/>
      <c r="BR20" s="357"/>
      <c r="BS20" s="357"/>
      <c r="BT20" s="357"/>
      <c r="BU20" s="357"/>
      <c r="BV20" s="357"/>
      <c r="BW20" s="357"/>
      <c r="BX20" s="357"/>
      <c r="BY20" s="357"/>
      <c r="BZ20" s="357"/>
      <c r="CA20" s="357"/>
      <c r="CB20" s="357"/>
      <c r="CC20" s="357"/>
      <c r="CD20" s="357"/>
      <c r="CE20" s="357"/>
      <c r="CF20" s="357"/>
      <c r="CG20" s="357"/>
      <c r="CH20" s="357"/>
      <c r="CI20" s="357"/>
      <c r="CJ20" s="357"/>
      <c r="CK20" s="357"/>
      <c r="CL20" s="358"/>
      <c r="CM20" s="356"/>
      <c r="CN20" s="357"/>
      <c r="CO20" s="357"/>
      <c r="CP20" s="357"/>
      <c r="CQ20" s="357"/>
      <c r="CR20" s="357"/>
      <c r="CS20" s="357"/>
      <c r="CT20" s="357"/>
      <c r="CU20" s="357"/>
      <c r="CV20" s="357"/>
      <c r="CW20" s="357"/>
      <c r="CX20" s="357"/>
      <c r="CY20" s="357"/>
      <c r="CZ20" s="357"/>
      <c r="DA20" s="357"/>
      <c r="DB20" s="357"/>
      <c r="DC20" s="357"/>
      <c r="DD20" s="358"/>
      <c r="DE20" s="7"/>
    </row>
    <row r="21" spans="1:133" ht="15" customHeight="1">
      <c r="A21" s="3"/>
      <c r="B21" s="382"/>
      <c r="C21" s="383"/>
      <c r="D21" s="383"/>
      <c r="E21" s="383"/>
      <c r="F21" s="383"/>
      <c r="G21" s="383"/>
      <c r="H21" s="384"/>
      <c r="I21" s="382"/>
      <c r="J21" s="383"/>
      <c r="K21" s="383"/>
      <c r="L21" s="383"/>
      <c r="M21" s="383"/>
      <c r="N21" s="383"/>
      <c r="O21" s="384"/>
      <c r="P21" s="459"/>
      <c r="Q21" s="460"/>
      <c r="R21" s="460"/>
      <c r="S21" s="460"/>
      <c r="T21" s="460"/>
      <c r="U21" s="460"/>
      <c r="V21" s="461"/>
      <c r="W21" s="408"/>
      <c r="X21" s="409"/>
      <c r="Y21" s="409"/>
      <c r="Z21" s="409"/>
      <c r="AA21" s="409"/>
      <c r="AB21" s="409"/>
      <c r="AC21" s="410"/>
      <c r="AD21" s="408"/>
      <c r="AE21" s="409"/>
      <c r="AF21" s="409"/>
      <c r="AG21" s="409"/>
      <c r="AH21" s="409"/>
      <c r="AI21" s="409"/>
      <c r="AJ21" s="410"/>
      <c r="AK21" s="408"/>
      <c r="AL21" s="409"/>
      <c r="AM21" s="409"/>
      <c r="AN21" s="409"/>
      <c r="AO21" s="409"/>
      <c r="AP21" s="409"/>
      <c r="AQ21" s="410"/>
      <c r="AR21" s="408"/>
      <c r="AS21" s="409"/>
      <c r="AT21" s="409"/>
      <c r="AU21" s="409"/>
      <c r="AV21" s="409"/>
      <c r="AW21" s="409"/>
      <c r="AX21" s="410"/>
      <c r="AY21" s="408"/>
      <c r="AZ21" s="409"/>
      <c r="BA21" s="409"/>
      <c r="BB21" s="409"/>
      <c r="BC21" s="409"/>
      <c r="BD21" s="409"/>
      <c r="BE21" s="410"/>
      <c r="BF21" s="408"/>
      <c r="BG21" s="409"/>
      <c r="BH21" s="409"/>
      <c r="BI21" s="409"/>
      <c r="BJ21" s="409"/>
      <c r="BK21" s="409"/>
      <c r="BL21" s="410"/>
      <c r="BM21" s="382"/>
      <c r="BN21" s="383"/>
      <c r="BO21" s="383"/>
      <c r="BP21" s="383"/>
      <c r="BQ21" s="383"/>
      <c r="BR21" s="383"/>
      <c r="BS21" s="383"/>
      <c r="BT21" s="383"/>
      <c r="BU21" s="383"/>
      <c r="BV21" s="383"/>
      <c r="BW21" s="383"/>
      <c r="BX21" s="383"/>
      <c r="BY21" s="383"/>
      <c r="BZ21" s="383"/>
      <c r="CA21" s="383"/>
      <c r="CB21" s="383"/>
      <c r="CC21" s="383"/>
      <c r="CD21" s="383"/>
      <c r="CE21" s="383"/>
      <c r="CF21" s="383"/>
      <c r="CG21" s="383"/>
      <c r="CH21" s="383"/>
      <c r="CI21" s="383"/>
      <c r="CJ21" s="383"/>
      <c r="CK21" s="383"/>
      <c r="CL21" s="384"/>
      <c r="CM21" s="382"/>
      <c r="CN21" s="383"/>
      <c r="CO21" s="383"/>
      <c r="CP21" s="383"/>
      <c r="CQ21" s="383"/>
      <c r="CR21" s="383"/>
      <c r="CS21" s="383"/>
      <c r="CT21" s="383"/>
      <c r="CU21" s="383"/>
      <c r="CV21" s="383"/>
      <c r="CW21" s="383"/>
      <c r="CX21" s="383"/>
      <c r="CY21" s="383"/>
      <c r="CZ21" s="383"/>
      <c r="DA21" s="383"/>
      <c r="DB21" s="383"/>
      <c r="DC21" s="383"/>
      <c r="DD21" s="384"/>
      <c r="DE21" s="7"/>
    </row>
    <row r="22" spans="1:133" ht="15" customHeight="1">
      <c r="A22" s="6"/>
      <c r="B22" s="385"/>
      <c r="C22" s="386"/>
      <c r="D22" s="386"/>
      <c r="E22" s="386"/>
      <c r="F22" s="386"/>
      <c r="G22" s="386"/>
      <c r="H22" s="387"/>
      <c r="I22" s="385"/>
      <c r="J22" s="386"/>
      <c r="K22" s="386"/>
      <c r="L22" s="386"/>
      <c r="M22" s="386"/>
      <c r="N22" s="386"/>
      <c r="O22" s="387"/>
      <c r="P22" s="462"/>
      <c r="Q22" s="463"/>
      <c r="R22" s="463"/>
      <c r="S22" s="463"/>
      <c r="T22" s="463"/>
      <c r="U22" s="463"/>
      <c r="V22" s="464"/>
      <c r="W22" s="411"/>
      <c r="X22" s="412"/>
      <c r="Y22" s="412"/>
      <c r="Z22" s="412"/>
      <c r="AA22" s="412"/>
      <c r="AB22" s="412"/>
      <c r="AC22" s="413"/>
      <c r="AD22" s="411"/>
      <c r="AE22" s="412"/>
      <c r="AF22" s="412"/>
      <c r="AG22" s="412"/>
      <c r="AH22" s="412"/>
      <c r="AI22" s="412"/>
      <c r="AJ22" s="413"/>
      <c r="AK22" s="411"/>
      <c r="AL22" s="412"/>
      <c r="AM22" s="412"/>
      <c r="AN22" s="412"/>
      <c r="AO22" s="412"/>
      <c r="AP22" s="412"/>
      <c r="AQ22" s="413"/>
      <c r="AR22" s="411"/>
      <c r="AS22" s="412"/>
      <c r="AT22" s="412"/>
      <c r="AU22" s="412"/>
      <c r="AV22" s="412"/>
      <c r="AW22" s="412"/>
      <c r="AX22" s="413"/>
      <c r="AY22" s="411"/>
      <c r="AZ22" s="412"/>
      <c r="BA22" s="412"/>
      <c r="BB22" s="412"/>
      <c r="BC22" s="412"/>
      <c r="BD22" s="412"/>
      <c r="BE22" s="413"/>
      <c r="BF22" s="411"/>
      <c r="BG22" s="412"/>
      <c r="BH22" s="412"/>
      <c r="BI22" s="412"/>
      <c r="BJ22" s="412"/>
      <c r="BK22" s="412"/>
      <c r="BL22" s="413"/>
      <c r="BM22" s="385"/>
      <c r="BN22" s="386"/>
      <c r="BO22" s="386"/>
      <c r="BP22" s="386"/>
      <c r="BQ22" s="386"/>
      <c r="BR22" s="386"/>
      <c r="BS22" s="386"/>
      <c r="BT22" s="386"/>
      <c r="BU22" s="386"/>
      <c r="BV22" s="386"/>
      <c r="BW22" s="386"/>
      <c r="BX22" s="386"/>
      <c r="BY22" s="386"/>
      <c r="BZ22" s="386"/>
      <c r="CA22" s="386"/>
      <c r="CB22" s="386"/>
      <c r="CC22" s="386"/>
      <c r="CD22" s="386"/>
      <c r="CE22" s="386"/>
      <c r="CF22" s="386"/>
      <c r="CG22" s="386"/>
      <c r="CH22" s="386"/>
      <c r="CI22" s="386"/>
      <c r="CJ22" s="386"/>
      <c r="CK22" s="386"/>
      <c r="CL22" s="387"/>
      <c r="CM22" s="385"/>
      <c r="CN22" s="386"/>
      <c r="CO22" s="386"/>
      <c r="CP22" s="386"/>
      <c r="CQ22" s="386"/>
      <c r="CR22" s="386"/>
      <c r="CS22" s="386"/>
      <c r="CT22" s="386"/>
      <c r="CU22" s="386"/>
      <c r="CV22" s="386"/>
      <c r="CW22" s="386"/>
      <c r="CX22" s="386"/>
      <c r="CY22" s="386"/>
      <c r="CZ22" s="386"/>
      <c r="DA22" s="386"/>
      <c r="DB22" s="386"/>
      <c r="DC22" s="386"/>
      <c r="DD22" s="387"/>
      <c r="DE22" s="7"/>
    </row>
    <row r="23" spans="1:133" ht="15" customHeight="1">
      <c r="A23" s="8"/>
      <c r="B23" s="353"/>
      <c r="C23" s="354"/>
      <c r="D23" s="354"/>
      <c r="E23" s="354"/>
      <c r="F23" s="354"/>
      <c r="G23" s="354"/>
      <c r="H23" s="355"/>
      <c r="I23" s="352"/>
      <c r="J23" s="352"/>
      <c r="K23" s="352"/>
      <c r="L23" s="352"/>
      <c r="M23" s="352"/>
      <c r="N23" s="352"/>
      <c r="O23" s="352"/>
      <c r="P23" s="458"/>
      <c r="Q23" s="458"/>
      <c r="R23" s="458"/>
      <c r="S23" s="458"/>
      <c r="T23" s="458"/>
      <c r="U23" s="458"/>
      <c r="V23" s="458"/>
      <c r="W23" s="395"/>
      <c r="X23" s="396"/>
      <c r="Y23" s="396"/>
      <c r="Z23" s="396"/>
      <c r="AA23" s="396"/>
      <c r="AB23" s="396"/>
      <c r="AC23" s="397"/>
      <c r="AD23" s="395"/>
      <c r="AE23" s="396"/>
      <c r="AF23" s="396"/>
      <c r="AG23" s="396"/>
      <c r="AH23" s="396"/>
      <c r="AI23" s="396"/>
      <c r="AJ23" s="397"/>
      <c r="AK23" s="395"/>
      <c r="AL23" s="396"/>
      <c r="AM23" s="396"/>
      <c r="AN23" s="396"/>
      <c r="AO23" s="396"/>
      <c r="AP23" s="396"/>
      <c r="AQ23" s="397"/>
      <c r="AR23" s="395"/>
      <c r="AS23" s="396"/>
      <c r="AT23" s="396"/>
      <c r="AU23" s="396"/>
      <c r="AV23" s="396"/>
      <c r="AW23" s="396"/>
      <c r="AX23" s="397"/>
      <c r="AY23" s="395"/>
      <c r="AZ23" s="396"/>
      <c r="BA23" s="396"/>
      <c r="BB23" s="396"/>
      <c r="BC23" s="396"/>
      <c r="BD23" s="396"/>
      <c r="BE23" s="397"/>
      <c r="BF23" s="395"/>
      <c r="BG23" s="396"/>
      <c r="BH23" s="396"/>
      <c r="BI23" s="396"/>
      <c r="BJ23" s="396"/>
      <c r="BK23" s="396"/>
      <c r="BL23" s="397"/>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c r="CQ23" s="352"/>
      <c r="CR23" s="352"/>
      <c r="CS23" s="352"/>
      <c r="CT23" s="352"/>
      <c r="CU23" s="352"/>
      <c r="CV23" s="352"/>
      <c r="CW23" s="352"/>
      <c r="CX23" s="352"/>
      <c r="CY23" s="352"/>
      <c r="CZ23" s="352"/>
      <c r="DA23" s="352"/>
      <c r="DB23" s="352"/>
      <c r="DC23" s="352"/>
      <c r="DD23" s="352"/>
      <c r="DE23" s="7"/>
    </row>
    <row r="24" spans="1:133" ht="15" customHeight="1">
      <c r="A24" s="8"/>
      <c r="B24" s="356"/>
      <c r="C24" s="357"/>
      <c r="D24" s="357"/>
      <c r="E24" s="357"/>
      <c r="F24" s="357"/>
      <c r="G24" s="357"/>
      <c r="H24" s="358"/>
      <c r="I24" s="352"/>
      <c r="J24" s="352"/>
      <c r="K24" s="352"/>
      <c r="L24" s="352"/>
      <c r="M24" s="352"/>
      <c r="N24" s="352"/>
      <c r="O24" s="352"/>
      <c r="P24" s="458"/>
      <c r="Q24" s="458"/>
      <c r="R24" s="458"/>
      <c r="S24" s="458"/>
      <c r="T24" s="458"/>
      <c r="U24" s="458"/>
      <c r="V24" s="458"/>
      <c r="W24" s="398"/>
      <c r="X24" s="399"/>
      <c r="Y24" s="399"/>
      <c r="Z24" s="399"/>
      <c r="AA24" s="399"/>
      <c r="AB24" s="399"/>
      <c r="AC24" s="400"/>
      <c r="AD24" s="398"/>
      <c r="AE24" s="399"/>
      <c r="AF24" s="399"/>
      <c r="AG24" s="399"/>
      <c r="AH24" s="399"/>
      <c r="AI24" s="399"/>
      <c r="AJ24" s="400"/>
      <c r="AK24" s="398"/>
      <c r="AL24" s="399"/>
      <c r="AM24" s="399"/>
      <c r="AN24" s="399"/>
      <c r="AO24" s="399"/>
      <c r="AP24" s="399"/>
      <c r="AQ24" s="400"/>
      <c r="AR24" s="398"/>
      <c r="AS24" s="399"/>
      <c r="AT24" s="399"/>
      <c r="AU24" s="399"/>
      <c r="AV24" s="399"/>
      <c r="AW24" s="399"/>
      <c r="AX24" s="400"/>
      <c r="AY24" s="398"/>
      <c r="AZ24" s="399"/>
      <c r="BA24" s="399"/>
      <c r="BB24" s="399"/>
      <c r="BC24" s="399"/>
      <c r="BD24" s="399"/>
      <c r="BE24" s="400"/>
      <c r="BF24" s="398"/>
      <c r="BG24" s="399"/>
      <c r="BH24" s="399"/>
      <c r="BI24" s="399"/>
      <c r="BJ24" s="399"/>
      <c r="BK24" s="399"/>
      <c r="BL24" s="400"/>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c r="CQ24" s="352"/>
      <c r="CR24" s="352"/>
      <c r="CS24" s="352"/>
      <c r="CT24" s="352"/>
      <c r="CU24" s="352"/>
      <c r="CV24" s="352"/>
      <c r="CW24" s="352"/>
      <c r="CX24" s="352"/>
      <c r="CY24" s="352"/>
      <c r="CZ24" s="352"/>
      <c r="DA24" s="352"/>
      <c r="DB24" s="352"/>
      <c r="DC24" s="352"/>
      <c r="DD24" s="352"/>
      <c r="DE24" s="7"/>
    </row>
    <row r="25" spans="1:133" ht="15" customHeight="1">
      <c r="A25" s="3"/>
      <c r="B25" s="382"/>
      <c r="C25" s="383"/>
      <c r="D25" s="383"/>
      <c r="E25" s="383"/>
      <c r="F25" s="383"/>
      <c r="G25" s="383"/>
      <c r="H25" s="384"/>
      <c r="I25" s="351"/>
      <c r="J25" s="351"/>
      <c r="K25" s="351"/>
      <c r="L25" s="351"/>
      <c r="M25" s="351"/>
      <c r="N25" s="351"/>
      <c r="O25" s="351"/>
      <c r="P25" s="457"/>
      <c r="Q25" s="457"/>
      <c r="R25" s="457"/>
      <c r="S25" s="457"/>
      <c r="T25" s="457"/>
      <c r="U25" s="457"/>
      <c r="V25" s="457"/>
      <c r="W25" s="408"/>
      <c r="X25" s="409"/>
      <c r="Y25" s="409"/>
      <c r="Z25" s="409"/>
      <c r="AA25" s="409"/>
      <c r="AB25" s="409"/>
      <c r="AC25" s="410"/>
      <c r="AD25" s="408"/>
      <c r="AE25" s="409"/>
      <c r="AF25" s="409"/>
      <c r="AG25" s="409"/>
      <c r="AH25" s="409"/>
      <c r="AI25" s="409"/>
      <c r="AJ25" s="410"/>
      <c r="AK25" s="408"/>
      <c r="AL25" s="409"/>
      <c r="AM25" s="409"/>
      <c r="AN25" s="409"/>
      <c r="AO25" s="409"/>
      <c r="AP25" s="409"/>
      <c r="AQ25" s="410"/>
      <c r="AR25" s="408"/>
      <c r="AS25" s="409"/>
      <c r="AT25" s="409"/>
      <c r="AU25" s="409"/>
      <c r="AV25" s="409"/>
      <c r="AW25" s="409"/>
      <c r="AX25" s="410"/>
      <c r="AY25" s="408"/>
      <c r="AZ25" s="409"/>
      <c r="BA25" s="409"/>
      <c r="BB25" s="409"/>
      <c r="BC25" s="409"/>
      <c r="BD25" s="409"/>
      <c r="BE25" s="410"/>
      <c r="BF25" s="408"/>
      <c r="BG25" s="409"/>
      <c r="BH25" s="409"/>
      <c r="BI25" s="409"/>
      <c r="BJ25" s="409"/>
      <c r="BK25" s="409"/>
      <c r="BL25" s="410"/>
      <c r="BM25" s="351"/>
      <c r="BN25" s="351"/>
      <c r="BO25" s="351"/>
      <c r="BP25" s="351"/>
      <c r="BQ25" s="351"/>
      <c r="BR25" s="351"/>
      <c r="BS25" s="351"/>
      <c r="BT25" s="351"/>
      <c r="BU25" s="351"/>
      <c r="BV25" s="351"/>
      <c r="BW25" s="351"/>
      <c r="BX25" s="351"/>
      <c r="BY25" s="351"/>
      <c r="BZ25" s="351"/>
      <c r="CA25" s="351"/>
      <c r="CB25" s="351"/>
      <c r="CC25" s="351"/>
      <c r="CD25" s="351"/>
      <c r="CE25" s="351"/>
      <c r="CF25" s="351"/>
      <c r="CG25" s="351"/>
      <c r="CH25" s="351"/>
      <c r="CI25" s="351"/>
      <c r="CJ25" s="351"/>
      <c r="CK25" s="351"/>
      <c r="CL25" s="351"/>
      <c r="CM25" s="351"/>
      <c r="CN25" s="351"/>
      <c r="CO25" s="351"/>
      <c r="CP25" s="351"/>
      <c r="CQ25" s="351"/>
      <c r="CR25" s="351"/>
      <c r="CS25" s="351"/>
      <c r="CT25" s="351"/>
      <c r="CU25" s="351"/>
      <c r="CV25" s="351"/>
      <c r="CW25" s="351"/>
      <c r="CX25" s="351"/>
      <c r="CY25" s="351"/>
      <c r="CZ25" s="351"/>
      <c r="DA25" s="351"/>
      <c r="DB25" s="351"/>
      <c r="DC25" s="351"/>
      <c r="DD25" s="351"/>
      <c r="DE25" s="7"/>
    </row>
    <row r="26" spans="1:133" ht="15" customHeight="1">
      <c r="A26" s="3"/>
      <c r="B26" s="385"/>
      <c r="C26" s="386"/>
      <c r="D26" s="386"/>
      <c r="E26" s="386"/>
      <c r="F26" s="386"/>
      <c r="G26" s="386"/>
      <c r="H26" s="387"/>
      <c r="I26" s="351"/>
      <c r="J26" s="351"/>
      <c r="K26" s="351"/>
      <c r="L26" s="351"/>
      <c r="M26" s="351"/>
      <c r="N26" s="351"/>
      <c r="O26" s="351"/>
      <c r="P26" s="457"/>
      <c r="Q26" s="457"/>
      <c r="R26" s="457"/>
      <c r="S26" s="457"/>
      <c r="T26" s="457"/>
      <c r="U26" s="457"/>
      <c r="V26" s="457"/>
      <c r="W26" s="411"/>
      <c r="X26" s="412"/>
      <c r="Y26" s="412"/>
      <c r="Z26" s="412"/>
      <c r="AA26" s="412"/>
      <c r="AB26" s="412"/>
      <c r="AC26" s="413"/>
      <c r="AD26" s="411"/>
      <c r="AE26" s="412"/>
      <c r="AF26" s="412"/>
      <c r="AG26" s="412"/>
      <c r="AH26" s="412"/>
      <c r="AI26" s="412"/>
      <c r="AJ26" s="413"/>
      <c r="AK26" s="411"/>
      <c r="AL26" s="412"/>
      <c r="AM26" s="412"/>
      <c r="AN26" s="412"/>
      <c r="AO26" s="412"/>
      <c r="AP26" s="412"/>
      <c r="AQ26" s="413"/>
      <c r="AR26" s="411"/>
      <c r="AS26" s="412"/>
      <c r="AT26" s="412"/>
      <c r="AU26" s="412"/>
      <c r="AV26" s="412"/>
      <c r="AW26" s="412"/>
      <c r="AX26" s="413"/>
      <c r="AY26" s="411"/>
      <c r="AZ26" s="412"/>
      <c r="BA26" s="412"/>
      <c r="BB26" s="412"/>
      <c r="BC26" s="412"/>
      <c r="BD26" s="412"/>
      <c r="BE26" s="413"/>
      <c r="BF26" s="411"/>
      <c r="BG26" s="412"/>
      <c r="BH26" s="412"/>
      <c r="BI26" s="412"/>
      <c r="BJ26" s="412"/>
      <c r="BK26" s="412"/>
      <c r="BL26" s="413"/>
      <c r="BM26" s="351"/>
      <c r="BN26" s="351"/>
      <c r="BO26" s="351"/>
      <c r="BP26" s="351"/>
      <c r="BQ26" s="351"/>
      <c r="BR26" s="351"/>
      <c r="BS26" s="351"/>
      <c r="BT26" s="351"/>
      <c r="BU26" s="351"/>
      <c r="BV26" s="351"/>
      <c r="BW26" s="351"/>
      <c r="BX26" s="351"/>
      <c r="BY26" s="351"/>
      <c r="BZ26" s="351"/>
      <c r="CA26" s="351"/>
      <c r="CB26" s="351"/>
      <c r="CC26" s="351"/>
      <c r="CD26" s="351"/>
      <c r="CE26" s="351"/>
      <c r="CF26" s="351"/>
      <c r="CG26" s="351"/>
      <c r="CH26" s="351"/>
      <c r="CI26" s="351"/>
      <c r="CJ26" s="351"/>
      <c r="CK26" s="351"/>
      <c r="CL26" s="351"/>
      <c r="CM26" s="351"/>
      <c r="CN26" s="351"/>
      <c r="CO26" s="351"/>
      <c r="CP26" s="351"/>
      <c r="CQ26" s="351"/>
      <c r="CR26" s="351"/>
      <c r="CS26" s="351"/>
      <c r="CT26" s="351"/>
      <c r="CU26" s="351"/>
      <c r="CV26" s="351"/>
      <c r="CW26" s="351"/>
      <c r="CX26" s="351"/>
      <c r="CY26" s="351"/>
      <c r="CZ26" s="351"/>
      <c r="DA26" s="351"/>
      <c r="DB26" s="351"/>
      <c r="DC26" s="351"/>
      <c r="DD26" s="351"/>
      <c r="DE26" s="7"/>
    </row>
    <row r="27" spans="1:133" ht="15" customHeight="1">
      <c r="A27" s="3"/>
      <c r="B27" s="353"/>
      <c r="C27" s="354"/>
      <c r="D27" s="354"/>
      <c r="E27" s="354"/>
      <c r="F27" s="354"/>
      <c r="G27" s="354"/>
      <c r="H27" s="355"/>
      <c r="I27" s="352"/>
      <c r="J27" s="352"/>
      <c r="K27" s="352"/>
      <c r="L27" s="352"/>
      <c r="M27" s="352"/>
      <c r="N27" s="352"/>
      <c r="O27" s="352"/>
      <c r="P27" s="458"/>
      <c r="Q27" s="458"/>
      <c r="R27" s="458"/>
      <c r="S27" s="458"/>
      <c r="T27" s="458"/>
      <c r="U27" s="458"/>
      <c r="V27" s="458"/>
      <c r="W27" s="395"/>
      <c r="X27" s="396"/>
      <c r="Y27" s="396"/>
      <c r="Z27" s="396"/>
      <c r="AA27" s="396"/>
      <c r="AB27" s="396"/>
      <c r="AC27" s="397"/>
      <c r="AD27" s="395"/>
      <c r="AE27" s="396"/>
      <c r="AF27" s="396"/>
      <c r="AG27" s="396"/>
      <c r="AH27" s="396"/>
      <c r="AI27" s="396"/>
      <c r="AJ27" s="397"/>
      <c r="AK27" s="395"/>
      <c r="AL27" s="396"/>
      <c r="AM27" s="396"/>
      <c r="AN27" s="396"/>
      <c r="AO27" s="396"/>
      <c r="AP27" s="396"/>
      <c r="AQ27" s="397"/>
      <c r="AR27" s="395"/>
      <c r="AS27" s="396"/>
      <c r="AT27" s="396"/>
      <c r="AU27" s="396"/>
      <c r="AV27" s="396"/>
      <c r="AW27" s="396"/>
      <c r="AX27" s="397"/>
      <c r="AY27" s="395"/>
      <c r="AZ27" s="396"/>
      <c r="BA27" s="396"/>
      <c r="BB27" s="396"/>
      <c r="BC27" s="396"/>
      <c r="BD27" s="396"/>
      <c r="BE27" s="397"/>
      <c r="BF27" s="395"/>
      <c r="BG27" s="396"/>
      <c r="BH27" s="396"/>
      <c r="BI27" s="396"/>
      <c r="BJ27" s="396"/>
      <c r="BK27" s="396"/>
      <c r="BL27" s="397"/>
      <c r="BM27" s="416"/>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c r="CQ27" s="352"/>
      <c r="CR27" s="352"/>
      <c r="CS27" s="352"/>
      <c r="CT27" s="352"/>
      <c r="CU27" s="352"/>
      <c r="CV27" s="352"/>
      <c r="CW27" s="352"/>
      <c r="CX27" s="352"/>
      <c r="CY27" s="352"/>
      <c r="CZ27" s="352"/>
      <c r="DA27" s="352"/>
      <c r="DB27" s="352"/>
      <c r="DC27" s="352"/>
      <c r="DD27" s="352"/>
      <c r="DE27" s="24"/>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row>
    <row r="28" spans="1:133" ht="15" customHeight="1">
      <c r="A28" s="3"/>
      <c r="B28" s="356"/>
      <c r="C28" s="357"/>
      <c r="D28" s="357"/>
      <c r="E28" s="357"/>
      <c r="F28" s="357"/>
      <c r="G28" s="357"/>
      <c r="H28" s="358"/>
      <c r="I28" s="352"/>
      <c r="J28" s="352"/>
      <c r="K28" s="352"/>
      <c r="L28" s="352"/>
      <c r="M28" s="352"/>
      <c r="N28" s="352"/>
      <c r="O28" s="352"/>
      <c r="P28" s="458"/>
      <c r="Q28" s="458"/>
      <c r="R28" s="458"/>
      <c r="S28" s="458"/>
      <c r="T28" s="458"/>
      <c r="U28" s="458"/>
      <c r="V28" s="458"/>
      <c r="W28" s="398"/>
      <c r="X28" s="399"/>
      <c r="Y28" s="399"/>
      <c r="Z28" s="399"/>
      <c r="AA28" s="399"/>
      <c r="AB28" s="399"/>
      <c r="AC28" s="400"/>
      <c r="AD28" s="398"/>
      <c r="AE28" s="399"/>
      <c r="AF28" s="399"/>
      <c r="AG28" s="399"/>
      <c r="AH28" s="399"/>
      <c r="AI28" s="399"/>
      <c r="AJ28" s="400"/>
      <c r="AK28" s="398"/>
      <c r="AL28" s="399"/>
      <c r="AM28" s="399"/>
      <c r="AN28" s="399"/>
      <c r="AO28" s="399"/>
      <c r="AP28" s="399"/>
      <c r="AQ28" s="400"/>
      <c r="AR28" s="398"/>
      <c r="AS28" s="399"/>
      <c r="AT28" s="399"/>
      <c r="AU28" s="399"/>
      <c r="AV28" s="399"/>
      <c r="AW28" s="399"/>
      <c r="AX28" s="400"/>
      <c r="AY28" s="398"/>
      <c r="AZ28" s="399"/>
      <c r="BA28" s="399"/>
      <c r="BB28" s="399"/>
      <c r="BC28" s="399"/>
      <c r="BD28" s="399"/>
      <c r="BE28" s="400"/>
      <c r="BF28" s="398"/>
      <c r="BG28" s="399"/>
      <c r="BH28" s="399"/>
      <c r="BI28" s="399"/>
      <c r="BJ28" s="399"/>
      <c r="BK28" s="399"/>
      <c r="BL28" s="400"/>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c r="CQ28" s="352"/>
      <c r="CR28" s="352"/>
      <c r="CS28" s="352"/>
      <c r="CT28" s="352"/>
      <c r="CU28" s="352"/>
      <c r="CV28" s="352"/>
      <c r="CW28" s="352"/>
      <c r="CX28" s="352"/>
      <c r="CY28" s="352"/>
      <c r="CZ28" s="352"/>
      <c r="DA28" s="352"/>
      <c r="DB28" s="352"/>
      <c r="DC28" s="352"/>
      <c r="DD28" s="352"/>
      <c r="DE28" s="7"/>
    </row>
    <row r="29" spans="1:133" ht="15" customHeight="1">
      <c r="A29" s="8"/>
      <c r="B29" s="382"/>
      <c r="C29" s="383"/>
      <c r="D29" s="383"/>
      <c r="E29" s="383"/>
      <c r="F29" s="383"/>
      <c r="G29" s="383"/>
      <c r="H29" s="384"/>
      <c r="I29" s="351"/>
      <c r="J29" s="351"/>
      <c r="K29" s="351"/>
      <c r="L29" s="351"/>
      <c r="M29" s="351"/>
      <c r="N29" s="351"/>
      <c r="O29" s="351"/>
      <c r="P29" s="457"/>
      <c r="Q29" s="457"/>
      <c r="R29" s="457"/>
      <c r="S29" s="457"/>
      <c r="T29" s="457"/>
      <c r="U29" s="457"/>
      <c r="V29" s="457"/>
      <c r="W29" s="408"/>
      <c r="X29" s="409"/>
      <c r="Y29" s="409"/>
      <c r="Z29" s="409"/>
      <c r="AA29" s="409"/>
      <c r="AB29" s="409"/>
      <c r="AC29" s="410"/>
      <c r="AD29" s="408"/>
      <c r="AE29" s="409"/>
      <c r="AF29" s="409"/>
      <c r="AG29" s="409"/>
      <c r="AH29" s="409"/>
      <c r="AI29" s="409"/>
      <c r="AJ29" s="410"/>
      <c r="AK29" s="408"/>
      <c r="AL29" s="409"/>
      <c r="AM29" s="409"/>
      <c r="AN29" s="409"/>
      <c r="AO29" s="409"/>
      <c r="AP29" s="409"/>
      <c r="AQ29" s="410"/>
      <c r="AR29" s="408"/>
      <c r="AS29" s="409"/>
      <c r="AT29" s="409"/>
      <c r="AU29" s="409"/>
      <c r="AV29" s="409"/>
      <c r="AW29" s="409"/>
      <c r="AX29" s="410"/>
      <c r="AY29" s="408"/>
      <c r="AZ29" s="409"/>
      <c r="BA29" s="409"/>
      <c r="BB29" s="409"/>
      <c r="BC29" s="409"/>
      <c r="BD29" s="409"/>
      <c r="BE29" s="410"/>
      <c r="BF29" s="408"/>
      <c r="BG29" s="409"/>
      <c r="BH29" s="409"/>
      <c r="BI29" s="409"/>
      <c r="BJ29" s="409"/>
      <c r="BK29" s="409"/>
      <c r="BL29" s="410"/>
      <c r="BM29" s="351"/>
      <c r="BN29" s="351"/>
      <c r="BO29" s="351"/>
      <c r="BP29" s="351"/>
      <c r="BQ29" s="351"/>
      <c r="BR29" s="351"/>
      <c r="BS29" s="351"/>
      <c r="BT29" s="351"/>
      <c r="BU29" s="351"/>
      <c r="BV29" s="351"/>
      <c r="BW29" s="351"/>
      <c r="BX29" s="351"/>
      <c r="BY29" s="351"/>
      <c r="BZ29" s="351"/>
      <c r="CA29" s="351"/>
      <c r="CB29" s="351"/>
      <c r="CC29" s="351"/>
      <c r="CD29" s="351"/>
      <c r="CE29" s="351"/>
      <c r="CF29" s="351"/>
      <c r="CG29" s="351"/>
      <c r="CH29" s="351"/>
      <c r="CI29" s="351"/>
      <c r="CJ29" s="351"/>
      <c r="CK29" s="351"/>
      <c r="CL29" s="351"/>
      <c r="CM29" s="351"/>
      <c r="CN29" s="351"/>
      <c r="CO29" s="351"/>
      <c r="CP29" s="351"/>
      <c r="CQ29" s="351"/>
      <c r="CR29" s="351"/>
      <c r="CS29" s="351"/>
      <c r="CT29" s="351"/>
      <c r="CU29" s="351"/>
      <c r="CV29" s="351"/>
      <c r="CW29" s="351"/>
      <c r="CX29" s="351"/>
      <c r="CY29" s="351"/>
      <c r="CZ29" s="351"/>
      <c r="DA29" s="351"/>
      <c r="DB29" s="351"/>
      <c r="DC29" s="351"/>
      <c r="DD29" s="351"/>
      <c r="DE29" s="7"/>
    </row>
    <row r="30" spans="1:133" ht="15" customHeight="1">
      <c r="A30" s="6"/>
      <c r="B30" s="385"/>
      <c r="C30" s="386"/>
      <c r="D30" s="386"/>
      <c r="E30" s="386"/>
      <c r="F30" s="386"/>
      <c r="G30" s="386"/>
      <c r="H30" s="387"/>
      <c r="I30" s="351"/>
      <c r="J30" s="351"/>
      <c r="K30" s="351"/>
      <c r="L30" s="351"/>
      <c r="M30" s="351"/>
      <c r="N30" s="351"/>
      <c r="O30" s="351"/>
      <c r="P30" s="457"/>
      <c r="Q30" s="457"/>
      <c r="R30" s="457"/>
      <c r="S30" s="457"/>
      <c r="T30" s="457"/>
      <c r="U30" s="457"/>
      <c r="V30" s="457"/>
      <c r="W30" s="411"/>
      <c r="X30" s="412"/>
      <c r="Y30" s="412"/>
      <c r="Z30" s="412"/>
      <c r="AA30" s="412"/>
      <c r="AB30" s="412"/>
      <c r="AC30" s="413"/>
      <c r="AD30" s="411"/>
      <c r="AE30" s="412"/>
      <c r="AF30" s="412"/>
      <c r="AG30" s="412"/>
      <c r="AH30" s="412"/>
      <c r="AI30" s="412"/>
      <c r="AJ30" s="413"/>
      <c r="AK30" s="411"/>
      <c r="AL30" s="412"/>
      <c r="AM30" s="412"/>
      <c r="AN30" s="412"/>
      <c r="AO30" s="412"/>
      <c r="AP30" s="412"/>
      <c r="AQ30" s="413"/>
      <c r="AR30" s="411"/>
      <c r="AS30" s="412"/>
      <c r="AT30" s="412"/>
      <c r="AU30" s="412"/>
      <c r="AV30" s="412"/>
      <c r="AW30" s="412"/>
      <c r="AX30" s="413"/>
      <c r="AY30" s="411"/>
      <c r="AZ30" s="412"/>
      <c r="BA30" s="412"/>
      <c r="BB30" s="412"/>
      <c r="BC30" s="412"/>
      <c r="BD30" s="412"/>
      <c r="BE30" s="413"/>
      <c r="BF30" s="411"/>
      <c r="BG30" s="412"/>
      <c r="BH30" s="412"/>
      <c r="BI30" s="412"/>
      <c r="BJ30" s="412"/>
      <c r="BK30" s="412"/>
      <c r="BL30" s="413"/>
      <c r="BM30" s="351"/>
      <c r="BN30" s="351"/>
      <c r="BO30" s="351"/>
      <c r="BP30" s="351"/>
      <c r="BQ30" s="351"/>
      <c r="BR30" s="351"/>
      <c r="BS30" s="351"/>
      <c r="BT30" s="351"/>
      <c r="BU30" s="351"/>
      <c r="BV30" s="351"/>
      <c r="BW30" s="351"/>
      <c r="BX30" s="351"/>
      <c r="BY30" s="351"/>
      <c r="BZ30" s="351"/>
      <c r="CA30" s="351"/>
      <c r="CB30" s="351"/>
      <c r="CC30" s="351"/>
      <c r="CD30" s="351"/>
      <c r="CE30" s="351"/>
      <c r="CF30" s="351"/>
      <c r="CG30" s="351"/>
      <c r="CH30" s="351"/>
      <c r="CI30" s="351"/>
      <c r="CJ30" s="351"/>
      <c r="CK30" s="351"/>
      <c r="CL30" s="351"/>
      <c r="CM30" s="351"/>
      <c r="CN30" s="351"/>
      <c r="CO30" s="351"/>
      <c r="CP30" s="351"/>
      <c r="CQ30" s="351"/>
      <c r="CR30" s="351"/>
      <c r="CS30" s="351"/>
      <c r="CT30" s="351"/>
      <c r="CU30" s="351"/>
      <c r="CV30" s="351"/>
      <c r="CW30" s="351"/>
      <c r="CX30" s="351"/>
      <c r="CY30" s="351"/>
      <c r="CZ30" s="351"/>
      <c r="DA30" s="351"/>
      <c r="DB30" s="351"/>
      <c r="DC30" s="351"/>
      <c r="DD30" s="351"/>
      <c r="DE30" s="7"/>
    </row>
    <row r="31" spans="1:133" ht="15" customHeight="1">
      <c r="A31" s="3"/>
      <c r="B31" s="353"/>
      <c r="C31" s="354"/>
      <c r="D31" s="354"/>
      <c r="E31" s="354"/>
      <c r="F31" s="354"/>
      <c r="G31" s="354"/>
      <c r="H31" s="355"/>
      <c r="I31" s="352"/>
      <c r="J31" s="352"/>
      <c r="K31" s="352"/>
      <c r="L31" s="352"/>
      <c r="M31" s="352"/>
      <c r="N31" s="352"/>
      <c r="O31" s="352"/>
      <c r="P31" s="458"/>
      <c r="Q31" s="458"/>
      <c r="R31" s="458"/>
      <c r="S31" s="458"/>
      <c r="T31" s="458"/>
      <c r="U31" s="458"/>
      <c r="V31" s="458"/>
      <c r="W31" s="395"/>
      <c r="X31" s="396"/>
      <c r="Y31" s="396"/>
      <c r="Z31" s="396"/>
      <c r="AA31" s="396"/>
      <c r="AB31" s="396"/>
      <c r="AC31" s="397"/>
      <c r="AD31" s="395"/>
      <c r="AE31" s="396"/>
      <c r="AF31" s="396"/>
      <c r="AG31" s="396"/>
      <c r="AH31" s="396"/>
      <c r="AI31" s="396"/>
      <c r="AJ31" s="397"/>
      <c r="AK31" s="395"/>
      <c r="AL31" s="396"/>
      <c r="AM31" s="396"/>
      <c r="AN31" s="396"/>
      <c r="AO31" s="396"/>
      <c r="AP31" s="396"/>
      <c r="AQ31" s="397"/>
      <c r="AR31" s="395"/>
      <c r="AS31" s="396"/>
      <c r="AT31" s="396"/>
      <c r="AU31" s="396"/>
      <c r="AV31" s="396"/>
      <c r="AW31" s="396"/>
      <c r="AX31" s="397"/>
      <c r="AY31" s="395"/>
      <c r="AZ31" s="396"/>
      <c r="BA31" s="396"/>
      <c r="BB31" s="396"/>
      <c r="BC31" s="396"/>
      <c r="BD31" s="396"/>
      <c r="BE31" s="397"/>
      <c r="BF31" s="395"/>
      <c r="BG31" s="396"/>
      <c r="BH31" s="396"/>
      <c r="BI31" s="396"/>
      <c r="BJ31" s="396"/>
      <c r="BK31" s="396"/>
      <c r="BL31" s="397"/>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c r="CQ31" s="352"/>
      <c r="CR31" s="352"/>
      <c r="CS31" s="352"/>
      <c r="CT31" s="352"/>
      <c r="CU31" s="352"/>
      <c r="CV31" s="352"/>
      <c r="CW31" s="352"/>
      <c r="CX31" s="352"/>
      <c r="CY31" s="352"/>
      <c r="CZ31" s="352"/>
      <c r="DA31" s="352"/>
      <c r="DB31" s="352"/>
      <c r="DC31" s="352"/>
      <c r="DD31" s="352"/>
      <c r="DE31" s="7"/>
    </row>
    <row r="32" spans="1:133" ht="15" customHeight="1">
      <c r="A32" s="6"/>
      <c r="B32" s="356"/>
      <c r="C32" s="357"/>
      <c r="D32" s="357"/>
      <c r="E32" s="357"/>
      <c r="F32" s="357"/>
      <c r="G32" s="357"/>
      <c r="H32" s="358"/>
      <c r="I32" s="352"/>
      <c r="J32" s="352"/>
      <c r="K32" s="352"/>
      <c r="L32" s="352"/>
      <c r="M32" s="352"/>
      <c r="N32" s="352"/>
      <c r="O32" s="352"/>
      <c r="P32" s="458"/>
      <c r="Q32" s="458"/>
      <c r="R32" s="458"/>
      <c r="S32" s="458"/>
      <c r="T32" s="458"/>
      <c r="U32" s="458"/>
      <c r="V32" s="458"/>
      <c r="W32" s="398"/>
      <c r="X32" s="399"/>
      <c r="Y32" s="399"/>
      <c r="Z32" s="399"/>
      <c r="AA32" s="399"/>
      <c r="AB32" s="399"/>
      <c r="AC32" s="400"/>
      <c r="AD32" s="398"/>
      <c r="AE32" s="399"/>
      <c r="AF32" s="399"/>
      <c r="AG32" s="399"/>
      <c r="AH32" s="399"/>
      <c r="AI32" s="399"/>
      <c r="AJ32" s="400"/>
      <c r="AK32" s="398"/>
      <c r="AL32" s="399"/>
      <c r="AM32" s="399"/>
      <c r="AN32" s="399"/>
      <c r="AO32" s="399"/>
      <c r="AP32" s="399"/>
      <c r="AQ32" s="400"/>
      <c r="AR32" s="398"/>
      <c r="AS32" s="399"/>
      <c r="AT32" s="399"/>
      <c r="AU32" s="399"/>
      <c r="AV32" s="399"/>
      <c r="AW32" s="399"/>
      <c r="AX32" s="400"/>
      <c r="AY32" s="398"/>
      <c r="AZ32" s="399"/>
      <c r="BA32" s="399"/>
      <c r="BB32" s="399"/>
      <c r="BC32" s="399"/>
      <c r="BD32" s="399"/>
      <c r="BE32" s="400"/>
      <c r="BF32" s="398"/>
      <c r="BG32" s="399"/>
      <c r="BH32" s="399"/>
      <c r="BI32" s="399"/>
      <c r="BJ32" s="399"/>
      <c r="BK32" s="399"/>
      <c r="BL32" s="400"/>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c r="CQ32" s="352"/>
      <c r="CR32" s="352"/>
      <c r="CS32" s="352"/>
      <c r="CT32" s="352"/>
      <c r="CU32" s="352"/>
      <c r="CV32" s="352"/>
      <c r="CW32" s="352"/>
      <c r="CX32" s="352"/>
      <c r="CY32" s="352"/>
      <c r="CZ32" s="352"/>
      <c r="DA32" s="352"/>
      <c r="DB32" s="352"/>
      <c r="DC32" s="352"/>
      <c r="DD32" s="352"/>
      <c r="DE32" s="7"/>
    </row>
    <row r="33" spans="1:109" ht="12.75">
      <c r="A33" s="6"/>
      <c r="B33" s="382"/>
      <c r="C33" s="383"/>
      <c r="D33" s="383"/>
      <c r="E33" s="383"/>
      <c r="F33" s="383"/>
      <c r="G33" s="383"/>
      <c r="H33" s="384"/>
      <c r="I33" s="351"/>
      <c r="J33" s="351"/>
      <c r="K33" s="351"/>
      <c r="L33" s="351"/>
      <c r="M33" s="351"/>
      <c r="N33" s="351"/>
      <c r="O33" s="351"/>
      <c r="P33" s="457"/>
      <c r="Q33" s="457"/>
      <c r="R33" s="457"/>
      <c r="S33" s="457"/>
      <c r="T33" s="457"/>
      <c r="U33" s="457"/>
      <c r="V33" s="457"/>
      <c r="W33" s="408"/>
      <c r="X33" s="409"/>
      <c r="Y33" s="409"/>
      <c r="Z33" s="409"/>
      <c r="AA33" s="409"/>
      <c r="AB33" s="409"/>
      <c r="AC33" s="410"/>
      <c r="AD33" s="408"/>
      <c r="AE33" s="409"/>
      <c r="AF33" s="409"/>
      <c r="AG33" s="409"/>
      <c r="AH33" s="409"/>
      <c r="AI33" s="409"/>
      <c r="AJ33" s="410"/>
      <c r="AK33" s="408"/>
      <c r="AL33" s="409"/>
      <c r="AM33" s="409"/>
      <c r="AN33" s="409"/>
      <c r="AO33" s="409"/>
      <c r="AP33" s="409"/>
      <c r="AQ33" s="410"/>
      <c r="AR33" s="408"/>
      <c r="AS33" s="409"/>
      <c r="AT33" s="409"/>
      <c r="AU33" s="409"/>
      <c r="AV33" s="409"/>
      <c r="AW33" s="409"/>
      <c r="AX33" s="410"/>
      <c r="AY33" s="408"/>
      <c r="AZ33" s="409"/>
      <c r="BA33" s="409"/>
      <c r="BB33" s="409"/>
      <c r="BC33" s="409"/>
      <c r="BD33" s="409"/>
      <c r="BE33" s="410"/>
      <c r="BF33" s="408"/>
      <c r="BG33" s="409"/>
      <c r="BH33" s="409"/>
      <c r="BI33" s="409"/>
      <c r="BJ33" s="409"/>
      <c r="BK33" s="409"/>
      <c r="BL33" s="410"/>
      <c r="BM33" s="351"/>
      <c r="BN33" s="351"/>
      <c r="BO33" s="351"/>
      <c r="BP33" s="351"/>
      <c r="BQ33" s="351"/>
      <c r="BR33" s="351"/>
      <c r="BS33" s="351"/>
      <c r="BT33" s="351"/>
      <c r="BU33" s="351"/>
      <c r="BV33" s="351"/>
      <c r="BW33" s="351"/>
      <c r="BX33" s="351"/>
      <c r="BY33" s="351"/>
      <c r="BZ33" s="351"/>
      <c r="CA33" s="351"/>
      <c r="CB33" s="351"/>
      <c r="CC33" s="351"/>
      <c r="CD33" s="351"/>
      <c r="CE33" s="351"/>
      <c r="CF33" s="351"/>
      <c r="CG33" s="351"/>
      <c r="CH33" s="351"/>
      <c r="CI33" s="351"/>
      <c r="CJ33" s="351"/>
      <c r="CK33" s="351"/>
      <c r="CL33" s="351"/>
      <c r="CM33" s="351"/>
      <c r="CN33" s="351"/>
      <c r="CO33" s="351"/>
      <c r="CP33" s="351"/>
      <c r="CQ33" s="351"/>
      <c r="CR33" s="351"/>
      <c r="CS33" s="351"/>
      <c r="CT33" s="351"/>
      <c r="CU33" s="351"/>
      <c r="CV33" s="351"/>
      <c r="CW33" s="351"/>
      <c r="CX33" s="351"/>
      <c r="CY33" s="351"/>
      <c r="CZ33" s="351"/>
      <c r="DA33" s="351"/>
      <c r="DB33" s="351"/>
      <c r="DC33" s="351"/>
      <c r="DD33" s="351"/>
      <c r="DE33" s="7"/>
    </row>
    <row r="34" spans="1:109" ht="15" customHeight="1">
      <c r="A34" s="3"/>
      <c r="B34" s="385"/>
      <c r="C34" s="386"/>
      <c r="D34" s="386"/>
      <c r="E34" s="386"/>
      <c r="F34" s="386"/>
      <c r="G34" s="386"/>
      <c r="H34" s="387"/>
      <c r="I34" s="351"/>
      <c r="J34" s="351"/>
      <c r="K34" s="351"/>
      <c r="L34" s="351"/>
      <c r="M34" s="351"/>
      <c r="N34" s="351"/>
      <c r="O34" s="351"/>
      <c r="P34" s="457"/>
      <c r="Q34" s="457"/>
      <c r="R34" s="457"/>
      <c r="S34" s="457"/>
      <c r="T34" s="457"/>
      <c r="U34" s="457"/>
      <c r="V34" s="457"/>
      <c r="W34" s="411"/>
      <c r="X34" s="412"/>
      <c r="Y34" s="412"/>
      <c r="Z34" s="412"/>
      <c r="AA34" s="412"/>
      <c r="AB34" s="412"/>
      <c r="AC34" s="413"/>
      <c r="AD34" s="411"/>
      <c r="AE34" s="412"/>
      <c r="AF34" s="412"/>
      <c r="AG34" s="412"/>
      <c r="AH34" s="412"/>
      <c r="AI34" s="412"/>
      <c r="AJ34" s="413"/>
      <c r="AK34" s="411"/>
      <c r="AL34" s="412"/>
      <c r="AM34" s="412"/>
      <c r="AN34" s="412"/>
      <c r="AO34" s="412"/>
      <c r="AP34" s="412"/>
      <c r="AQ34" s="413"/>
      <c r="AR34" s="411"/>
      <c r="AS34" s="412"/>
      <c r="AT34" s="412"/>
      <c r="AU34" s="412"/>
      <c r="AV34" s="412"/>
      <c r="AW34" s="412"/>
      <c r="AX34" s="413"/>
      <c r="AY34" s="411"/>
      <c r="AZ34" s="412"/>
      <c r="BA34" s="412"/>
      <c r="BB34" s="412"/>
      <c r="BC34" s="412"/>
      <c r="BD34" s="412"/>
      <c r="BE34" s="413"/>
      <c r="BF34" s="411"/>
      <c r="BG34" s="412"/>
      <c r="BH34" s="412"/>
      <c r="BI34" s="412"/>
      <c r="BJ34" s="412"/>
      <c r="BK34" s="412"/>
      <c r="BL34" s="413"/>
      <c r="BM34" s="351"/>
      <c r="BN34" s="351"/>
      <c r="BO34" s="351"/>
      <c r="BP34" s="351"/>
      <c r="BQ34" s="351"/>
      <c r="BR34" s="351"/>
      <c r="BS34" s="351"/>
      <c r="BT34" s="351"/>
      <c r="BU34" s="351"/>
      <c r="BV34" s="351"/>
      <c r="BW34" s="351"/>
      <c r="BX34" s="351"/>
      <c r="BY34" s="351"/>
      <c r="BZ34" s="351"/>
      <c r="CA34" s="351"/>
      <c r="CB34" s="351"/>
      <c r="CC34" s="351"/>
      <c r="CD34" s="351"/>
      <c r="CE34" s="351"/>
      <c r="CF34" s="351"/>
      <c r="CG34" s="351"/>
      <c r="CH34" s="351"/>
      <c r="CI34" s="351"/>
      <c r="CJ34" s="351"/>
      <c r="CK34" s="351"/>
      <c r="CL34" s="351"/>
      <c r="CM34" s="351"/>
      <c r="CN34" s="351"/>
      <c r="CO34" s="351"/>
      <c r="CP34" s="351"/>
      <c r="CQ34" s="351"/>
      <c r="CR34" s="351"/>
      <c r="CS34" s="351"/>
      <c r="CT34" s="351"/>
      <c r="CU34" s="351"/>
      <c r="CV34" s="351"/>
      <c r="CW34" s="351"/>
      <c r="CX34" s="351"/>
      <c r="CY34" s="351"/>
      <c r="CZ34" s="351"/>
      <c r="DA34" s="351"/>
      <c r="DB34" s="351"/>
      <c r="DC34" s="351"/>
      <c r="DD34" s="351"/>
      <c r="DE34" s="7"/>
    </row>
    <row r="35" spans="1:109" ht="15" customHeight="1">
      <c r="A35" s="6"/>
      <c r="B35" s="353"/>
      <c r="C35" s="354"/>
      <c r="D35" s="354"/>
      <c r="E35" s="354"/>
      <c r="F35" s="354"/>
      <c r="G35" s="354"/>
      <c r="H35" s="355"/>
      <c r="I35" s="352"/>
      <c r="J35" s="352"/>
      <c r="K35" s="352"/>
      <c r="L35" s="352"/>
      <c r="M35" s="352"/>
      <c r="N35" s="352"/>
      <c r="O35" s="352"/>
      <c r="P35" s="458"/>
      <c r="Q35" s="458"/>
      <c r="R35" s="458"/>
      <c r="S35" s="458"/>
      <c r="T35" s="458"/>
      <c r="U35" s="458"/>
      <c r="V35" s="458"/>
      <c r="W35" s="395"/>
      <c r="X35" s="396"/>
      <c r="Y35" s="396"/>
      <c r="Z35" s="396"/>
      <c r="AA35" s="396"/>
      <c r="AB35" s="396"/>
      <c r="AC35" s="397"/>
      <c r="AD35" s="395"/>
      <c r="AE35" s="396"/>
      <c r="AF35" s="396"/>
      <c r="AG35" s="396"/>
      <c r="AH35" s="396"/>
      <c r="AI35" s="396"/>
      <c r="AJ35" s="397"/>
      <c r="AK35" s="395"/>
      <c r="AL35" s="396"/>
      <c r="AM35" s="396"/>
      <c r="AN35" s="396"/>
      <c r="AO35" s="396"/>
      <c r="AP35" s="396"/>
      <c r="AQ35" s="397"/>
      <c r="AR35" s="395"/>
      <c r="AS35" s="396"/>
      <c r="AT35" s="396"/>
      <c r="AU35" s="396"/>
      <c r="AV35" s="396"/>
      <c r="AW35" s="396"/>
      <c r="AX35" s="397"/>
      <c r="AY35" s="395"/>
      <c r="AZ35" s="396"/>
      <c r="BA35" s="396"/>
      <c r="BB35" s="396"/>
      <c r="BC35" s="396"/>
      <c r="BD35" s="396"/>
      <c r="BE35" s="397"/>
      <c r="BF35" s="395"/>
      <c r="BG35" s="396"/>
      <c r="BH35" s="396"/>
      <c r="BI35" s="396"/>
      <c r="BJ35" s="396"/>
      <c r="BK35" s="396"/>
      <c r="BL35" s="397"/>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c r="CQ35" s="352"/>
      <c r="CR35" s="352"/>
      <c r="CS35" s="352"/>
      <c r="CT35" s="352"/>
      <c r="CU35" s="352"/>
      <c r="CV35" s="352"/>
      <c r="CW35" s="352"/>
      <c r="CX35" s="352"/>
      <c r="CY35" s="352"/>
      <c r="CZ35" s="352"/>
      <c r="DA35" s="352"/>
      <c r="DB35" s="352"/>
      <c r="DC35" s="352"/>
      <c r="DD35" s="352"/>
      <c r="DE35" s="7"/>
    </row>
    <row r="36" spans="1:109" ht="15" customHeight="1">
      <c r="A36" s="8"/>
      <c r="B36" s="356"/>
      <c r="C36" s="357"/>
      <c r="D36" s="357"/>
      <c r="E36" s="357"/>
      <c r="F36" s="357"/>
      <c r="G36" s="357"/>
      <c r="H36" s="358"/>
      <c r="I36" s="352"/>
      <c r="J36" s="352"/>
      <c r="K36" s="352"/>
      <c r="L36" s="352"/>
      <c r="M36" s="352"/>
      <c r="N36" s="352"/>
      <c r="O36" s="352"/>
      <c r="P36" s="458"/>
      <c r="Q36" s="458"/>
      <c r="R36" s="458"/>
      <c r="S36" s="458"/>
      <c r="T36" s="458"/>
      <c r="U36" s="458"/>
      <c r="V36" s="458"/>
      <c r="W36" s="398"/>
      <c r="X36" s="399"/>
      <c r="Y36" s="399"/>
      <c r="Z36" s="399"/>
      <c r="AA36" s="399"/>
      <c r="AB36" s="399"/>
      <c r="AC36" s="400"/>
      <c r="AD36" s="398"/>
      <c r="AE36" s="399"/>
      <c r="AF36" s="399"/>
      <c r="AG36" s="399"/>
      <c r="AH36" s="399"/>
      <c r="AI36" s="399"/>
      <c r="AJ36" s="400"/>
      <c r="AK36" s="398"/>
      <c r="AL36" s="399"/>
      <c r="AM36" s="399"/>
      <c r="AN36" s="399"/>
      <c r="AO36" s="399"/>
      <c r="AP36" s="399"/>
      <c r="AQ36" s="400"/>
      <c r="AR36" s="398"/>
      <c r="AS36" s="399"/>
      <c r="AT36" s="399"/>
      <c r="AU36" s="399"/>
      <c r="AV36" s="399"/>
      <c r="AW36" s="399"/>
      <c r="AX36" s="400"/>
      <c r="AY36" s="398"/>
      <c r="AZ36" s="399"/>
      <c r="BA36" s="399"/>
      <c r="BB36" s="399"/>
      <c r="BC36" s="399"/>
      <c r="BD36" s="399"/>
      <c r="BE36" s="400"/>
      <c r="BF36" s="398"/>
      <c r="BG36" s="399"/>
      <c r="BH36" s="399"/>
      <c r="BI36" s="399"/>
      <c r="BJ36" s="399"/>
      <c r="BK36" s="399"/>
      <c r="BL36" s="400"/>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c r="CQ36" s="352"/>
      <c r="CR36" s="352"/>
      <c r="CS36" s="352"/>
      <c r="CT36" s="352"/>
      <c r="CU36" s="352"/>
      <c r="CV36" s="352"/>
      <c r="CW36" s="352"/>
      <c r="CX36" s="352"/>
      <c r="CY36" s="352"/>
      <c r="CZ36" s="352"/>
      <c r="DA36" s="352"/>
      <c r="DB36" s="352"/>
      <c r="DC36" s="352"/>
      <c r="DD36" s="352"/>
      <c r="DE36" s="7"/>
    </row>
    <row r="37" spans="1:109" ht="15" customHeight="1">
      <c r="A37" s="8"/>
      <c r="B37" s="382"/>
      <c r="C37" s="383"/>
      <c r="D37" s="383"/>
      <c r="E37" s="383"/>
      <c r="F37" s="383"/>
      <c r="G37" s="383"/>
      <c r="H37" s="384"/>
      <c r="I37" s="351"/>
      <c r="J37" s="351"/>
      <c r="K37" s="351"/>
      <c r="L37" s="351"/>
      <c r="M37" s="351"/>
      <c r="N37" s="351"/>
      <c r="O37" s="351"/>
      <c r="P37" s="457"/>
      <c r="Q37" s="457"/>
      <c r="R37" s="457"/>
      <c r="S37" s="457"/>
      <c r="T37" s="457"/>
      <c r="U37" s="457"/>
      <c r="V37" s="457"/>
      <c r="W37" s="408"/>
      <c r="X37" s="409"/>
      <c r="Y37" s="409"/>
      <c r="Z37" s="409"/>
      <c r="AA37" s="409"/>
      <c r="AB37" s="409"/>
      <c r="AC37" s="410"/>
      <c r="AD37" s="408"/>
      <c r="AE37" s="409"/>
      <c r="AF37" s="409"/>
      <c r="AG37" s="409"/>
      <c r="AH37" s="409"/>
      <c r="AI37" s="409"/>
      <c r="AJ37" s="410"/>
      <c r="AK37" s="408"/>
      <c r="AL37" s="409"/>
      <c r="AM37" s="409"/>
      <c r="AN37" s="409"/>
      <c r="AO37" s="409"/>
      <c r="AP37" s="409"/>
      <c r="AQ37" s="410"/>
      <c r="AR37" s="408"/>
      <c r="AS37" s="409"/>
      <c r="AT37" s="409"/>
      <c r="AU37" s="409"/>
      <c r="AV37" s="409"/>
      <c r="AW37" s="409"/>
      <c r="AX37" s="410"/>
      <c r="AY37" s="408"/>
      <c r="AZ37" s="409"/>
      <c r="BA37" s="409"/>
      <c r="BB37" s="409"/>
      <c r="BC37" s="409"/>
      <c r="BD37" s="409"/>
      <c r="BE37" s="410"/>
      <c r="BF37" s="408"/>
      <c r="BG37" s="409"/>
      <c r="BH37" s="409"/>
      <c r="BI37" s="409"/>
      <c r="BJ37" s="409"/>
      <c r="BK37" s="409"/>
      <c r="BL37" s="410"/>
      <c r="BM37" s="382"/>
      <c r="BN37" s="383"/>
      <c r="BO37" s="383"/>
      <c r="BP37" s="383"/>
      <c r="BQ37" s="383"/>
      <c r="BR37" s="383"/>
      <c r="BS37" s="383"/>
      <c r="BT37" s="383"/>
      <c r="BU37" s="383"/>
      <c r="BV37" s="383"/>
      <c r="BW37" s="383"/>
      <c r="BX37" s="383"/>
      <c r="BY37" s="383"/>
      <c r="BZ37" s="383"/>
      <c r="CA37" s="383"/>
      <c r="CB37" s="383"/>
      <c r="CC37" s="383"/>
      <c r="CD37" s="383"/>
      <c r="CE37" s="383"/>
      <c r="CF37" s="383"/>
      <c r="CG37" s="383"/>
      <c r="CH37" s="383"/>
      <c r="CI37" s="383"/>
      <c r="CJ37" s="383"/>
      <c r="CK37" s="383"/>
      <c r="CL37" s="384"/>
      <c r="CM37" s="351"/>
      <c r="CN37" s="351"/>
      <c r="CO37" s="351"/>
      <c r="CP37" s="351"/>
      <c r="CQ37" s="351"/>
      <c r="CR37" s="351"/>
      <c r="CS37" s="351"/>
      <c r="CT37" s="351"/>
      <c r="CU37" s="351"/>
      <c r="CV37" s="351"/>
      <c r="CW37" s="351"/>
      <c r="CX37" s="351"/>
      <c r="CY37" s="351"/>
      <c r="CZ37" s="351"/>
      <c r="DA37" s="351"/>
      <c r="DB37" s="351"/>
      <c r="DC37" s="351"/>
      <c r="DD37" s="351"/>
      <c r="DE37" s="7"/>
    </row>
    <row r="38" spans="1:109" ht="15" customHeight="1">
      <c r="A38" s="3"/>
      <c r="B38" s="385"/>
      <c r="C38" s="386"/>
      <c r="D38" s="386"/>
      <c r="E38" s="386"/>
      <c r="F38" s="386"/>
      <c r="G38" s="386"/>
      <c r="H38" s="387"/>
      <c r="I38" s="351"/>
      <c r="J38" s="351"/>
      <c r="K38" s="351"/>
      <c r="L38" s="351"/>
      <c r="M38" s="351"/>
      <c r="N38" s="351"/>
      <c r="O38" s="351"/>
      <c r="P38" s="457"/>
      <c r="Q38" s="457"/>
      <c r="R38" s="457"/>
      <c r="S38" s="457"/>
      <c r="T38" s="457"/>
      <c r="U38" s="457"/>
      <c r="V38" s="457"/>
      <c r="W38" s="411"/>
      <c r="X38" s="412"/>
      <c r="Y38" s="412"/>
      <c r="Z38" s="412"/>
      <c r="AA38" s="412"/>
      <c r="AB38" s="412"/>
      <c r="AC38" s="413"/>
      <c r="AD38" s="411"/>
      <c r="AE38" s="412"/>
      <c r="AF38" s="412"/>
      <c r="AG38" s="412"/>
      <c r="AH38" s="412"/>
      <c r="AI38" s="412"/>
      <c r="AJ38" s="413"/>
      <c r="AK38" s="411"/>
      <c r="AL38" s="412"/>
      <c r="AM38" s="412"/>
      <c r="AN38" s="412"/>
      <c r="AO38" s="412"/>
      <c r="AP38" s="412"/>
      <c r="AQ38" s="413"/>
      <c r="AR38" s="411"/>
      <c r="AS38" s="412"/>
      <c r="AT38" s="412"/>
      <c r="AU38" s="412"/>
      <c r="AV38" s="412"/>
      <c r="AW38" s="412"/>
      <c r="AX38" s="413"/>
      <c r="AY38" s="411"/>
      <c r="AZ38" s="412"/>
      <c r="BA38" s="412"/>
      <c r="BB38" s="412"/>
      <c r="BC38" s="412"/>
      <c r="BD38" s="412"/>
      <c r="BE38" s="413"/>
      <c r="BF38" s="411"/>
      <c r="BG38" s="412"/>
      <c r="BH38" s="412"/>
      <c r="BI38" s="412"/>
      <c r="BJ38" s="412"/>
      <c r="BK38" s="412"/>
      <c r="BL38" s="413"/>
      <c r="BM38" s="385"/>
      <c r="BN38" s="386"/>
      <c r="BO38" s="386"/>
      <c r="BP38" s="386"/>
      <c r="BQ38" s="386"/>
      <c r="BR38" s="386"/>
      <c r="BS38" s="386"/>
      <c r="BT38" s="386"/>
      <c r="BU38" s="386"/>
      <c r="BV38" s="386"/>
      <c r="BW38" s="386"/>
      <c r="BX38" s="386"/>
      <c r="BY38" s="386"/>
      <c r="BZ38" s="386"/>
      <c r="CA38" s="386"/>
      <c r="CB38" s="386"/>
      <c r="CC38" s="386"/>
      <c r="CD38" s="386"/>
      <c r="CE38" s="386"/>
      <c r="CF38" s="386"/>
      <c r="CG38" s="386"/>
      <c r="CH38" s="386"/>
      <c r="CI38" s="386"/>
      <c r="CJ38" s="386"/>
      <c r="CK38" s="386"/>
      <c r="CL38" s="387"/>
      <c r="CM38" s="351"/>
      <c r="CN38" s="351"/>
      <c r="CO38" s="351"/>
      <c r="CP38" s="351"/>
      <c r="CQ38" s="351"/>
      <c r="CR38" s="351"/>
      <c r="CS38" s="351"/>
      <c r="CT38" s="351"/>
      <c r="CU38" s="351"/>
      <c r="CV38" s="351"/>
      <c r="CW38" s="351"/>
      <c r="CX38" s="351"/>
      <c r="CY38" s="351"/>
      <c r="CZ38" s="351"/>
      <c r="DA38" s="351"/>
      <c r="DB38" s="351"/>
      <c r="DC38" s="351"/>
      <c r="DD38" s="351"/>
      <c r="DE38" s="7"/>
    </row>
    <row r="39" spans="1:109" ht="15" customHeight="1">
      <c r="A39" s="3"/>
      <c r="B39" s="353"/>
      <c r="C39" s="354"/>
      <c r="D39" s="354"/>
      <c r="E39" s="354"/>
      <c r="F39" s="354"/>
      <c r="G39" s="354"/>
      <c r="H39" s="355"/>
      <c r="I39" s="352"/>
      <c r="J39" s="352"/>
      <c r="K39" s="352"/>
      <c r="L39" s="352"/>
      <c r="M39" s="352"/>
      <c r="N39" s="352"/>
      <c r="O39" s="352"/>
      <c r="P39" s="458"/>
      <c r="Q39" s="458"/>
      <c r="R39" s="458"/>
      <c r="S39" s="458"/>
      <c r="T39" s="458"/>
      <c r="U39" s="458"/>
      <c r="V39" s="458"/>
      <c r="W39" s="395"/>
      <c r="X39" s="396"/>
      <c r="Y39" s="396"/>
      <c r="Z39" s="396"/>
      <c r="AA39" s="396"/>
      <c r="AB39" s="396"/>
      <c r="AC39" s="397"/>
      <c r="AD39" s="395"/>
      <c r="AE39" s="396"/>
      <c r="AF39" s="396"/>
      <c r="AG39" s="396"/>
      <c r="AH39" s="396"/>
      <c r="AI39" s="396"/>
      <c r="AJ39" s="397"/>
      <c r="AK39" s="395"/>
      <c r="AL39" s="396"/>
      <c r="AM39" s="396"/>
      <c r="AN39" s="396"/>
      <c r="AO39" s="396"/>
      <c r="AP39" s="396"/>
      <c r="AQ39" s="397"/>
      <c r="AR39" s="395"/>
      <c r="AS39" s="396"/>
      <c r="AT39" s="396"/>
      <c r="AU39" s="396"/>
      <c r="AV39" s="396"/>
      <c r="AW39" s="396"/>
      <c r="AX39" s="397"/>
      <c r="AY39" s="395"/>
      <c r="AZ39" s="396"/>
      <c r="BA39" s="396"/>
      <c r="BB39" s="396"/>
      <c r="BC39" s="396"/>
      <c r="BD39" s="396"/>
      <c r="BE39" s="397"/>
      <c r="BF39" s="395"/>
      <c r="BG39" s="396"/>
      <c r="BH39" s="396"/>
      <c r="BI39" s="396"/>
      <c r="BJ39" s="396"/>
      <c r="BK39" s="396"/>
      <c r="BL39" s="397"/>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c r="CQ39" s="352"/>
      <c r="CR39" s="352"/>
      <c r="CS39" s="352"/>
      <c r="CT39" s="352"/>
      <c r="CU39" s="352"/>
      <c r="CV39" s="352"/>
      <c r="CW39" s="352"/>
      <c r="CX39" s="352"/>
      <c r="CY39" s="352"/>
      <c r="CZ39" s="352"/>
      <c r="DA39" s="352"/>
      <c r="DB39" s="352"/>
      <c r="DC39" s="352"/>
      <c r="DD39" s="352"/>
      <c r="DE39" s="7"/>
    </row>
    <row r="40" spans="1:109" ht="15" customHeight="1">
      <c r="A40" s="6"/>
      <c r="B40" s="356"/>
      <c r="C40" s="357"/>
      <c r="D40" s="357"/>
      <c r="E40" s="357"/>
      <c r="F40" s="357"/>
      <c r="G40" s="357"/>
      <c r="H40" s="358"/>
      <c r="I40" s="352"/>
      <c r="J40" s="352"/>
      <c r="K40" s="352"/>
      <c r="L40" s="352"/>
      <c r="M40" s="352"/>
      <c r="N40" s="352"/>
      <c r="O40" s="352"/>
      <c r="P40" s="458"/>
      <c r="Q40" s="458"/>
      <c r="R40" s="458"/>
      <c r="S40" s="458"/>
      <c r="T40" s="458"/>
      <c r="U40" s="458"/>
      <c r="V40" s="458"/>
      <c r="W40" s="398"/>
      <c r="X40" s="399"/>
      <c r="Y40" s="399"/>
      <c r="Z40" s="399"/>
      <c r="AA40" s="399"/>
      <c r="AB40" s="399"/>
      <c r="AC40" s="400"/>
      <c r="AD40" s="398"/>
      <c r="AE40" s="399"/>
      <c r="AF40" s="399"/>
      <c r="AG40" s="399"/>
      <c r="AH40" s="399"/>
      <c r="AI40" s="399"/>
      <c r="AJ40" s="400"/>
      <c r="AK40" s="398"/>
      <c r="AL40" s="399"/>
      <c r="AM40" s="399"/>
      <c r="AN40" s="399"/>
      <c r="AO40" s="399"/>
      <c r="AP40" s="399"/>
      <c r="AQ40" s="400"/>
      <c r="AR40" s="398"/>
      <c r="AS40" s="399"/>
      <c r="AT40" s="399"/>
      <c r="AU40" s="399"/>
      <c r="AV40" s="399"/>
      <c r="AW40" s="399"/>
      <c r="AX40" s="400"/>
      <c r="AY40" s="398"/>
      <c r="AZ40" s="399"/>
      <c r="BA40" s="399"/>
      <c r="BB40" s="399"/>
      <c r="BC40" s="399"/>
      <c r="BD40" s="399"/>
      <c r="BE40" s="400"/>
      <c r="BF40" s="398"/>
      <c r="BG40" s="399"/>
      <c r="BH40" s="399"/>
      <c r="BI40" s="399"/>
      <c r="BJ40" s="399"/>
      <c r="BK40" s="399"/>
      <c r="BL40" s="400"/>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c r="CQ40" s="352"/>
      <c r="CR40" s="352"/>
      <c r="CS40" s="352"/>
      <c r="CT40" s="352"/>
      <c r="CU40" s="352"/>
      <c r="CV40" s="352"/>
      <c r="CW40" s="352"/>
      <c r="CX40" s="352"/>
      <c r="CY40" s="352"/>
      <c r="CZ40" s="352"/>
      <c r="DA40" s="352"/>
      <c r="DB40" s="352"/>
      <c r="DC40" s="352"/>
      <c r="DD40" s="352"/>
      <c r="DE40" s="7"/>
    </row>
    <row r="41" spans="1:109" ht="15" customHeight="1">
      <c r="A41" s="8"/>
      <c r="B41" s="382"/>
      <c r="C41" s="383"/>
      <c r="D41" s="383"/>
      <c r="E41" s="383"/>
      <c r="F41" s="383"/>
      <c r="G41" s="383"/>
      <c r="H41" s="384"/>
      <c r="I41" s="351"/>
      <c r="J41" s="351"/>
      <c r="K41" s="351"/>
      <c r="L41" s="351"/>
      <c r="M41" s="351"/>
      <c r="N41" s="351"/>
      <c r="O41" s="351"/>
      <c r="P41" s="457"/>
      <c r="Q41" s="457"/>
      <c r="R41" s="457"/>
      <c r="S41" s="457"/>
      <c r="T41" s="457"/>
      <c r="U41" s="457"/>
      <c r="V41" s="457"/>
      <c r="W41" s="408"/>
      <c r="X41" s="409"/>
      <c r="Y41" s="409"/>
      <c r="Z41" s="409"/>
      <c r="AA41" s="409"/>
      <c r="AB41" s="409"/>
      <c r="AC41" s="410"/>
      <c r="AD41" s="408"/>
      <c r="AE41" s="409"/>
      <c r="AF41" s="409"/>
      <c r="AG41" s="409"/>
      <c r="AH41" s="409"/>
      <c r="AI41" s="409"/>
      <c r="AJ41" s="410"/>
      <c r="AK41" s="408"/>
      <c r="AL41" s="409"/>
      <c r="AM41" s="409"/>
      <c r="AN41" s="409"/>
      <c r="AO41" s="409"/>
      <c r="AP41" s="409"/>
      <c r="AQ41" s="410"/>
      <c r="AR41" s="408"/>
      <c r="AS41" s="409"/>
      <c r="AT41" s="409"/>
      <c r="AU41" s="409"/>
      <c r="AV41" s="409"/>
      <c r="AW41" s="409"/>
      <c r="AX41" s="410"/>
      <c r="AY41" s="408"/>
      <c r="AZ41" s="409"/>
      <c r="BA41" s="409"/>
      <c r="BB41" s="409"/>
      <c r="BC41" s="409"/>
      <c r="BD41" s="409"/>
      <c r="BE41" s="410"/>
      <c r="BF41" s="408"/>
      <c r="BG41" s="409"/>
      <c r="BH41" s="409"/>
      <c r="BI41" s="409"/>
      <c r="BJ41" s="409"/>
      <c r="BK41" s="409"/>
      <c r="BL41" s="410"/>
      <c r="BM41" s="351"/>
      <c r="BN41" s="351"/>
      <c r="BO41" s="351"/>
      <c r="BP41" s="351"/>
      <c r="BQ41" s="351"/>
      <c r="BR41" s="351"/>
      <c r="BS41" s="351"/>
      <c r="BT41" s="351"/>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1"/>
      <c r="CU41" s="351"/>
      <c r="CV41" s="351"/>
      <c r="CW41" s="351"/>
      <c r="CX41" s="351"/>
      <c r="CY41" s="351"/>
      <c r="CZ41" s="351"/>
      <c r="DA41" s="351"/>
      <c r="DB41" s="351"/>
      <c r="DC41" s="351"/>
      <c r="DD41" s="351"/>
      <c r="DE41" s="7"/>
    </row>
    <row r="42" spans="1:109" ht="15" customHeight="1">
      <c r="A42" s="3"/>
      <c r="B42" s="385"/>
      <c r="C42" s="386"/>
      <c r="D42" s="386"/>
      <c r="E42" s="386"/>
      <c r="F42" s="386"/>
      <c r="G42" s="386"/>
      <c r="H42" s="387"/>
      <c r="I42" s="351"/>
      <c r="J42" s="351"/>
      <c r="K42" s="351"/>
      <c r="L42" s="351"/>
      <c r="M42" s="351"/>
      <c r="N42" s="351"/>
      <c r="O42" s="351"/>
      <c r="P42" s="457"/>
      <c r="Q42" s="457"/>
      <c r="R42" s="457"/>
      <c r="S42" s="457"/>
      <c r="T42" s="457"/>
      <c r="U42" s="457"/>
      <c r="V42" s="457"/>
      <c r="W42" s="411"/>
      <c r="X42" s="412"/>
      <c r="Y42" s="412"/>
      <c r="Z42" s="412"/>
      <c r="AA42" s="412"/>
      <c r="AB42" s="412"/>
      <c r="AC42" s="413"/>
      <c r="AD42" s="411"/>
      <c r="AE42" s="412"/>
      <c r="AF42" s="412"/>
      <c r="AG42" s="412"/>
      <c r="AH42" s="412"/>
      <c r="AI42" s="412"/>
      <c r="AJ42" s="413"/>
      <c r="AK42" s="411"/>
      <c r="AL42" s="412"/>
      <c r="AM42" s="412"/>
      <c r="AN42" s="412"/>
      <c r="AO42" s="412"/>
      <c r="AP42" s="412"/>
      <c r="AQ42" s="413"/>
      <c r="AR42" s="411"/>
      <c r="AS42" s="412"/>
      <c r="AT42" s="412"/>
      <c r="AU42" s="412"/>
      <c r="AV42" s="412"/>
      <c r="AW42" s="412"/>
      <c r="AX42" s="413"/>
      <c r="AY42" s="411"/>
      <c r="AZ42" s="412"/>
      <c r="BA42" s="412"/>
      <c r="BB42" s="412"/>
      <c r="BC42" s="412"/>
      <c r="BD42" s="412"/>
      <c r="BE42" s="413"/>
      <c r="BF42" s="411"/>
      <c r="BG42" s="412"/>
      <c r="BH42" s="412"/>
      <c r="BI42" s="412"/>
      <c r="BJ42" s="412"/>
      <c r="BK42" s="412"/>
      <c r="BL42" s="413"/>
      <c r="BM42" s="351"/>
      <c r="BN42" s="351"/>
      <c r="BO42" s="351"/>
      <c r="BP42" s="351"/>
      <c r="BQ42" s="351"/>
      <c r="BR42" s="351"/>
      <c r="BS42" s="351"/>
      <c r="BT42" s="351"/>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1"/>
      <c r="CU42" s="351"/>
      <c r="CV42" s="351"/>
      <c r="CW42" s="351"/>
      <c r="CX42" s="351"/>
      <c r="CY42" s="351"/>
      <c r="CZ42" s="351"/>
      <c r="DA42" s="351"/>
      <c r="DB42" s="351"/>
      <c r="DC42" s="351"/>
      <c r="DD42" s="351"/>
      <c r="DE42" s="7"/>
    </row>
    <row r="43" spans="1:109" ht="15" customHeight="1">
      <c r="A43" s="3"/>
      <c r="B43" s="353"/>
      <c r="C43" s="354"/>
      <c r="D43" s="354"/>
      <c r="E43" s="354"/>
      <c r="F43" s="354"/>
      <c r="G43" s="354"/>
      <c r="H43" s="355"/>
      <c r="I43" s="352"/>
      <c r="J43" s="352"/>
      <c r="K43" s="352"/>
      <c r="L43" s="352"/>
      <c r="M43" s="352"/>
      <c r="N43" s="352"/>
      <c r="O43" s="352"/>
      <c r="P43" s="458"/>
      <c r="Q43" s="458"/>
      <c r="R43" s="458"/>
      <c r="S43" s="458"/>
      <c r="T43" s="458"/>
      <c r="U43" s="458"/>
      <c r="V43" s="458"/>
      <c r="W43" s="395"/>
      <c r="X43" s="396"/>
      <c r="Y43" s="396"/>
      <c r="Z43" s="396"/>
      <c r="AA43" s="396"/>
      <c r="AB43" s="396"/>
      <c r="AC43" s="397"/>
      <c r="AD43" s="395"/>
      <c r="AE43" s="396"/>
      <c r="AF43" s="396"/>
      <c r="AG43" s="396"/>
      <c r="AH43" s="396"/>
      <c r="AI43" s="396"/>
      <c r="AJ43" s="397"/>
      <c r="AK43" s="395"/>
      <c r="AL43" s="396"/>
      <c r="AM43" s="396"/>
      <c r="AN43" s="396"/>
      <c r="AO43" s="396"/>
      <c r="AP43" s="396"/>
      <c r="AQ43" s="397"/>
      <c r="AR43" s="395"/>
      <c r="AS43" s="396"/>
      <c r="AT43" s="396"/>
      <c r="AU43" s="396"/>
      <c r="AV43" s="396"/>
      <c r="AW43" s="396"/>
      <c r="AX43" s="397"/>
      <c r="AY43" s="395"/>
      <c r="AZ43" s="396"/>
      <c r="BA43" s="396"/>
      <c r="BB43" s="396"/>
      <c r="BC43" s="396"/>
      <c r="BD43" s="396"/>
      <c r="BE43" s="397"/>
      <c r="BF43" s="395"/>
      <c r="BG43" s="396"/>
      <c r="BH43" s="396"/>
      <c r="BI43" s="396"/>
      <c r="BJ43" s="396"/>
      <c r="BK43" s="396"/>
      <c r="BL43" s="397"/>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c r="CQ43" s="352"/>
      <c r="CR43" s="352"/>
      <c r="CS43" s="352"/>
      <c r="CT43" s="352"/>
      <c r="CU43" s="352"/>
      <c r="CV43" s="352"/>
      <c r="CW43" s="352"/>
      <c r="CX43" s="352"/>
      <c r="CY43" s="352"/>
      <c r="CZ43" s="352"/>
      <c r="DA43" s="352"/>
      <c r="DB43" s="352"/>
      <c r="DC43" s="352"/>
      <c r="DD43" s="352"/>
      <c r="DE43" s="7"/>
    </row>
    <row r="44" spans="1:109" ht="15" customHeight="1">
      <c r="A44" s="3"/>
      <c r="B44" s="356"/>
      <c r="C44" s="357"/>
      <c r="D44" s="357"/>
      <c r="E44" s="357"/>
      <c r="F44" s="357"/>
      <c r="G44" s="357"/>
      <c r="H44" s="358"/>
      <c r="I44" s="352"/>
      <c r="J44" s="352"/>
      <c r="K44" s="352"/>
      <c r="L44" s="352"/>
      <c r="M44" s="352"/>
      <c r="N44" s="352"/>
      <c r="O44" s="352"/>
      <c r="P44" s="458"/>
      <c r="Q44" s="458"/>
      <c r="R44" s="458"/>
      <c r="S44" s="458"/>
      <c r="T44" s="458"/>
      <c r="U44" s="458"/>
      <c r="V44" s="458"/>
      <c r="W44" s="398"/>
      <c r="X44" s="399"/>
      <c r="Y44" s="399"/>
      <c r="Z44" s="399"/>
      <c r="AA44" s="399"/>
      <c r="AB44" s="399"/>
      <c r="AC44" s="400"/>
      <c r="AD44" s="398"/>
      <c r="AE44" s="399"/>
      <c r="AF44" s="399"/>
      <c r="AG44" s="399"/>
      <c r="AH44" s="399"/>
      <c r="AI44" s="399"/>
      <c r="AJ44" s="400"/>
      <c r="AK44" s="398"/>
      <c r="AL44" s="399"/>
      <c r="AM44" s="399"/>
      <c r="AN44" s="399"/>
      <c r="AO44" s="399"/>
      <c r="AP44" s="399"/>
      <c r="AQ44" s="400"/>
      <c r="AR44" s="398"/>
      <c r="AS44" s="399"/>
      <c r="AT44" s="399"/>
      <c r="AU44" s="399"/>
      <c r="AV44" s="399"/>
      <c r="AW44" s="399"/>
      <c r="AX44" s="400"/>
      <c r="AY44" s="398"/>
      <c r="AZ44" s="399"/>
      <c r="BA44" s="399"/>
      <c r="BB44" s="399"/>
      <c r="BC44" s="399"/>
      <c r="BD44" s="399"/>
      <c r="BE44" s="400"/>
      <c r="BF44" s="398"/>
      <c r="BG44" s="399"/>
      <c r="BH44" s="399"/>
      <c r="BI44" s="399"/>
      <c r="BJ44" s="399"/>
      <c r="BK44" s="399"/>
      <c r="BL44" s="400"/>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c r="CQ44" s="352"/>
      <c r="CR44" s="352"/>
      <c r="CS44" s="352"/>
      <c r="CT44" s="352"/>
      <c r="CU44" s="352"/>
      <c r="CV44" s="352"/>
      <c r="CW44" s="352"/>
      <c r="CX44" s="352"/>
      <c r="CY44" s="352"/>
      <c r="CZ44" s="352"/>
      <c r="DA44" s="352"/>
      <c r="DB44" s="352"/>
      <c r="DC44" s="352"/>
      <c r="DD44" s="352"/>
      <c r="DE44" s="7"/>
    </row>
    <row r="45" spans="1:109" ht="15" customHeight="1">
      <c r="A45" s="6"/>
      <c r="B45" s="382"/>
      <c r="C45" s="383"/>
      <c r="D45" s="383"/>
      <c r="E45" s="383"/>
      <c r="F45" s="383"/>
      <c r="G45" s="383"/>
      <c r="H45" s="384"/>
      <c r="I45" s="351"/>
      <c r="J45" s="351"/>
      <c r="K45" s="351"/>
      <c r="L45" s="351"/>
      <c r="M45" s="351"/>
      <c r="N45" s="351"/>
      <c r="O45" s="351"/>
      <c r="P45" s="457"/>
      <c r="Q45" s="457"/>
      <c r="R45" s="457"/>
      <c r="S45" s="457"/>
      <c r="T45" s="457"/>
      <c r="U45" s="457"/>
      <c r="V45" s="457"/>
      <c r="W45" s="408"/>
      <c r="X45" s="409"/>
      <c r="Y45" s="409"/>
      <c r="Z45" s="409"/>
      <c r="AA45" s="409"/>
      <c r="AB45" s="409"/>
      <c r="AC45" s="410"/>
      <c r="AD45" s="408"/>
      <c r="AE45" s="409"/>
      <c r="AF45" s="409"/>
      <c r="AG45" s="409"/>
      <c r="AH45" s="409"/>
      <c r="AI45" s="409"/>
      <c r="AJ45" s="410"/>
      <c r="AK45" s="408"/>
      <c r="AL45" s="409"/>
      <c r="AM45" s="409"/>
      <c r="AN45" s="409"/>
      <c r="AO45" s="409"/>
      <c r="AP45" s="409"/>
      <c r="AQ45" s="410"/>
      <c r="AR45" s="408"/>
      <c r="AS45" s="409"/>
      <c r="AT45" s="409"/>
      <c r="AU45" s="409"/>
      <c r="AV45" s="409"/>
      <c r="AW45" s="409"/>
      <c r="AX45" s="410"/>
      <c r="AY45" s="408"/>
      <c r="AZ45" s="409"/>
      <c r="BA45" s="409"/>
      <c r="BB45" s="409"/>
      <c r="BC45" s="409"/>
      <c r="BD45" s="409"/>
      <c r="BE45" s="410"/>
      <c r="BF45" s="408"/>
      <c r="BG45" s="409"/>
      <c r="BH45" s="409"/>
      <c r="BI45" s="409"/>
      <c r="BJ45" s="409"/>
      <c r="BK45" s="409"/>
      <c r="BL45" s="410"/>
      <c r="BM45" s="351"/>
      <c r="BN45" s="351"/>
      <c r="BO45" s="351"/>
      <c r="BP45" s="351"/>
      <c r="BQ45" s="351"/>
      <c r="BR45" s="351"/>
      <c r="BS45" s="351"/>
      <c r="BT45" s="351"/>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1"/>
      <c r="CU45" s="351"/>
      <c r="CV45" s="351"/>
      <c r="CW45" s="351"/>
      <c r="CX45" s="351"/>
      <c r="CY45" s="351"/>
      <c r="CZ45" s="351"/>
      <c r="DA45" s="351"/>
      <c r="DB45" s="351"/>
      <c r="DC45" s="351"/>
      <c r="DD45" s="351"/>
      <c r="DE45" s="7"/>
    </row>
    <row r="46" spans="1:109" ht="15" customHeight="1">
      <c r="A46" s="8"/>
      <c r="B46" s="385"/>
      <c r="C46" s="386"/>
      <c r="D46" s="386"/>
      <c r="E46" s="386"/>
      <c r="F46" s="386"/>
      <c r="G46" s="386"/>
      <c r="H46" s="387"/>
      <c r="I46" s="351"/>
      <c r="J46" s="351"/>
      <c r="K46" s="351"/>
      <c r="L46" s="351"/>
      <c r="M46" s="351"/>
      <c r="N46" s="351"/>
      <c r="O46" s="351"/>
      <c r="P46" s="457"/>
      <c r="Q46" s="457"/>
      <c r="R46" s="457"/>
      <c r="S46" s="457"/>
      <c r="T46" s="457"/>
      <c r="U46" s="457"/>
      <c r="V46" s="457"/>
      <c r="W46" s="411"/>
      <c r="X46" s="412"/>
      <c r="Y46" s="412"/>
      <c r="Z46" s="412"/>
      <c r="AA46" s="412"/>
      <c r="AB46" s="412"/>
      <c r="AC46" s="413"/>
      <c r="AD46" s="411"/>
      <c r="AE46" s="412"/>
      <c r="AF46" s="412"/>
      <c r="AG46" s="412"/>
      <c r="AH46" s="412"/>
      <c r="AI46" s="412"/>
      <c r="AJ46" s="413"/>
      <c r="AK46" s="411"/>
      <c r="AL46" s="412"/>
      <c r="AM46" s="412"/>
      <c r="AN46" s="412"/>
      <c r="AO46" s="412"/>
      <c r="AP46" s="412"/>
      <c r="AQ46" s="413"/>
      <c r="AR46" s="411"/>
      <c r="AS46" s="412"/>
      <c r="AT46" s="412"/>
      <c r="AU46" s="412"/>
      <c r="AV46" s="412"/>
      <c r="AW46" s="412"/>
      <c r="AX46" s="413"/>
      <c r="AY46" s="411"/>
      <c r="AZ46" s="412"/>
      <c r="BA46" s="412"/>
      <c r="BB46" s="412"/>
      <c r="BC46" s="412"/>
      <c r="BD46" s="412"/>
      <c r="BE46" s="413"/>
      <c r="BF46" s="411"/>
      <c r="BG46" s="412"/>
      <c r="BH46" s="412"/>
      <c r="BI46" s="412"/>
      <c r="BJ46" s="412"/>
      <c r="BK46" s="412"/>
      <c r="BL46" s="413"/>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7"/>
    </row>
    <row r="47" spans="1:109" ht="15" customHeight="1">
      <c r="A47" s="8"/>
      <c r="B47" s="353"/>
      <c r="C47" s="354"/>
      <c r="D47" s="354"/>
      <c r="E47" s="354"/>
      <c r="F47" s="354"/>
      <c r="G47" s="354"/>
      <c r="H47" s="355"/>
      <c r="I47" s="352"/>
      <c r="J47" s="352"/>
      <c r="K47" s="352"/>
      <c r="L47" s="352"/>
      <c r="M47" s="352"/>
      <c r="N47" s="352"/>
      <c r="O47" s="352"/>
      <c r="P47" s="458"/>
      <c r="Q47" s="458"/>
      <c r="R47" s="458"/>
      <c r="S47" s="458"/>
      <c r="T47" s="458"/>
      <c r="U47" s="458"/>
      <c r="V47" s="458"/>
      <c r="W47" s="395"/>
      <c r="X47" s="396"/>
      <c r="Y47" s="396"/>
      <c r="Z47" s="396"/>
      <c r="AA47" s="396"/>
      <c r="AB47" s="396"/>
      <c r="AC47" s="397"/>
      <c r="AD47" s="395"/>
      <c r="AE47" s="396"/>
      <c r="AF47" s="396"/>
      <c r="AG47" s="396"/>
      <c r="AH47" s="396"/>
      <c r="AI47" s="396"/>
      <c r="AJ47" s="397"/>
      <c r="AK47" s="395"/>
      <c r="AL47" s="396"/>
      <c r="AM47" s="396"/>
      <c r="AN47" s="396"/>
      <c r="AO47" s="396"/>
      <c r="AP47" s="396"/>
      <c r="AQ47" s="397"/>
      <c r="AR47" s="395"/>
      <c r="AS47" s="396"/>
      <c r="AT47" s="396"/>
      <c r="AU47" s="396"/>
      <c r="AV47" s="396"/>
      <c r="AW47" s="396"/>
      <c r="AX47" s="397"/>
      <c r="AY47" s="395"/>
      <c r="AZ47" s="396"/>
      <c r="BA47" s="396"/>
      <c r="BB47" s="396"/>
      <c r="BC47" s="396"/>
      <c r="BD47" s="396"/>
      <c r="BE47" s="397"/>
      <c r="BF47" s="395"/>
      <c r="BG47" s="396"/>
      <c r="BH47" s="396"/>
      <c r="BI47" s="396"/>
      <c r="BJ47" s="396"/>
      <c r="BK47" s="396"/>
      <c r="BL47" s="397"/>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c r="CQ47" s="352"/>
      <c r="CR47" s="352"/>
      <c r="CS47" s="352"/>
      <c r="CT47" s="352"/>
      <c r="CU47" s="352"/>
      <c r="CV47" s="352"/>
      <c r="CW47" s="352"/>
      <c r="CX47" s="352"/>
      <c r="CY47" s="352"/>
      <c r="CZ47" s="352"/>
      <c r="DA47" s="352"/>
      <c r="DB47" s="352"/>
      <c r="DC47" s="352"/>
      <c r="DD47" s="352"/>
      <c r="DE47" s="7"/>
    </row>
    <row r="48" spans="1:109" ht="15" customHeight="1">
      <c r="A48" s="8"/>
      <c r="B48" s="356"/>
      <c r="C48" s="357"/>
      <c r="D48" s="357"/>
      <c r="E48" s="357"/>
      <c r="F48" s="357"/>
      <c r="G48" s="357"/>
      <c r="H48" s="358"/>
      <c r="I48" s="352"/>
      <c r="J48" s="352"/>
      <c r="K48" s="352"/>
      <c r="L48" s="352"/>
      <c r="M48" s="352"/>
      <c r="N48" s="352"/>
      <c r="O48" s="352"/>
      <c r="P48" s="458"/>
      <c r="Q48" s="458"/>
      <c r="R48" s="458"/>
      <c r="S48" s="458"/>
      <c r="T48" s="458"/>
      <c r="U48" s="458"/>
      <c r="V48" s="458"/>
      <c r="W48" s="398"/>
      <c r="X48" s="399"/>
      <c r="Y48" s="399"/>
      <c r="Z48" s="399"/>
      <c r="AA48" s="399"/>
      <c r="AB48" s="399"/>
      <c r="AC48" s="400"/>
      <c r="AD48" s="398"/>
      <c r="AE48" s="399"/>
      <c r="AF48" s="399"/>
      <c r="AG48" s="399"/>
      <c r="AH48" s="399"/>
      <c r="AI48" s="399"/>
      <c r="AJ48" s="400"/>
      <c r="AK48" s="398"/>
      <c r="AL48" s="399"/>
      <c r="AM48" s="399"/>
      <c r="AN48" s="399"/>
      <c r="AO48" s="399"/>
      <c r="AP48" s="399"/>
      <c r="AQ48" s="400"/>
      <c r="AR48" s="398"/>
      <c r="AS48" s="399"/>
      <c r="AT48" s="399"/>
      <c r="AU48" s="399"/>
      <c r="AV48" s="399"/>
      <c r="AW48" s="399"/>
      <c r="AX48" s="400"/>
      <c r="AY48" s="398"/>
      <c r="AZ48" s="399"/>
      <c r="BA48" s="399"/>
      <c r="BB48" s="399"/>
      <c r="BC48" s="399"/>
      <c r="BD48" s="399"/>
      <c r="BE48" s="400"/>
      <c r="BF48" s="398"/>
      <c r="BG48" s="399"/>
      <c r="BH48" s="399"/>
      <c r="BI48" s="399"/>
      <c r="BJ48" s="399"/>
      <c r="BK48" s="399"/>
      <c r="BL48" s="400"/>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c r="CQ48" s="352"/>
      <c r="CR48" s="352"/>
      <c r="CS48" s="352"/>
      <c r="CT48" s="352"/>
      <c r="CU48" s="352"/>
      <c r="CV48" s="352"/>
      <c r="CW48" s="352"/>
      <c r="CX48" s="352"/>
      <c r="CY48" s="352"/>
      <c r="CZ48" s="352"/>
      <c r="DA48" s="352"/>
      <c r="DB48" s="352"/>
      <c r="DC48" s="352"/>
      <c r="DD48" s="352"/>
      <c r="DE48" s="7"/>
    </row>
    <row r="49" spans="1:133" ht="15" customHeight="1">
      <c r="A49" s="3"/>
      <c r="B49" s="382"/>
      <c r="C49" s="383"/>
      <c r="D49" s="383"/>
      <c r="E49" s="383"/>
      <c r="F49" s="383"/>
      <c r="G49" s="383"/>
      <c r="H49" s="384"/>
      <c r="I49" s="351"/>
      <c r="J49" s="351"/>
      <c r="K49" s="351"/>
      <c r="L49" s="351"/>
      <c r="M49" s="351"/>
      <c r="N49" s="351"/>
      <c r="O49" s="351"/>
      <c r="P49" s="457"/>
      <c r="Q49" s="457"/>
      <c r="R49" s="457"/>
      <c r="S49" s="457"/>
      <c r="T49" s="457"/>
      <c r="U49" s="457"/>
      <c r="V49" s="457"/>
      <c r="W49" s="408"/>
      <c r="X49" s="409"/>
      <c r="Y49" s="409"/>
      <c r="Z49" s="409"/>
      <c r="AA49" s="409"/>
      <c r="AB49" s="409"/>
      <c r="AC49" s="410"/>
      <c r="AD49" s="408"/>
      <c r="AE49" s="409"/>
      <c r="AF49" s="409"/>
      <c r="AG49" s="409"/>
      <c r="AH49" s="409"/>
      <c r="AI49" s="409"/>
      <c r="AJ49" s="410"/>
      <c r="AK49" s="408"/>
      <c r="AL49" s="409"/>
      <c r="AM49" s="409"/>
      <c r="AN49" s="409"/>
      <c r="AO49" s="409"/>
      <c r="AP49" s="409"/>
      <c r="AQ49" s="410"/>
      <c r="AR49" s="408"/>
      <c r="AS49" s="409"/>
      <c r="AT49" s="409"/>
      <c r="AU49" s="409"/>
      <c r="AV49" s="409"/>
      <c r="AW49" s="409"/>
      <c r="AX49" s="410"/>
      <c r="AY49" s="408"/>
      <c r="AZ49" s="409"/>
      <c r="BA49" s="409"/>
      <c r="BB49" s="409"/>
      <c r="BC49" s="409"/>
      <c r="BD49" s="409"/>
      <c r="BE49" s="410"/>
      <c r="BF49" s="408"/>
      <c r="BG49" s="409"/>
      <c r="BH49" s="409"/>
      <c r="BI49" s="409"/>
      <c r="BJ49" s="409"/>
      <c r="BK49" s="409"/>
      <c r="BL49" s="410"/>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7"/>
    </row>
    <row r="50" spans="1:133" ht="15" customHeight="1">
      <c r="A50" s="3"/>
      <c r="B50" s="385"/>
      <c r="C50" s="386"/>
      <c r="D50" s="386"/>
      <c r="E50" s="386"/>
      <c r="F50" s="386"/>
      <c r="G50" s="386"/>
      <c r="H50" s="387"/>
      <c r="I50" s="351"/>
      <c r="J50" s="351"/>
      <c r="K50" s="351"/>
      <c r="L50" s="351"/>
      <c r="M50" s="351"/>
      <c r="N50" s="351"/>
      <c r="O50" s="351"/>
      <c r="P50" s="457"/>
      <c r="Q50" s="457"/>
      <c r="R50" s="457"/>
      <c r="S50" s="457"/>
      <c r="T50" s="457"/>
      <c r="U50" s="457"/>
      <c r="V50" s="457"/>
      <c r="W50" s="411"/>
      <c r="X50" s="412"/>
      <c r="Y50" s="412"/>
      <c r="Z50" s="412"/>
      <c r="AA50" s="412"/>
      <c r="AB50" s="412"/>
      <c r="AC50" s="413"/>
      <c r="AD50" s="411"/>
      <c r="AE50" s="412"/>
      <c r="AF50" s="412"/>
      <c r="AG50" s="412"/>
      <c r="AH50" s="412"/>
      <c r="AI50" s="412"/>
      <c r="AJ50" s="413"/>
      <c r="AK50" s="411"/>
      <c r="AL50" s="412"/>
      <c r="AM50" s="412"/>
      <c r="AN50" s="412"/>
      <c r="AO50" s="412"/>
      <c r="AP50" s="412"/>
      <c r="AQ50" s="413"/>
      <c r="AR50" s="411"/>
      <c r="AS50" s="412"/>
      <c r="AT50" s="412"/>
      <c r="AU50" s="412"/>
      <c r="AV50" s="412"/>
      <c r="AW50" s="412"/>
      <c r="AX50" s="413"/>
      <c r="AY50" s="411"/>
      <c r="AZ50" s="412"/>
      <c r="BA50" s="412"/>
      <c r="BB50" s="412"/>
      <c r="BC50" s="412"/>
      <c r="BD50" s="412"/>
      <c r="BE50" s="413"/>
      <c r="BF50" s="411"/>
      <c r="BG50" s="412"/>
      <c r="BH50" s="412"/>
      <c r="BI50" s="412"/>
      <c r="BJ50" s="412"/>
      <c r="BK50" s="412"/>
      <c r="BL50" s="413"/>
      <c r="BM50" s="351"/>
      <c r="BN50" s="351"/>
      <c r="BO50" s="351"/>
      <c r="BP50" s="351"/>
      <c r="BQ50" s="351"/>
      <c r="BR50" s="351"/>
      <c r="BS50" s="351"/>
      <c r="BT50" s="351"/>
      <c r="BU50" s="351"/>
      <c r="BV50" s="351"/>
      <c r="BW50" s="351"/>
      <c r="BX50" s="351"/>
      <c r="BY50" s="351"/>
      <c r="BZ50" s="351"/>
      <c r="CA50" s="351"/>
      <c r="CB50" s="351"/>
      <c r="CC50" s="351"/>
      <c r="CD50" s="351"/>
      <c r="CE50" s="351"/>
      <c r="CF50" s="351"/>
      <c r="CG50" s="351"/>
      <c r="CH50" s="351"/>
      <c r="CI50" s="351"/>
      <c r="CJ50" s="351"/>
      <c r="CK50" s="351"/>
      <c r="CL50" s="351"/>
      <c r="CM50" s="351"/>
      <c r="CN50" s="351"/>
      <c r="CO50" s="351"/>
      <c r="CP50" s="351"/>
      <c r="CQ50" s="351"/>
      <c r="CR50" s="351"/>
      <c r="CS50" s="351"/>
      <c r="CT50" s="351"/>
      <c r="CU50" s="351"/>
      <c r="CV50" s="351"/>
      <c r="CW50" s="351"/>
      <c r="CX50" s="351"/>
      <c r="CY50" s="351"/>
      <c r="CZ50" s="351"/>
      <c r="DA50" s="351"/>
      <c r="DB50" s="351"/>
      <c r="DC50" s="351"/>
      <c r="DD50" s="351"/>
      <c r="DE50" s="7"/>
    </row>
    <row r="51" spans="1:133" ht="15" customHeight="1">
      <c r="A51" s="3"/>
      <c r="B51" s="353"/>
      <c r="C51" s="354"/>
      <c r="D51" s="354"/>
      <c r="E51" s="354"/>
      <c r="F51" s="354"/>
      <c r="G51" s="354"/>
      <c r="H51" s="355"/>
      <c r="I51" s="352"/>
      <c r="J51" s="352"/>
      <c r="K51" s="352"/>
      <c r="L51" s="352"/>
      <c r="M51" s="352"/>
      <c r="N51" s="352"/>
      <c r="O51" s="352"/>
      <c r="P51" s="458"/>
      <c r="Q51" s="458"/>
      <c r="R51" s="458"/>
      <c r="S51" s="458"/>
      <c r="T51" s="458"/>
      <c r="U51" s="458"/>
      <c r="V51" s="458"/>
      <c r="W51" s="395"/>
      <c r="X51" s="396"/>
      <c r="Y51" s="396"/>
      <c r="Z51" s="396"/>
      <c r="AA51" s="396"/>
      <c r="AB51" s="396"/>
      <c r="AC51" s="397"/>
      <c r="AD51" s="395"/>
      <c r="AE51" s="396"/>
      <c r="AF51" s="396"/>
      <c r="AG51" s="396"/>
      <c r="AH51" s="396"/>
      <c r="AI51" s="396"/>
      <c r="AJ51" s="397"/>
      <c r="AK51" s="395"/>
      <c r="AL51" s="396"/>
      <c r="AM51" s="396"/>
      <c r="AN51" s="396"/>
      <c r="AO51" s="396"/>
      <c r="AP51" s="396"/>
      <c r="AQ51" s="397"/>
      <c r="AR51" s="395"/>
      <c r="AS51" s="396"/>
      <c r="AT51" s="396"/>
      <c r="AU51" s="396"/>
      <c r="AV51" s="396"/>
      <c r="AW51" s="396"/>
      <c r="AX51" s="397"/>
      <c r="AY51" s="395"/>
      <c r="AZ51" s="396"/>
      <c r="BA51" s="396"/>
      <c r="BB51" s="396"/>
      <c r="BC51" s="396"/>
      <c r="BD51" s="396"/>
      <c r="BE51" s="397"/>
      <c r="BF51" s="395"/>
      <c r="BG51" s="396"/>
      <c r="BH51" s="396"/>
      <c r="BI51" s="396"/>
      <c r="BJ51" s="396"/>
      <c r="BK51" s="396"/>
      <c r="BL51" s="397"/>
      <c r="BM51" s="352"/>
      <c r="BN51" s="352"/>
      <c r="BO51" s="352"/>
      <c r="BP51" s="352"/>
      <c r="BQ51" s="352"/>
      <c r="BR51" s="352"/>
      <c r="BS51" s="352"/>
      <c r="BT51" s="352"/>
      <c r="BU51" s="352"/>
      <c r="BV51" s="352"/>
      <c r="BW51" s="352"/>
      <c r="BX51" s="352"/>
      <c r="BY51" s="352"/>
      <c r="BZ51" s="352"/>
      <c r="CA51" s="352"/>
      <c r="CB51" s="352"/>
      <c r="CC51" s="352"/>
      <c r="CD51" s="352"/>
      <c r="CE51" s="352"/>
      <c r="CF51" s="352"/>
      <c r="CG51" s="352"/>
      <c r="CH51" s="352"/>
      <c r="CI51" s="352"/>
      <c r="CJ51" s="352"/>
      <c r="CK51" s="352"/>
      <c r="CL51" s="352"/>
      <c r="CM51" s="352"/>
      <c r="CN51" s="352"/>
      <c r="CO51" s="352"/>
      <c r="CP51" s="352"/>
      <c r="CQ51" s="352"/>
      <c r="CR51" s="352"/>
      <c r="CS51" s="352"/>
      <c r="CT51" s="352"/>
      <c r="CU51" s="352"/>
      <c r="CV51" s="352"/>
      <c r="CW51" s="352"/>
      <c r="CX51" s="352"/>
      <c r="CY51" s="352"/>
      <c r="CZ51" s="352"/>
      <c r="DA51" s="352"/>
      <c r="DB51" s="352"/>
      <c r="DC51" s="352"/>
      <c r="DD51" s="352"/>
      <c r="DE51" s="24"/>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row>
    <row r="52" spans="1:133" ht="15" customHeight="1">
      <c r="A52" s="3"/>
      <c r="B52" s="356"/>
      <c r="C52" s="357"/>
      <c r="D52" s="357"/>
      <c r="E52" s="357"/>
      <c r="F52" s="357"/>
      <c r="G52" s="357"/>
      <c r="H52" s="358"/>
      <c r="I52" s="352"/>
      <c r="J52" s="352"/>
      <c r="K52" s="352"/>
      <c r="L52" s="352"/>
      <c r="M52" s="352"/>
      <c r="N52" s="352"/>
      <c r="O52" s="352"/>
      <c r="P52" s="458"/>
      <c r="Q52" s="458"/>
      <c r="R52" s="458"/>
      <c r="S52" s="458"/>
      <c r="T52" s="458"/>
      <c r="U52" s="458"/>
      <c r="V52" s="458"/>
      <c r="W52" s="398"/>
      <c r="X52" s="399"/>
      <c r="Y52" s="399"/>
      <c r="Z52" s="399"/>
      <c r="AA52" s="399"/>
      <c r="AB52" s="399"/>
      <c r="AC52" s="400"/>
      <c r="AD52" s="398"/>
      <c r="AE52" s="399"/>
      <c r="AF52" s="399"/>
      <c r="AG52" s="399"/>
      <c r="AH52" s="399"/>
      <c r="AI52" s="399"/>
      <c r="AJ52" s="400"/>
      <c r="AK52" s="398"/>
      <c r="AL52" s="399"/>
      <c r="AM52" s="399"/>
      <c r="AN52" s="399"/>
      <c r="AO52" s="399"/>
      <c r="AP52" s="399"/>
      <c r="AQ52" s="400"/>
      <c r="AR52" s="398"/>
      <c r="AS52" s="399"/>
      <c r="AT52" s="399"/>
      <c r="AU52" s="399"/>
      <c r="AV52" s="399"/>
      <c r="AW52" s="399"/>
      <c r="AX52" s="400"/>
      <c r="AY52" s="398"/>
      <c r="AZ52" s="399"/>
      <c r="BA52" s="399"/>
      <c r="BB52" s="399"/>
      <c r="BC52" s="399"/>
      <c r="BD52" s="399"/>
      <c r="BE52" s="400"/>
      <c r="BF52" s="398"/>
      <c r="BG52" s="399"/>
      <c r="BH52" s="399"/>
      <c r="BI52" s="399"/>
      <c r="BJ52" s="399"/>
      <c r="BK52" s="399"/>
      <c r="BL52" s="400"/>
      <c r="BM52" s="352"/>
      <c r="BN52" s="352"/>
      <c r="BO52" s="352"/>
      <c r="BP52" s="352"/>
      <c r="BQ52" s="352"/>
      <c r="BR52" s="352"/>
      <c r="BS52" s="352"/>
      <c r="BT52" s="352"/>
      <c r="BU52" s="352"/>
      <c r="BV52" s="352"/>
      <c r="BW52" s="352"/>
      <c r="BX52" s="352"/>
      <c r="BY52" s="352"/>
      <c r="BZ52" s="352"/>
      <c r="CA52" s="352"/>
      <c r="CB52" s="352"/>
      <c r="CC52" s="352"/>
      <c r="CD52" s="352"/>
      <c r="CE52" s="352"/>
      <c r="CF52" s="352"/>
      <c r="CG52" s="352"/>
      <c r="CH52" s="352"/>
      <c r="CI52" s="352"/>
      <c r="CJ52" s="352"/>
      <c r="CK52" s="352"/>
      <c r="CL52" s="352"/>
      <c r="CM52" s="352"/>
      <c r="CN52" s="352"/>
      <c r="CO52" s="352"/>
      <c r="CP52" s="352"/>
      <c r="CQ52" s="352"/>
      <c r="CR52" s="352"/>
      <c r="CS52" s="352"/>
      <c r="CT52" s="352"/>
      <c r="CU52" s="352"/>
      <c r="CV52" s="352"/>
      <c r="CW52" s="352"/>
      <c r="CX52" s="352"/>
      <c r="CY52" s="352"/>
      <c r="CZ52" s="352"/>
      <c r="DA52" s="352"/>
      <c r="DB52" s="352"/>
      <c r="DC52" s="352"/>
      <c r="DD52" s="352"/>
      <c r="DE52" s="7"/>
    </row>
    <row r="53" spans="1:133" ht="15" customHeight="1">
      <c r="A53" s="3"/>
      <c r="B53" s="382"/>
      <c r="C53" s="383"/>
      <c r="D53" s="383"/>
      <c r="E53" s="383"/>
      <c r="F53" s="383"/>
      <c r="G53" s="383"/>
      <c r="H53" s="384"/>
      <c r="I53" s="351"/>
      <c r="J53" s="351"/>
      <c r="K53" s="351"/>
      <c r="L53" s="351"/>
      <c r="M53" s="351"/>
      <c r="N53" s="351"/>
      <c r="O53" s="351"/>
      <c r="P53" s="457"/>
      <c r="Q53" s="457"/>
      <c r="R53" s="457"/>
      <c r="S53" s="457"/>
      <c r="T53" s="457"/>
      <c r="U53" s="457"/>
      <c r="V53" s="457"/>
      <c r="W53" s="408"/>
      <c r="X53" s="409"/>
      <c r="Y53" s="409"/>
      <c r="Z53" s="409"/>
      <c r="AA53" s="409"/>
      <c r="AB53" s="409"/>
      <c r="AC53" s="410"/>
      <c r="AD53" s="408"/>
      <c r="AE53" s="409"/>
      <c r="AF53" s="409"/>
      <c r="AG53" s="409"/>
      <c r="AH53" s="409"/>
      <c r="AI53" s="409"/>
      <c r="AJ53" s="410"/>
      <c r="AK53" s="408"/>
      <c r="AL53" s="409"/>
      <c r="AM53" s="409"/>
      <c r="AN53" s="409"/>
      <c r="AO53" s="409"/>
      <c r="AP53" s="409"/>
      <c r="AQ53" s="410"/>
      <c r="AR53" s="408"/>
      <c r="AS53" s="409"/>
      <c r="AT53" s="409"/>
      <c r="AU53" s="409"/>
      <c r="AV53" s="409"/>
      <c r="AW53" s="409"/>
      <c r="AX53" s="410"/>
      <c r="AY53" s="408"/>
      <c r="AZ53" s="409"/>
      <c r="BA53" s="409"/>
      <c r="BB53" s="409"/>
      <c r="BC53" s="409"/>
      <c r="BD53" s="409"/>
      <c r="BE53" s="410"/>
      <c r="BF53" s="408"/>
      <c r="BG53" s="409"/>
      <c r="BH53" s="409"/>
      <c r="BI53" s="409"/>
      <c r="BJ53" s="409"/>
      <c r="BK53" s="409"/>
      <c r="BL53" s="410"/>
      <c r="BM53" s="351"/>
      <c r="BN53" s="351"/>
      <c r="BO53" s="351"/>
      <c r="BP53" s="351"/>
      <c r="BQ53" s="351"/>
      <c r="BR53" s="351"/>
      <c r="BS53" s="351"/>
      <c r="BT53" s="351"/>
      <c r="BU53" s="351"/>
      <c r="BV53" s="351"/>
      <c r="BW53" s="351"/>
      <c r="BX53" s="351"/>
      <c r="BY53" s="351"/>
      <c r="BZ53" s="351"/>
      <c r="CA53" s="351"/>
      <c r="CB53" s="351"/>
      <c r="CC53" s="351"/>
      <c r="CD53" s="351"/>
      <c r="CE53" s="351"/>
      <c r="CF53" s="351"/>
      <c r="CG53" s="351"/>
      <c r="CH53" s="351"/>
      <c r="CI53" s="351"/>
      <c r="CJ53" s="351"/>
      <c r="CK53" s="351"/>
      <c r="CL53" s="351"/>
      <c r="CM53" s="351"/>
      <c r="CN53" s="351"/>
      <c r="CO53" s="351"/>
      <c r="CP53" s="351"/>
      <c r="CQ53" s="351"/>
      <c r="CR53" s="351"/>
      <c r="CS53" s="351"/>
      <c r="CT53" s="351"/>
      <c r="CU53" s="351"/>
      <c r="CV53" s="351"/>
      <c r="CW53" s="351"/>
      <c r="CX53" s="351"/>
      <c r="CY53" s="351"/>
      <c r="CZ53" s="351"/>
      <c r="DA53" s="351"/>
      <c r="DB53" s="351"/>
      <c r="DC53" s="351"/>
      <c r="DD53" s="351"/>
      <c r="DE53" s="7"/>
    </row>
    <row r="54" spans="1:133" ht="15" customHeight="1">
      <c r="A54" s="6"/>
      <c r="B54" s="385"/>
      <c r="C54" s="386"/>
      <c r="D54" s="386"/>
      <c r="E54" s="386"/>
      <c r="F54" s="386"/>
      <c r="G54" s="386"/>
      <c r="H54" s="387"/>
      <c r="I54" s="351"/>
      <c r="J54" s="351"/>
      <c r="K54" s="351"/>
      <c r="L54" s="351"/>
      <c r="M54" s="351"/>
      <c r="N54" s="351"/>
      <c r="O54" s="351"/>
      <c r="P54" s="457"/>
      <c r="Q54" s="457"/>
      <c r="R54" s="457"/>
      <c r="S54" s="457"/>
      <c r="T54" s="457"/>
      <c r="U54" s="457"/>
      <c r="V54" s="457"/>
      <c r="W54" s="411"/>
      <c r="X54" s="412"/>
      <c r="Y54" s="412"/>
      <c r="Z54" s="412"/>
      <c r="AA54" s="412"/>
      <c r="AB54" s="412"/>
      <c r="AC54" s="413"/>
      <c r="AD54" s="411"/>
      <c r="AE54" s="412"/>
      <c r="AF54" s="412"/>
      <c r="AG54" s="412"/>
      <c r="AH54" s="412"/>
      <c r="AI54" s="412"/>
      <c r="AJ54" s="413"/>
      <c r="AK54" s="411"/>
      <c r="AL54" s="412"/>
      <c r="AM54" s="412"/>
      <c r="AN54" s="412"/>
      <c r="AO54" s="412"/>
      <c r="AP54" s="412"/>
      <c r="AQ54" s="413"/>
      <c r="AR54" s="411"/>
      <c r="AS54" s="412"/>
      <c r="AT54" s="412"/>
      <c r="AU54" s="412"/>
      <c r="AV54" s="412"/>
      <c r="AW54" s="412"/>
      <c r="AX54" s="413"/>
      <c r="AY54" s="411"/>
      <c r="AZ54" s="412"/>
      <c r="BA54" s="412"/>
      <c r="BB54" s="412"/>
      <c r="BC54" s="412"/>
      <c r="BD54" s="412"/>
      <c r="BE54" s="413"/>
      <c r="BF54" s="411"/>
      <c r="BG54" s="412"/>
      <c r="BH54" s="412"/>
      <c r="BI54" s="412"/>
      <c r="BJ54" s="412"/>
      <c r="BK54" s="412"/>
      <c r="BL54" s="413"/>
      <c r="BM54" s="351"/>
      <c r="BN54" s="351"/>
      <c r="BO54" s="351"/>
      <c r="BP54" s="351"/>
      <c r="BQ54" s="351"/>
      <c r="BR54" s="351"/>
      <c r="BS54" s="351"/>
      <c r="BT54" s="351"/>
      <c r="BU54" s="351"/>
      <c r="BV54" s="351"/>
      <c r="BW54" s="351"/>
      <c r="BX54" s="351"/>
      <c r="BY54" s="351"/>
      <c r="BZ54" s="351"/>
      <c r="CA54" s="351"/>
      <c r="CB54" s="351"/>
      <c r="CC54" s="351"/>
      <c r="CD54" s="351"/>
      <c r="CE54" s="351"/>
      <c r="CF54" s="351"/>
      <c r="CG54" s="351"/>
      <c r="CH54" s="351"/>
      <c r="CI54" s="351"/>
      <c r="CJ54" s="351"/>
      <c r="CK54" s="351"/>
      <c r="CL54" s="351"/>
      <c r="CM54" s="351"/>
      <c r="CN54" s="351"/>
      <c r="CO54" s="351"/>
      <c r="CP54" s="351"/>
      <c r="CQ54" s="351"/>
      <c r="CR54" s="351"/>
      <c r="CS54" s="351"/>
      <c r="CT54" s="351"/>
      <c r="CU54" s="351"/>
      <c r="CV54" s="351"/>
      <c r="CW54" s="351"/>
      <c r="CX54" s="351"/>
      <c r="CY54" s="351"/>
      <c r="CZ54" s="351"/>
      <c r="DA54" s="351"/>
      <c r="DB54" s="351"/>
      <c r="DC54" s="351"/>
      <c r="DD54" s="351"/>
      <c r="DE54" s="7"/>
    </row>
    <row r="55" spans="1:133" ht="15" customHeight="1" thickBot="1">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4"/>
    </row>
    <row r="56" spans="1:133" ht="15" customHeight="1">
      <c r="A56" s="388"/>
      <c r="B56" s="389"/>
      <c r="C56" s="389"/>
      <c r="D56" s="389"/>
      <c r="E56" s="389"/>
      <c r="F56" s="389"/>
      <c r="G56" s="389"/>
      <c r="H56" s="389"/>
      <c r="I56" s="389"/>
      <c r="J56" s="389"/>
      <c r="K56" s="389"/>
      <c r="L56" s="389"/>
      <c r="M56" s="389"/>
      <c r="N56" s="389"/>
      <c r="O56" s="389"/>
      <c r="P56" s="389"/>
      <c r="Q56" s="389"/>
      <c r="R56" s="389"/>
      <c r="S56" s="389"/>
      <c r="T56" s="389"/>
      <c r="U56" s="389"/>
      <c r="V56" s="389"/>
      <c r="W56" s="389"/>
      <c r="X56" s="389"/>
      <c r="Y56" s="389"/>
      <c r="Z56" s="389"/>
      <c r="AA56" s="389"/>
      <c r="AB56" s="389"/>
      <c r="AC56" s="389"/>
      <c r="AD56" s="389"/>
      <c r="AE56" s="389"/>
      <c r="AF56" s="389"/>
      <c r="AG56" s="389"/>
      <c r="AH56" s="389"/>
      <c r="AI56" s="389"/>
      <c r="AJ56" s="389"/>
      <c r="AK56" s="389"/>
      <c r="AL56" s="389"/>
      <c r="AM56" s="389"/>
      <c r="AN56" s="389"/>
      <c r="AO56" s="389"/>
      <c r="AP56" s="389"/>
      <c r="AQ56" s="389"/>
      <c r="AR56" s="389"/>
      <c r="AS56" s="389"/>
      <c r="AT56" s="389"/>
      <c r="AU56" s="389"/>
      <c r="AV56" s="389"/>
      <c r="AW56" s="389"/>
      <c r="AX56" s="389"/>
      <c r="AY56" s="389"/>
      <c r="AZ56" s="389"/>
      <c r="BA56" s="389"/>
      <c r="BB56" s="389"/>
      <c r="BC56" s="389"/>
      <c r="BD56" s="389"/>
      <c r="BE56" s="389"/>
      <c r="BF56" s="389"/>
      <c r="BG56" s="389"/>
      <c r="BH56" s="389"/>
      <c r="BI56" s="389"/>
      <c r="BJ56" s="389"/>
      <c r="BK56" s="389"/>
      <c r="BL56" s="389"/>
      <c r="BM56" s="389"/>
      <c r="BN56" s="389"/>
      <c r="BO56" s="389"/>
      <c r="BP56" s="389"/>
      <c r="BQ56" s="389"/>
      <c r="BR56" s="389"/>
      <c r="BS56" s="389"/>
      <c r="BT56" s="389"/>
      <c r="BU56" s="389"/>
      <c r="BV56" s="389"/>
      <c r="BW56" s="389"/>
      <c r="BX56" s="389"/>
      <c r="BY56" s="389"/>
      <c r="BZ56" s="389"/>
      <c r="CA56" s="389"/>
      <c r="CB56" s="389"/>
      <c r="CC56" s="389"/>
      <c r="CD56" s="389"/>
      <c r="CE56" s="389"/>
      <c r="CF56" s="389"/>
      <c r="CG56" s="389"/>
      <c r="CH56" s="389"/>
      <c r="CI56" s="389"/>
      <c r="CJ56" s="389"/>
      <c r="CK56" s="389"/>
      <c r="CL56" s="389"/>
      <c r="CM56" s="389"/>
      <c r="CN56" s="389"/>
      <c r="CO56" s="389"/>
      <c r="CP56" s="389"/>
      <c r="CQ56" s="389"/>
      <c r="CR56" s="389"/>
      <c r="CS56" s="389"/>
      <c r="CT56" s="389"/>
      <c r="CU56" s="389"/>
      <c r="CV56" s="361" t="s">
        <v>1</v>
      </c>
      <c r="CW56" s="361"/>
      <c r="CX56" s="361"/>
      <c r="CY56" s="361"/>
      <c r="CZ56" s="361"/>
      <c r="DA56" s="361"/>
      <c r="DB56" s="361"/>
      <c r="DC56" s="361"/>
      <c r="DD56" s="361"/>
      <c r="DE56" s="362"/>
    </row>
    <row r="57" spans="1:133" ht="15" customHeight="1">
      <c r="A57" s="390"/>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c r="BQ57" s="391"/>
      <c r="BR57" s="391"/>
      <c r="BS57" s="391"/>
      <c r="BT57" s="391"/>
      <c r="BU57" s="391"/>
      <c r="BV57" s="391"/>
      <c r="BW57" s="391"/>
      <c r="BX57" s="391"/>
      <c r="BY57" s="391"/>
      <c r="BZ57" s="391"/>
      <c r="CA57" s="391"/>
      <c r="CB57" s="391"/>
      <c r="CC57" s="391"/>
      <c r="CD57" s="391"/>
      <c r="CE57" s="391"/>
      <c r="CF57" s="391"/>
      <c r="CG57" s="391"/>
      <c r="CH57" s="391"/>
      <c r="CI57" s="391"/>
      <c r="CJ57" s="391"/>
      <c r="CK57" s="391"/>
      <c r="CL57" s="391"/>
      <c r="CM57" s="391"/>
      <c r="CN57" s="391"/>
      <c r="CO57" s="391"/>
      <c r="CP57" s="391"/>
      <c r="CQ57" s="391"/>
      <c r="CR57" s="391"/>
      <c r="CS57" s="391"/>
      <c r="CT57" s="391"/>
      <c r="CU57" s="391"/>
      <c r="CV57" s="363"/>
      <c r="CW57" s="363"/>
      <c r="CX57" s="363"/>
      <c r="CY57" s="363"/>
      <c r="CZ57" s="363"/>
      <c r="DA57" s="363"/>
      <c r="DB57" s="363"/>
      <c r="DC57" s="363"/>
      <c r="DD57" s="363"/>
      <c r="DE57" s="364"/>
    </row>
    <row r="58" spans="1:133" ht="15" customHeight="1">
      <c r="A58" s="390"/>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1"/>
      <c r="CG58" s="391"/>
      <c r="CH58" s="391"/>
      <c r="CI58" s="391"/>
      <c r="CJ58" s="391"/>
      <c r="CK58" s="391"/>
      <c r="CL58" s="391"/>
      <c r="CM58" s="391"/>
      <c r="CN58" s="391"/>
      <c r="CO58" s="391"/>
      <c r="CP58" s="391"/>
      <c r="CQ58" s="391"/>
      <c r="CR58" s="391"/>
      <c r="CS58" s="391"/>
      <c r="CT58" s="391"/>
      <c r="CU58" s="391"/>
      <c r="CV58" s="363"/>
      <c r="CW58" s="363"/>
      <c r="CX58" s="363"/>
      <c r="CY58" s="363"/>
      <c r="CZ58" s="363"/>
      <c r="DA58" s="363"/>
      <c r="DB58" s="363"/>
      <c r="DC58" s="363"/>
      <c r="DD58" s="363"/>
      <c r="DE58" s="364"/>
    </row>
    <row r="59" spans="1:133" ht="15" customHeight="1">
      <c r="A59" s="390"/>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391"/>
      <c r="BP59" s="391"/>
      <c r="BQ59" s="391"/>
      <c r="BR59" s="391"/>
      <c r="BS59" s="391"/>
      <c r="BT59" s="391"/>
      <c r="BU59" s="391"/>
      <c r="BV59" s="391"/>
      <c r="BW59" s="391"/>
      <c r="BX59" s="391"/>
      <c r="BY59" s="391"/>
      <c r="BZ59" s="391"/>
      <c r="CA59" s="391"/>
      <c r="CB59" s="391"/>
      <c r="CC59" s="391"/>
      <c r="CD59" s="391"/>
      <c r="CE59" s="391"/>
      <c r="CF59" s="391"/>
      <c r="CG59" s="391"/>
      <c r="CH59" s="391"/>
      <c r="CI59" s="391"/>
      <c r="CJ59" s="391"/>
      <c r="CK59" s="391"/>
      <c r="CL59" s="391"/>
      <c r="CM59" s="391"/>
      <c r="CN59" s="391"/>
      <c r="CO59" s="391"/>
      <c r="CP59" s="391"/>
      <c r="CQ59" s="391"/>
      <c r="CR59" s="391"/>
      <c r="CS59" s="391"/>
      <c r="CT59" s="391"/>
      <c r="CU59" s="391"/>
      <c r="CV59" s="363"/>
      <c r="CW59" s="363"/>
      <c r="CX59" s="363"/>
      <c r="CY59" s="363"/>
      <c r="CZ59" s="363"/>
      <c r="DA59" s="363"/>
      <c r="DB59" s="363"/>
      <c r="DC59" s="363"/>
      <c r="DD59" s="363"/>
      <c r="DE59" s="364"/>
    </row>
    <row r="60" spans="1:133" ht="15" customHeight="1">
      <c r="A60" s="390"/>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391"/>
      <c r="BC60" s="391"/>
      <c r="BD60" s="391"/>
      <c r="BE60" s="391"/>
      <c r="BF60" s="391"/>
      <c r="BG60" s="391"/>
      <c r="BH60" s="391"/>
      <c r="BI60" s="391"/>
      <c r="BJ60" s="391"/>
      <c r="BK60" s="391"/>
      <c r="BL60" s="391"/>
      <c r="BM60" s="391"/>
      <c r="BN60" s="391"/>
      <c r="BO60" s="391"/>
      <c r="BP60" s="391"/>
      <c r="BQ60" s="391"/>
      <c r="BR60" s="391"/>
      <c r="BS60" s="391"/>
      <c r="BT60" s="391"/>
      <c r="BU60" s="391"/>
      <c r="BV60" s="391"/>
      <c r="BW60" s="391"/>
      <c r="BX60" s="391"/>
      <c r="BY60" s="391"/>
      <c r="BZ60" s="391"/>
      <c r="CA60" s="391"/>
      <c r="CB60" s="391"/>
      <c r="CC60" s="391"/>
      <c r="CD60" s="391"/>
      <c r="CE60" s="391"/>
      <c r="CF60" s="391"/>
      <c r="CG60" s="391"/>
      <c r="CH60" s="391"/>
      <c r="CI60" s="391"/>
      <c r="CJ60" s="391"/>
      <c r="CK60" s="391"/>
      <c r="CL60" s="391"/>
      <c r="CM60" s="391"/>
      <c r="CN60" s="391"/>
      <c r="CO60" s="391"/>
      <c r="CP60" s="391"/>
      <c r="CQ60" s="391"/>
      <c r="CR60" s="391"/>
      <c r="CS60" s="391"/>
      <c r="CT60" s="391"/>
      <c r="CU60" s="391"/>
      <c r="CV60" s="363"/>
      <c r="CW60" s="363"/>
      <c r="CX60" s="363"/>
      <c r="CY60" s="363"/>
      <c r="CZ60" s="363"/>
      <c r="DA60" s="363"/>
      <c r="DB60" s="363"/>
      <c r="DC60" s="363"/>
      <c r="DD60" s="363"/>
      <c r="DE60" s="364"/>
    </row>
    <row r="61" spans="1:133" ht="15" customHeight="1" thickBot="1">
      <c r="A61" s="390"/>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1"/>
      <c r="CG61" s="391"/>
      <c r="CH61" s="391"/>
      <c r="CI61" s="391"/>
      <c r="CJ61" s="391"/>
      <c r="CK61" s="391"/>
      <c r="CL61" s="391"/>
      <c r="CM61" s="391"/>
      <c r="CN61" s="391"/>
      <c r="CO61" s="391"/>
      <c r="CP61" s="391"/>
      <c r="CQ61" s="391"/>
      <c r="CR61" s="391"/>
      <c r="CS61" s="391"/>
      <c r="CT61" s="391"/>
      <c r="CU61" s="391"/>
      <c r="CV61" s="365"/>
      <c r="CW61" s="365"/>
      <c r="CX61" s="365"/>
      <c r="CY61" s="365"/>
      <c r="CZ61" s="365"/>
      <c r="DA61" s="365"/>
      <c r="DB61" s="365"/>
      <c r="DC61" s="365"/>
      <c r="DD61" s="365"/>
      <c r="DE61" s="366"/>
    </row>
    <row r="62" spans="1:133" ht="15" customHeight="1">
      <c r="A62" s="392" t="s">
        <v>83</v>
      </c>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c r="BL62" s="393"/>
      <c r="BM62" s="393"/>
      <c r="BN62" s="393"/>
      <c r="BO62" s="393"/>
      <c r="BP62" s="393"/>
      <c r="BQ62" s="393"/>
      <c r="BR62" s="393"/>
      <c r="BS62" s="393"/>
      <c r="BT62" s="393"/>
      <c r="BU62" s="393"/>
      <c r="BV62" s="393"/>
      <c r="BW62" s="393"/>
      <c r="BX62" s="393"/>
      <c r="BY62" s="393"/>
      <c r="BZ62" s="393"/>
      <c r="CA62" s="393"/>
      <c r="CB62" s="393"/>
      <c r="CC62" s="393"/>
      <c r="CD62" s="393"/>
      <c r="CE62" s="393"/>
      <c r="CF62" s="393"/>
      <c r="CG62" s="393"/>
      <c r="CH62" s="393"/>
      <c r="CI62" s="393"/>
      <c r="CJ62" s="393"/>
      <c r="CK62" s="393"/>
      <c r="CL62" s="393"/>
      <c r="CM62" s="393"/>
      <c r="CN62" s="393"/>
      <c r="CO62" s="393"/>
      <c r="CP62" s="367" t="s">
        <v>3</v>
      </c>
      <c r="CQ62" s="367"/>
      <c r="CR62" s="367"/>
      <c r="CS62" s="367"/>
      <c r="CT62" s="367"/>
      <c r="CU62" s="367"/>
      <c r="CV62" s="367"/>
      <c r="CW62" s="367"/>
      <c r="CX62" s="367"/>
      <c r="CY62" s="367"/>
      <c r="CZ62" s="367"/>
      <c r="DA62" s="367"/>
      <c r="DB62" s="367"/>
      <c r="DC62" s="367"/>
      <c r="DD62" s="367"/>
      <c r="DE62" s="368"/>
    </row>
    <row r="63" spans="1:133" ht="15" customHeight="1">
      <c r="A63" s="392"/>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c r="BL63" s="393"/>
      <c r="BM63" s="393"/>
      <c r="BN63" s="393"/>
      <c r="BO63" s="393"/>
      <c r="BP63" s="393"/>
      <c r="BQ63" s="393"/>
      <c r="BR63" s="393"/>
      <c r="BS63" s="393"/>
      <c r="BT63" s="393"/>
      <c r="BU63" s="393"/>
      <c r="BV63" s="393"/>
      <c r="BW63" s="393"/>
      <c r="BX63" s="393"/>
      <c r="BY63" s="393"/>
      <c r="BZ63" s="393"/>
      <c r="CA63" s="393"/>
      <c r="CB63" s="393"/>
      <c r="CC63" s="393"/>
      <c r="CD63" s="393"/>
      <c r="CE63" s="393"/>
      <c r="CF63" s="393"/>
      <c r="CG63" s="393"/>
      <c r="CH63" s="393"/>
      <c r="CI63" s="393"/>
      <c r="CJ63" s="393"/>
      <c r="CK63" s="393"/>
      <c r="CL63" s="393"/>
      <c r="CM63" s="393"/>
      <c r="CN63" s="393"/>
      <c r="CO63" s="393"/>
      <c r="CP63" s="367"/>
      <c r="CQ63" s="367"/>
      <c r="CR63" s="367"/>
      <c r="CS63" s="367"/>
      <c r="CT63" s="367"/>
      <c r="CU63" s="367"/>
      <c r="CV63" s="367"/>
      <c r="CW63" s="367"/>
      <c r="CX63" s="367"/>
      <c r="CY63" s="367"/>
      <c r="CZ63" s="367"/>
      <c r="DA63" s="367"/>
      <c r="DB63" s="367"/>
      <c r="DC63" s="367"/>
      <c r="DD63" s="367"/>
      <c r="DE63" s="368"/>
    </row>
    <row r="64" spans="1:133" ht="15" customHeight="1">
      <c r="A64" s="375" t="s">
        <v>4</v>
      </c>
      <c r="B64" s="369"/>
      <c r="C64" s="369"/>
      <c r="D64" s="369"/>
      <c r="E64" s="369"/>
      <c r="F64" s="369"/>
      <c r="G64" s="369"/>
      <c r="H64" s="369"/>
      <c r="I64" s="369"/>
      <c r="J64" s="369"/>
      <c r="K64" s="369"/>
      <c r="L64" s="369"/>
      <c r="M64" s="369"/>
      <c r="N64" s="369"/>
      <c r="O64" s="369"/>
      <c r="P64" s="369"/>
      <c r="Q64" s="369"/>
      <c r="R64" s="369"/>
      <c r="S64" s="370">
        <v>559082</v>
      </c>
      <c r="T64" s="370"/>
      <c r="U64" s="370"/>
      <c r="V64" s="370"/>
      <c r="W64" s="370"/>
      <c r="X64" s="370"/>
      <c r="Y64" s="370"/>
      <c r="Z64" s="370"/>
      <c r="AA64" s="370"/>
      <c r="AB64" s="370"/>
      <c r="AC64" s="370"/>
      <c r="AD64" s="370"/>
      <c r="AE64" s="369" t="s">
        <v>5</v>
      </c>
      <c r="AF64" s="369"/>
      <c r="AG64" s="369"/>
      <c r="AH64" s="369"/>
      <c r="AI64" s="369"/>
      <c r="AJ64" s="369"/>
      <c r="AK64" s="369"/>
      <c r="AL64" s="369"/>
      <c r="AM64" s="369"/>
      <c r="AN64" s="369"/>
      <c r="AO64" s="369"/>
      <c r="AP64" s="369"/>
      <c r="AQ64" s="369"/>
      <c r="AR64" s="369"/>
      <c r="AS64" s="394">
        <v>45678</v>
      </c>
      <c r="AT64" s="394"/>
      <c r="AU64" s="394"/>
      <c r="AV64" s="394"/>
      <c r="AW64" s="394"/>
      <c r="AX64" s="394"/>
      <c r="AY64" s="394"/>
      <c r="AZ64" s="394"/>
      <c r="BA64" s="394"/>
      <c r="BB64" s="394"/>
      <c r="BC64" s="394"/>
      <c r="BD64" s="394"/>
      <c r="BE64" s="394"/>
      <c r="BF64" s="394"/>
      <c r="BG64" s="369" t="s">
        <v>6</v>
      </c>
      <c r="BH64" s="369"/>
      <c r="BI64" s="369"/>
      <c r="BJ64" s="369"/>
      <c r="BK64" s="369"/>
      <c r="BL64" s="369"/>
      <c r="BM64" s="369"/>
      <c r="BN64" s="369"/>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71" t="s">
        <v>7</v>
      </c>
      <c r="CO64" s="371"/>
      <c r="CP64" s="371"/>
      <c r="CQ64" s="372" t="s">
        <v>8</v>
      </c>
      <c r="CR64" s="372"/>
      <c r="CS64" s="372"/>
      <c r="CT64" s="372"/>
      <c r="CU64" s="372"/>
      <c r="CV64" s="372"/>
      <c r="CW64" s="372"/>
      <c r="CX64" s="372"/>
      <c r="CY64" s="372"/>
      <c r="CZ64" s="372"/>
      <c r="DA64" s="372"/>
      <c r="DB64" s="372"/>
      <c r="DC64" s="372"/>
      <c r="DD64" s="372"/>
      <c r="DE64" s="373"/>
    </row>
    <row r="65" spans="1:109" ht="15" customHeight="1">
      <c r="A65" s="375" t="s">
        <v>9</v>
      </c>
      <c r="B65" s="369"/>
      <c r="C65" s="369"/>
      <c r="D65" s="369"/>
      <c r="E65" s="369"/>
      <c r="F65" s="369"/>
      <c r="G65" s="369"/>
      <c r="H65" s="369"/>
      <c r="I65" s="369"/>
      <c r="J65" s="369"/>
      <c r="K65" s="369"/>
      <c r="L65" s="369"/>
      <c r="M65" s="369"/>
      <c r="N65" s="369"/>
      <c r="O65" s="369"/>
      <c r="P65" s="369"/>
      <c r="Q65" s="369"/>
      <c r="R65" s="369"/>
      <c r="S65" s="370" t="s">
        <v>10</v>
      </c>
      <c r="T65" s="370"/>
      <c r="U65" s="370"/>
      <c r="V65" s="370"/>
      <c r="W65" s="370"/>
      <c r="X65" s="370"/>
      <c r="Y65" s="370"/>
      <c r="Z65" s="370"/>
      <c r="AA65" s="370"/>
      <c r="AB65" s="370"/>
      <c r="AC65" s="370"/>
      <c r="AD65" s="370"/>
      <c r="AE65" s="369" t="s">
        <v>11</v>
      </c>
      <c r="AF65" s="369"/>
      <c r="AG65" s="369"/>
      <c r="AH65" s="369"/>
      <c r="AI65" s="369"/>
      <c r="AJ65" s="369"/>
      <c r="AK65" s="369"/>
      <c r="AL65" s="369"/>
      <c r="AM65" s="369"/>
      <c r="AN65" s="369"/>
      <c r="AO65" s="369"/>
      <c r="AP65" s="369"/>
      <c r="AQ65" s="369"/>
      <c r="AR65" s="369"/>
      <c r="AS65" s="370" t="s">
        <v>12</v>
      </c>
      <c r="AT65" s="370"/>
      <c r="AU65" s="370"/>
      <c r="AV65" s="370"/>
      <c r="AW65" s="370"/>
      <c r="AX65" s="370"/>
      <c r="AY65" s="370"/>
      <c r="AZ65" s="370"/>
      <c r="BA65" s="370"/>
      <c r="BB65" s="370"/>
      <c r="BC65" s="370"/>
      <c r="BD65" s="370"/>
      <c r="BE65" s="370"/>
      <c r="BF65" s="370"/>
      <c r="BG65" s="369"/>
      <c r="BH65" s="369"/>
      <c r="BI65" s="369"/>
      <c r="BJ65" s="369"/>
      <c r="BK65" s="369"/>
      <c r="BL65" s="369"/>
      <c r="BM65" s="369"/>
      <c r="BN65" s="369"/>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71"/>
      <c r="CO65" s="371"/>
      <c r="CP65" s="371"/>
      <c r="CQ65" s="372" t="s">
        <v>13</v>
      </c>
      <c r="CR65" s="372"/>
      <c r="CS65" s="372"/>
      <c r="CT65" s="372"/>
      <c r="CU65" s="372"/>
      <c r="CV65" s="372"/>
      <c r="CW65" s="372"/>
      <c r="CX65" s="372"/>
      <c r="CY65" s="372"/>
      <c r="CZ65" s="372"/>
      <c r="DA65" s="372"/>
      <c r="DB65" s="372"/>
      <c r="DC65" s="372"/>
      <c r="DD65" s="372"/>
      <c r="DE65" s="373"/>
    </row>
    <row r="66" spans="1:109" ht="15" customHeight="1">
      <c r="A66" s="375" t="s">
        <v>14</v>
      </c>
      <c r="B66" s="369"/>
      <c r="C66" s="369"/>
      <c r="D66" s="369"/>
      <c r="E66" s="369"/>
      <c r="F66" s="369"/>
      <c r="G66" s="369"/>
      <c r="H66" s="369"/>
      <c r="I66" s="369"/>
      <c r="J66" s="369"/>
      <c r="K66" s="369"/>
      <c r="L66" s="369"/>
      <c r="M66" s="369"/>
      <c r="N66" s="369"/>
      <c r="O66" s="369"/>
      <c r="P66" s="369"/>
      <c r="Q66" s="369"/>
      <c r="R66" s="369"/>
      <c r="S66" s="370" t="s">
        <v>15</v>
      </c>
      <c r="T66" s="370"/>
      <c r="U66" s="370"/>
      <c r="V66" s="370"/>
      <c r="W66" s="370"/>
      <c r="X66" s="370"/>
      <c r="Y66" s="370"/>
      <c r="Z66" s="370"/>
      <c r="AA66" s="370"/>
      <c r="AB66" s="370"/>
      <c r="AC66" s="370"/>
      <c r="AD66" s="370"/>
      <c r="AE66" s="369" t="s">
        <v>16</v>
      </c>
      <c r="AF66" s="369"/>
      <c r="AG66" s="369"/>
      <c r="AH66" s="369"/>
      <c r="AI66" s="369"/>
      <c r="AJ66" s="369"/>
      <c r="AK66" s="369"/>
      <c r="AL66" s="369"/>
      <c r="AM66" s="369"/>
      <c r="AN66" s="369"/>
      <c r="AO66" s="369"/>
      <c r="AP66" s="369"/>
      <c r="AQ66" s="369"/>
      <c r="AR66" s="369"/>
      <c r="AS66" s="370" t="s">
        <v>17</v>
      </c>
      <c r="AT66" s="370"/>
      <c r="AU66" s="370"/>
      <c r="AV66" s="370"/>
      <c r="AW66" s="370"/>
      <c r="AX66" s="370"/>
      <c r="AY66" s="370"/>
      <c r="AZ66" s="370"/>
      <c r="BA66" s="370"/>
      <c r="BB66" s="370"/>
      <c r="BC66" s="370"/>
      <c r="BD66" s="370"/>
      <c r="BE66" s="370"/>
      <c r="BF66" s="370"/>
      <c r="BG66" s="369"/>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71"/>
      <c r="CO66" s="371"/>
      <c r="CP66" s="371"/>
      <c r="CQ66" s="372" t="s">
        <v>18</v>
      </c>
      <c r="CR66" s="372"/>
      <c r="CS66" s="372"/>
      <c r="CT66" s="372"/>
      <c r="CU66" s="372"/>
      <c r="CV66" s="372"/>
      <c r="CW66" s="372"/>
      <c r="CX66" s="372"/>
      <c r="CY66" s="372"/>
      <c r="CZ66" s="372"/>
      <c r="DA66" s="372"/>
      <c r="DB66" s="372"/>
      <c r="DC66" s="372"/>
      <c r="DD66" s="372"/>
      <c r="DE66" s="373"/>
    </row>
    <row r="67" spans="1:109" ht="15" customHeight="1">
      <c r="A67" s="446" t="s">
        <v>84</v>
      </c>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c r="AA67" s="447"/>
      <c r="AB67" s="447"/>
      <c r="AC67" s="447"/>
      <c r="AD67" s="447"/>
      <c r="AE67" s="447"/>
      <c r="AF67" s="447"/>
      <c r="AG67" s="447"/>
      <c r="AH67" s="447"/>
      <c r="AI67" s="447"/>
      <c r="AJ67" s="447"/>
      <c r="AK67" s="447"/>
      <c r="AL67" s="447"/>
      <c r="AM67" s="447"/>
      <c r="AN67" s="447"/>
      <c r="AO67" s="447"/>
      <c r="AP67" s="447"/>
      <c r="AQ67" s="447"/>
      <c r="AR67" s="447"/>
      <c r="AS67" s="447"/>
      <c r="AT67" s="447"/>
      <c r="AU67" s="447"/>
      <c r="AV67" s="447"/>
      <c r="AW67" s="447"/>
      <c r="AX67" s="447"/>
      <c r="AY67" s="447"/>
      <c r="AZ67" s="447"/>
      <c r="BA67" s="447"/>
      <c r="BB67" s="447"/>
      <c r="BC67" s="447"/>
      <c r="BD67" s="447"/>
      <c r="BE67" s="447"/>
      <c r="BF67" s="447"/>
      <c r="BG67" s="447"/>
      <c r="BH67" s="447"/>
      <c r="BI67" s="447"/>
      <c r="BJ67" s="447"/>
      <c r="BK67" s="447"/>
      <c r="BL67" s="447"/>
      <c r="BM67" s="447"/>
      <c r="BN67" s="447"/>
      <c r="BO67" s="447"/>
      <c r="BP67" s="447"/>
      <c r="BQ67" s="447"/>
      <c r="BR67" s="447"/>
      <c r="BS67" s="447"/>
      <c r="BT67" s="447"/>
      <c r="BU67" s="447"/>
      <c r="BV67" s="447"/>
      <c r="BW67" s="447"/>
      <c r="BX67" s="447"/>
      <c r="BY67" s="447"/>
      <c r="BZ67" s="447"/>
      <c r="CA67" s="447"/>
      <c r="CB67" s="447"/>
      <c r="CC67" s="447"/>
      <c r="CD67" s="447"/>
      <c r="CE67" s="447"/>
      <c r="CF67" s="447"/>
      <c r="CG67" s="447"/>
      <c r="CH67" s="447"/>
      <c r="CI67" s="447"/>
      <c r="CJ67" s="447"/>
      <c r="CK67" s="447"/>
      <c r="CL67" s="447"/>
      <c r="CM67" s="447"/>
      <c r="CN67" s="447"/>
      <c r="CO67" s="447"/>
      <c r="CP67" s="447"/>
      <c r="CQ67" s="447"/>
      <c r="CR67" s="447"/>
      <c r="CS67" s="447"/>
      <c r="CT67" s="447"/>
      <c r="CU67" s="447"/>
      <c r="CV67" s="447"/>
      <c r="CW67" s="447"/>
      <c r="CX67" s="447"/>
      <c r="CY67" s="447"/>
      <c r="CZ67" s="447"/>
      <c r="DA67" s="447"/>
      <c r="DB67" s="447"/>
      <c r="DC67" s="447"/>
      <c r="DD67" s="447"/>
      <c r="DE67" s="448"/>
    </row>
    <row r="68" spans="1:109" ht="15" customHeight="1">
      <c r="A68" s="449" t="s">
        <v>85</v>
      </c>
      <c r="B68" s="450"/>
      <c r="C68" s="450"/>
      <c r="D68" s="450"/>
      <c r="E68" s="450"/>
      <c r="F68" s="450"/>
      <c r="G68" s="450"/>
      <c r="H68" s="450"/>
      <c r="I68" s="450"/>
      <c r="J68" s="450"/>
      <c r="K68" s="455" t="s">
        <v>86</v>
      </c>
      <c r="L68" s="455"/>
      <c r="M68" s="455"/>
      <c r="N68" s="455"/>
      <c r="O68" s="455"/>
      <c r="P68" s="455"/>
      <c r="Q68" s="455"/>
      <c r="R68" s="455"/>
      <c r="S68" s="455"/>
      <c r="T68" s="450" t="s">
        <v>87</v>
      </c>
      <c r="U68" s="450"/>
      <c r="V68" s="450"/>
      <c r="W68" s="450"/>
      <c r="X68" s="450"/>
      <c r="Y68" s="450"/>
      <c r="Z68" s="450"/>
      <c r="AA68" s="450"/>
      <c r="AB68" s="450"/>
      <c r="AC68" s="455">
        <v>1200</v>
      </c>
      <c r="AD68" s="455"/>
      <c r="AE68" s="455"/>
      <c r="AF68" s="455"/>
      <c r="AG68" s="455"/>
      <c r="AH68" s="455"/>
      <c r="AI68" s="455"/>
      <c r="AJ68" s="455"/>
      <c r="AK68" s="455"/>
      <c r="AL68" s="450" t="s">
        <v>88</v>
      </c>
      <c r="AM68" s="450"/>
      <c r="AN68" s="450"/>
      <c r="AO68" s="450"/>
      <c r="AP68" s="450"/>
      <c r="AQ68" s="450"/>
      <c r="AR68" s="450"/>
      <c r="AS68" s="450"/>
      <c r="AT68" s="450"/>
      <c r="AU68" s="455">
        <v>10</v>
      </c>
      <c r="AV68" s="455"/>
      <c r="AW68" s="455"/>
      <c r="AX68" s="455"/>
      <c r="AY68" s="455"/>
      <c r="AZ68" s="455"/>
      <c r="BA68" s="455"/>
      <c r="BB68" s="455"/>
      <c r="BC68" s="455"/>
      <c r="BD68" s="450" t="s">
        <v>89</v>
      </c>
      <c r="BE68" s="450"/>
      <c r="BF68" s="450"/>
      <c r="BG68" s="450"/>
      <c r="BH68" s="450"/>
      <c r="BI68" s="450"/>
      <c r="BJ68" s="450"/>
      <c r="BK68" s="450"/>
      <c r="BL68" s="450"/>
      <c r="BM68" s="452" t="s">
        <v>90</v>
      </c>
      <c r="BN68" s="453"/>
      <c r="BO68" s="453"/>
      <c r="BP68" s="453"/>
      <c r="BQ68" s="453"/>
      <c r="BR68" s="453"/>
      <c r="BS68" s="453"/>
      <c r="BT68" s="453"/>
      <c r="BU68" s="453"/>
      <c r="BV68" s="453"/>
      <c r="BW68" s="453"/>
      <c r="BX68" s="453"/>
      <c r="BY68" s="453"/>
      <c r="BZ68" s="453"/>
      <c r="CA68" s="453"/>
      <c r="CB68" s="453"/>
      <c r="CC68" s="453"/>
      <c r="CD68" s="453"/>
      <c r="CE68" s="453"/>
      <c r="CF68" s="453"/>
      <c r="CG68" s="453"/>
      <c r="CH68" s="453"/>
      <c r="CI68" s="453"/>
      <c r="CJ68" s="453"/>
      <c r="CK68" s="453"/>
      <c r="CL68" s="453"/>
      <c r="CM68" s="454"/>
      <c r="CN68" s="450" t="s">
        <v>91</v>
      </c>
      <c r="CO68" s="450"/>
      <c r="CP68" s="450"/>
      <c r="CQ68" s="450"/>
      <c r="CR68" s="450"/>
      <c r="CS68" s="450"/>
      <c r="CT68" s="450"/>
      <c r="CU68" s="450"/>
      <c r="CV68" s="450"/>
      <c r="CW68" s="455" t="s">
        <v>92</v>
      </c>
      <c r="CX68" s="455"/>
      <c r="CY68" s="455"/>
      <c r="CZ68" s="455"/>
      <c r="DA68" s="455"/>
      <c r="DB68" s="455"/>
      <c r="DC68" s="455"/>
      <c r="DD68" s="455"/>
      <c r="DE68" s="456"/>
    </row>
    <row r="69" spans="1:109" ht="15" customHeight="1">
      <c r="A69" s="449" t="s">
        <v>93</v>
      </c>
      <c r="B69" s="450"/>
      <c r="C69" s="450"/>
      <c r="D69" s="450"/>
      <c r="E69" s="450"/>
      <c r="F69" s="450"/>
      <c r="G69" s="450"/>
      <c r="H69" s="450"/>
      <c r="I69" s="450"/>
      <c r="J69" s="450"/>
      <c r="K69" s="444" t="s">
        <v>94</v>
      </c>
      <c r="L69" s="444"/>
      <c r="M69" s="444"/>
      <c r="N69" s="444"/>
      <c r="O69" s="444"/>
      <c r="P69" s="444"/>
      <c r="Q69" s="444"/>
      <c r="R69" s="444"/>
      <c r="S69" s="444"/>
      <c r="T69" s="451" t="s">
        <v>95</v>
      </c>
      <c r="U69" s="451"/>
      <c r="V69" s="451"/>
      <c r="W69" s="451"/>
      <c r="X69" s="451"/>
      <c r="Y69" s="451"/>
      <c r="Z69" s="451"/>
      <c r="AA69" s="451"/>
      <c r="AB69" s="451"/>
      <c r="AC69" s="444" t="s">
        <v>96</v>
      </c>
      <c r="AD69" s="444"/>
      <c r="AE69" s="444"/>
      <c r="AF69" s="444"/>
      <c r="AG69" s="444"/>
      <c r="AH69" s="444"/>
      <c r="AI69" s="444"/>
      <c r="AJ69" s="444"/>
      <c r="AK69" s="444"/>
      <c r="AL69" s="451" t="s">
        <v>97</v>
      </c>
      <c r="AM69" s="451"/>
      <c r="AN69" s="451"/>
      <c r="AO69" s="451"/>
      <c r="AP69" s="451"/>
      <c r="AQ69" s="451"/>
      <c r="AR69" s="451"/>
      <c r="AS69" s="451"/>
      <c r="AT69" s="451"/>
      <c r="AU69" s="444" t="s">
        <v>98</v>
      </c>
      <c r="AV69" s="444"/>
      <c r="AW69" s="444"/>
      <c r="AX69" s="444"/>
      <c r="AY69" s="444"/>
      <c r="AZ69" s="444"/>
      <c r="BA69" s="444"/>
      <c r="BB69" s="444"/>
      <c r="BC69" s="444"/>
      <c r="BD69" s="451" t="s">
        <v>99</v>
      </c>
      <c r="BE69" s="451"/>
      <c r="BF69" s="451"/>
      <c r="BG69" s="451"/>
      <c r="BH69" s="451"/>
      <c r="BI69" s="451"/>
      <c r="BJ69" s="451"/>
      <c r="BK69" s="451"/>
      <c r="BL69" s="451"/>
      <c r="BM69" s="452" t="s">
        <v>100</v>
      </c>
      <c r="BN69" s="453"/>
      <c r="BO69" s="453"/>
      <c r="BP69" s="453"/>
      <c r="BQ69" s="453"/>
      <c r="BR69" s="453"/>
      <c r="BS69" s="453"/>
      <c r="BT69" s="453"/>
      <c r="BU69" s="453"/>
      <c r="BV69" s="453"/>
      <c r="BW69" s="453"/>
      <c r="BX69" s="453"/>
      <c r="BY69" s="453"/>
      <c r="BZ69" s="453"/>
      <c r="CA69" s="453"/>
      <c r="CB69" s="453"/>
      <c r="CC69" s="453"/>
      <c r="CD69" s="453"/>
      <c r="CE69" s="453"/>
      <c r="CF69" s="453"/>
      <c r="CG69" s="453"/>
      <c r="CH69" s="453"/>
      <c r="CI69" s="453"/>
      <c r="CJ69" s="453"/>
      <c r="CK69" s="453"/>
      <c r="CL69" s="453"/>
      <c r="CM69" s="454"/>
      <c r="CN69" s="451" t="s">
        <v>101</v>
      </c>
      <c r="CO69" s="451"/>
      <c r="CP69" s="451"/>
      <c r="CQ69" s="451"/>
      <c r="CR69" s="451"/>
      <c r="CS69" s="451"/>
      <c r="CT69" s="451"/>
      <c r="CU69" s="451"/>
      <c r="CV69" s="451"/>
      <c r="CW69" s="444" t="s">
        <v>102</v>
      </c>
      <c r="CX69" s="444"/>
      <c r="CY69" s="444"/>
      <c r="CZ69" s="444"/>
      <c r="DA69" s="444"/>
      <c r="DB69" s="444"/>
      <c r="DC69" s="444"/>
      <c r="DD69" s="444"/>
      <c r="DE69" s="445"/>
    </row>
    <row r="70" spans="1:109" ht="15" customHeight="1">
      <c r="A70" s="446" t="s">
        <v>103</v>
      </c>
      <c r="B70" s="447"/>
      <c r="C70" s="447"/>
      <c r="D70" s="447"/>
      <c r="E70" s="447"/>
      <c r="F70" s="447"/>
      <c r="G70" s="447"/>
      <c r="H70" s="447"/>
      <c r="I70" s="447"/>
      <c r="J70" s="447"/>
      <c r="K70" s="447"/>
      <c r="L70" s="447"/>
      <c r="M70" s="447"/>
      <c r="N70" s="447"/>
      <c r="O70" s="447"/>
      <c r="P70" s="447"/>
      <c r="Q70" s="447"/>
      <c r="R70" s="447"/>
      <c r="S70" s="447"/>
      <c r="T70" s="447"/>
      <c r="U70" s="447"/>
      <c r="V70" s="447"/>
      <c r="W70" s="447"/>
      <c r="X70" s="447"/>
      <c r="Y70" s="447"/>
      <c r="Z70" s="447"/>
      <c r="AA70" s="447"/>
      <c r="AB70" s="447"/>
      <c r="AC70" s="447"/>
      <c r="AD70" s="447"/>
      <c r="AE70" s="447"/>
      <c r="AF70" s="447"/>
      <c r="AG70" s="447"/>
      <c r="AH70" s="447"/>
      <c r="AI70" s="447"/>
      <c r="AJ70" s="447"/>
      <c r="AK70" s="447"/>
      <c r="AL70" s="447"/>
      <c r="AM70" s="447"/>
      <c r="AN70" s="447"/>
      <c r="AO70" s="447"/>
      <c r="AP70" s="447"/>
      <c r="AQ70" s="447"/>
      <c r="AR70" s="447"/>
      <c r="AS70" s="447"/>
      <c r="AT70" s="447"/>
      <c r="AU70" s="447"/>
      <c r="AV70" s="447"/>
      <c r="AW70" s="447"/>
      <c r="AX70" s="447"/>
      <c r="AY70" s="447"/>
      <c r="AZ70" s="447"/>
      <c r="BA70" s="447"/>
      <c r="BB70" s="447"/>
      <c r="BC70" s="447"/>
      <c r="BD70" s="447"/>
      <c r="BE70" s="447"/>
      <c r="BF70" s="447"/>
      <c r="BG70" s="447"/>
      <c r="BH70" s="447"/>
      <c r="BI70" s="447"/>
      <c r="BJ70" s="447"/>
      <c r="BK70" s="447"/>
      <c r="BL70" s="447"/>
      <c r="BM70" s="447"/>
      <c r="BN70" s="447"/>
      <c r="BO70" s="447"/>
      <c r="BP70" s="447"/>
      <c r="BQ70" s="447"/>
      <c r="BR70" s="447"/>
      <c r="BS70" s="447"/>
      <c r="BT70" s="447"/>
      <c r="BU70" s="447"/>
      <c r="BV70" s="447"/>
      <c r="BW70" s="447"/>
      <c r="BX70" s="447"/>
      <c r="BY70" s="447"/>
      <c r="BZ70" s="447"/>
      <c r="CA70" s="447"/>
      <c r="CB70" s="447"/>
      <c r="CC70" s="447"/>
      <c r="CD70" s="447"/>
      <c r="CE70" s="447"/>
      <c r="CF70" s="447"/>
      <c r="CG70" s="447"/>
      <c r="CH70" s="447"/>
      <c r="CI70" s="447"/>
      <c r="CJ70" s="447"/>
      <c r="CK70" s="447"/>
      <c r="CL70" s="447"/>
      <c r="CM70" s="447"/>
      <c r="CN70" s="447"/>
      <c r="CO70" s="447"/>
      <c r="CP70" s="447"/>
      <c r="CQ70" s="447"/>
      <c r="CR70" s="447"/>
      <c r="CS70" s="447"/>
      <c r="CT70" s="447"/>
      <c r="CU70" s="447"/>
      <c r="CV70" s="447"/>
      <c r="CW70" s="447"/>
      <c r="CX70" s="447"/>
      <c r="CY70" s="447"/>
      <c r="CZ70" s="447"/>
      <c r="DA70" s="447"/>
      <c r="DB70" s="447"/>
      <c r="DC70" s="447"/>
      <c r="DD70" s="447"/>
      <c r="DE70" s="448"/>
    </row>
    <row r="71" spans="1:109" ht="15" customHeight="1">
      <c r="A71" s="3"/>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CN71" s="4"/>
      <c r="CO71" s="4"/>
      <c r="CP71" s="4"/>
      <c r="CQ71" s="4"/>
      <c r="CR71" s="4"/>
      <c r="CS71" s="4"/>
      <c r="CT71" s="4"/>
      <c r="CU71" s="4"/>
      <c r="CV71" s="4"/>
      <c r="CW71" s="4"/>
      <c r="CX71" s="4"/>
      <c r="CY71" s="4"/>
      <c r="CZ71" s="4"/>
      <c r="DA71" s="4"/>
      <c r="DB71" s="4"/>
      <c r="DC71" s="4"/>
      <c r="DD71" s="4"/>
      <c r="DE71" s="23"/>
    </row>
    <row r="72" spans="1:109" ht="15" customHeight="1">
      <c r="A72" s="6"/>
      <c r="B72" s="376" t="s">
        <v>19</v>
      </c>
      <c r="C72" s="377"/>
      <c r="D72" s="377"/>
      <c r="E72" s="377"/>
      <c r="F72" s="377"/>
      <c r="G72" s="377"/>
      <c r="H72" s="378"/>
      <c r="I72" s="376" t="s">
        <v>21</v>
      </c>
      <c r="J72" s="377"/>
      <c r="K72" s="377"/>
      <c r="L72" s="377"/>
      <c r="M72" s="377"/>
      <c r="N72" s="377"/>
      <c r="O72" s="378"/>
      <c r="P72" s="376" t="s">
        <v>104</v>
      </c>
      <c r="Q72" s="377"/>
      <c r="R72" s="377"/>
      <c r="S72" s="377"/>
      <c r="T72" s="377"/>
      <c r="U72" s="377"/>
      <c r="V72" s="378"/>
      <c r="W72" s="376" t="s">
        <v>26</v>
      </c>
      <c r="X72" s="377"/>
      <c r="Y72" s="377"/>
      <c r="Z72" s="377"/>
      <c r="AA72" s="377"/>
      <c r="AB72" s="377"/>
      <c r="AC72" s="378"/>
      <c r="AD72" s="376" t="s">
        <v>24</v>
      </c>
      <c r="AE72" s="377"/>
      <c r="AF72" s="377"/>
      <c r="AG72" s="377"/>
      <c r="AH72" s="377"/>
      <c r="AI72" s="377"/>
      <c r="AJ72" s="378"/>
      <c r="AK72" s="376" t="s">
        <v>25</v>
      </c>
      <c r="AL72" s="377"/>
      <c r="AM72" s="377"/>
      <c r="AN72" s="377"/>
      <c r="AO72" s="377"/>
      <c r="AP72" s="377"/>
      <c r="AQ72" s="378"/>
      <c r="AR72" s="376" t="s">
        <v>110</v>
      </c>
      <c r="AS72" s="377"/>
      <c r="AT72" s="377"/>
      <c r="AU72" s="377"/>
      <c r="AV72" s="377"/>
      <c r="AW72" s="377"/>
      <c r="AX72" s="378"/>
      <c r="AY72" s="376" t="s">
        <v>111</v>
      </c>
      <c r="AZ72" s="377"/>
      <c r="BA72" s="377"/>
      <c r="BB72" s="377"/>
      <c r="BC72" s="377"/>
      <c r="BD72" s="377"/>
      <c r="BE72" s="378"/>
      <c r="BF72" s="376" t="s">
        <v>108</v>
      </c>
      <c r="BG72" s="377"/>
      <c r="BH72" s="377"/>
      <c r="BI72" s="377"/>
      <c r="BJ72" s="377"/>
      <c r="BK72" s="377"/>
      <c r="BL72" s="378"/>
      <c r="BM72" s="376" t="s">
        <v>109</v>
      </c>
      <c r="BN72" s="377"/>
      <c r="BO72" s="377"/>
      <c r="BP72" s="377"/>
      <c r="BQ72" s="377"/>
      <c r="BR72" s="377"/>
      <c r="BS72" s="377"/>
      <c r="BT72" s="377"/>
      <c r="BU72" s="377"/>
      <c r="BV72" s="377"/>
      <c r="BW72" s="377"/>
      <c r="BX72" s="377"/>
      <c r="BY72" s="377"/>
      <c r="BZ72" s="377"/>
      <c r="CA72" s="377"/>
      <c r="CB72" s="377"/>
      <c r="CC72" s="377"/>
      <c r="CD72" s="377"/>
      <c r="CE72" s="377"/>
      <c r="CF72" s="377"/>
      <c r="CG72" s="377"/>
      <c r="CH72" s="377"/>
      <c r="CI72" s="377"/>
      <c r="CJ72" s="377"/>
      <c r="CK72" s="377"/>
      <c r="CL72" s="378"/>
      <c r="CM72" s="376" t="s">
        <v>30</v>
      </c>
      <c r="CN72" s="377"/>
      <c r="CO72" s="377"/>
      <c r="CP72" s="377"/>
      <c r="CQ72" s="377"/>
      <c r="CR72" s="377"/>
      <c r="CS72" s="377"/>
      <c r="CT72" s="377"/>
      <c r="CU72" s="377"/>
      <c r="CV72" s="377"/>
      <c r="CW72" s="377"/>
      <c r="CX72" s="377"/>
      <c r="CY72" s="377"/>
      <c r="CZ72" s="377"/>
      <c r="DA72" s="377"/>
      <c r="DB72" s="377"/>
      <c r="DC72" s="377"/>
      <c r="DD72" s="378"/>
      <c r="DE72" s="7"/>
    </row>
    <row r="73" spans="1:109" ht="15" customHeight="1">
      <c r="A73" s="6"/>
      <c r="B73" s="379"/>
      <c r="C73" s="380"/>
      <c r="D73" s="380"/>
      <c r="E73" s="380"/>
      <c r="F73" s="380"/>
      <c r="G73" s="380"/>
      <c r="H73" s="381"/>
      <c r="I73" s="379"/>
      <c r="J73" s="380"/>
      <c r="K73" s="380"/>
      <c r="L73" s="380"/>
      <c r="M73" s="380"/>
      <c r="N73" s="380"/>
      <c r="O73" s="381"/>
      <c r="P73" s="379"/>
      <c r="Q73" s="380"/>
      <c r="R73" s="380"/>
      <c r="S73" s="380"/>
      <c r="T73" s="380"/>
      <c r="U73" s="380"/>
      <c r="V73" s="381"/>
      <c r="W73" s="379"/>
      <c r="X73" s="380"/>
      <c r="Y73" s="380"/>
      <c r="Z73" s="380"/>
      <c r="AA73" s="380"/>
      <c r="AB73" s="380"/>
      <c r="AC73" s="381"/>
      <c r="AD73" s="379"/>
      <c r="AE73" s="380"/>
      <c r="AF73" s="380"/>
      <c r="AG73" s="380"/>
      <c r="AH73" s="380"/>
      <c r="AI73" s="380"/>
      <c r="AJ73" s="381"/>
      <c r="AK73" s="379"/>
      <c r="AL73" s="380"/>
      <c r="AM73" s="380"/>
      <c r="AN73" s="380"/>
      <c r="AO73" s="380"/>
      <c r="AP73" s="380"/>
      <c r="AQ73" s="381"/>
      <c r="AR73" s="379"/>
      <c r="AS73" s="380"/>
      <c r="AT73" s="380"/>
      <c r="AU73" s="380"/>
      <c r="AV73" s="380"/>
      <c r="AW73" s="380"/>
      <c r="AX73" s="381"/>
      <c r="AY73" s="379"/>
      <c r="AZ73" s="380"/>
      <c r="BA73" s="380"/>
      <c r="BB73" s="380"/>
      <c r="BC73" s="380"/>
      <c r="BD73" s="380"/>
      <c r="BE73" s="381"/>
      <c r="BF73" s="379"/>
      <c r="BG73" s="380"/>
      <c r="BH73" s="380"/>
      <c r="BI73" s="380"/>
      <c r="BJ73" s="380"/>
      <c r="BK73" s="380"/>
      <c r="BL73" s="381"/>
      <c r="BM73" s="379"/>
      <c r="BN73" s="380"/>
      <c r="BO73" s="380"/>
      <c r="BP73" s="380"/>
      <c r="BQ73" s="380"/>
      <c r="BR73" s="380"/>
      <c r="BS73" s="380"/>
      <c r="BT73" s="380"/>
      <c r="BU73" s="380"/>
      <c r="BV73" s="380"/>
      <c r="BW73" s="380"/>
      <c r="BX73" s="380"/>
      <c r="BY73" s="380"/>
      <c r="BZ73" s="380"/>
      <c r="CA73" s="380"/>
      <c r="CB73" s="380"/>
      <c r="CC73" s="380"/>
      <c r="CD73" s="380"/>
      <c r="CE73" s="380"/>
      <c r="CF73" s="380"/>
      <c r="CG73" s="380"/>
      <c r="CH73" s="380"/>
      <c r="CI73" s="380"/>
      <c r="CJ73" s="380"/>
      <c r="CK73" s="380"/>
      <c r="CL73" s="381"/>
      <c r="CM73" s="379"/>
      <c r="CN73" s="380"/>
      <c r="CO73" s="380"/>
      <c r="CP73" s="380"/>
      <c r="CQ73" s="380"/>
      <c r="CR73" s="380"/>
      <c r="CS73" s="380"/>
      <c r="CT73" s="380"/>
      <c r="CU73" s="380"/>
      <c r="CV73" s="380"/>
      <c r="CW73" s="380"/>
      <c r="CX73" s="380"/>
      <c r="CY73" s="380"/>
      <c r="CZ73" s="380"/>
      <c r="DA73" s="380"/>
      <c r="DB73" s="380"/>
      <c r="DC73" s="380"/>
      <c r="DD73" s="381"/>
      <c r="DE73" s="7"/>
    </row>
    <row r="74" spans="1:109" ht="15" customHeight="1">
      <c r="A74" s="6"/>
      <c r="B74" s="353"/>
      <c r="C74" s="354"/>
      <c r="D74" s="354"/>
      <c r="E74" s="354"/>
      <c r="F74" s="354"/>
      <c r="G74" s="354"/>
      <c r="H74" s="355"/>
      <c r="I74" s="353"/>
      <c r="J74" s="354"/>
      <c r="K74" s="354"/>
      <c r="L74" s="354"/>
      <c r="M74" s="354"/>
      <c r="N74" s="354"/>
      <c r="O74" s="355"/>
      <c r="P74" s="353"/>
      <c r="Q74" s="354"/>
      <c r="R74" s="354"/>
      <c r="S74" s="354"/>
      <c r="T74" s="354"/>
      <c r="U74" s="354"/>
      <c r="V74" s="355"/>
      <c r="W74" s="395"/>
      <c r="X74" s="396"/>
      <c r="Y74" s="396"/>
      <c r="Z74" s="396"/>
      <c r="AA74" s="396"/>
      <c r="AB74" s="396"/>
      <c r="AC74" s="397"/>
      <c r="AD74" s="395"/>
      <c r="AE74" s="396"/>
      <c r="AF74" s="396"/>
      <c r="AG74" s="396"/>
      <c r="AH74" s="396"/>
      <c r="AI74" s="396"/>
      <c r="AJ74" s="397"/>
      <c r="AK74" s="395"/>
      <c r="AL74" s="396"/>
      <c r="AM74" s="396"/>
      <c r="AN74" s="396"/>
      <c r="AO74" s="396"/>
      <c r="AP74" s="396"/>
      <c r="AQ74" s="397"/>
      <c r="AR74" s="395"/>
      <c r="AS74" s="396"/>
      <c r="AT74" s="396"/>
      <c r="AU74" s="396"/>
      <c r="AV74" s="396"/>
      <c r="AW74" s="396"/>
      <c r="AX74" s="397"/>
      <c r="AY74" s="395"/>
      <c r="AZ74" s="396"/>
      <c r="BA74" s="396"/>
      <c r="BB74" s="396"/>
      <c r="BC74" s="396"/>
      <c r="BD74" s="396"/>
      <c r="BE74" s="397"/>
      <c r="BF74" s="395"/>
      <c r="BG74" s="396"/>
      <c r="BH74" s="396"/>
      <c r="BI74" s="396"/>
      <c r="BJ74" s="396"/>
      <c r="BK74" s="396"/>
      <c r="BL74" s="397"/>
      <c r="BM74" s="353"/>
      <c r="BN74" s="354"/>
      <c r="BO74" s="354"/>
      <c r="BP74" s="354"/>
      <c r="BQ74" s="354"/>
      <c r="BR74" s="354"/>
      <c r="BS74" s="354"/>
      <c r="BT74" s="354"/>
      <c r="BU74" s="354"/>
      <c r="BV74" s="354"/>
      <c r="BW74" s="354"/>
      <c r="BX74" s="354"/>
      <c r="BY74" s="354"/>
      <c r="BZ74" s="354"/>
      <c r="CA74" s="354"/>
      <c r="CB74" s="354"/>
      <c r="CC74" s="354"/>
      <c r="CD74" s="354"/>
      <c r="CE74" s="354"/>
      <c r="CF74" s="354"/>
      <c r="CG74" s="354"/>
      <c r="CH74" s="354"/>
      <c r="CI74" s="354"/>
      <c r="CJ74" s="354"/>
      <c r="CK74" s="354"/>
      <c r="CL74" s="355"/>
      <c r="CM74" s="353"/>
      <c r="CN74" s="354"/>
      <c r="CO74" s="354"/>
      <c r="CP74" s="354"/>
      <c r="CQ74" s="354"/>
      <c r="CR74" s="354"/>
      <c r="CS74" s="354"/>
      <c r="CT74" s="354"/>
      <c r="CU74" s="354"/>
      <c r="CV74" s="354"/>
      <c r="CW74" s="354"/>
      <c r="CX74" s="354"/>
      <c r="CY74" s="354"/>
      <c r="CZ74" s="354"/>
      <c r="DA74" s="354"/>
      <c r="DB74" s="354"/>
      <c r="DC74" s="354"/>
      <c r="DD74" s="355"/>
      <c r="DE74" s="7"/>
    </row>
    <row r="75" spans="1:109" ht="15" customHeight="1">
      <c r="A75" s="6"/>
      <c r="B75" s="356"/>
      <c r="C75" s="357"/>
      <c r="D75" s="357"/>
      <c r="E75" s="357"/>
      <c r="F75" s="357"/>
      <c r="G75" s="357"/>
      <c r="H75" s="358"/>
      <c r="I75" s="356"/>
      <c r="J75" s="357"/>
      <c r="K75" s="357"/>
      <c r="L75" s="357"/>
      <c r="M75" s="357"/>
      <c r="N75" s="357"/>
      <c r="O75" s="358"/>
      <c r="P75" s="356"/>
      <c r="Q75" s="357"/>
      <c r="R75" s="357"/>
      <c r="S75" s="357"/>
      <c r="T75" s="357"/>
      <c r="U75" s="357"/>
      <c r="V75" s="358"/>
      <c r="W75" s="398"/>
      <c r="X75" s="399"/>
      <c r="Y75" s="399"/>
      <c r="Z75" s="399"/>
      <c r="AA75" s="399"/>
      <c r="AB75" s="399"/>
      <c r="AC75" s="400"/>
      <c r="AD75" s="398"/>
      <c r="AE75" s="399"/>
      <c r="AF75" s="399"/>
      <c r="AG75" s="399"/>
      <c r="AH75" s="399"/>
      <c r="AI75" s="399"/>
      <c r="AJ75" s="400"/>
      <c r="AK75" s="398"/>
      <c r="AL75" s="399"/>
      <c r="AM75" s="399"/>
      <c r="AN75" s="399"/>
      <c r="AO75" s="399"/>
      <c r="AP75" s="399"/>
      <c r="AQ75" s="400"/>
      <c r="AR75" s="398"/>
      <c r="AS75" s="399"/>
      <c r="AT75" s="399"/>
      <c r="AU75" s="399"/>
      <c r="AV75" s="399"/>
      <c r="AW75" s="399"/>
      <c r="AX75" s="400"/>
      <c r="AY75" s="398"/>
      <c r="AZ75" s="399"/>
      <c r="BA75" s="399"/>
      <c r="BB75" s="399"/>
      <c r="BC75" s="399"/>
      <c r="BD75" s="399"/>
      <c r="BE75" s="400"/>
      <c r="BF75" s="398"/>
      <c r="BG75" s="399"/>
      <c r="BH75" s="399"/>
      <c r="BI75" s="399"/>
      <c r="BJ75" s="399"/>
      <c r="BK75" s="399"/>
      <c r="BL75" s="400"/>
      <c r="BM75" s="356"/>
      <c r="BN75" s="357"/>
      <c r="BO75" s="357"/>
      <c r="BP75" s="357"/>
      <c r="BQ75" s="357"/>
      <c r="BR75" s="357"/>
      <c r="BS75" s="357"/>
      <c r="BT75" s="357"/>
      <c r="BU75" s="357"/>
      <c r="BV75" s="357"/>
      <c r="BW75" s="357"/>
      <c r="BX75" s="357"/>
      <c r="BY75" s="357"/>
      <c r="BZ75" s="357"/>
      <c r="CA75" s="357"/>
      <c r="CB75" s="357"/>
      <c r="CC75" s="357"/>
      <c r="CD75" s="357"/>
      <c r="CE75" s="357"/>
      <c r="CF75" s="357"/>
      <c r="CG75" s="357"/>
      <c r="CH75" s="357"/>
      <c r="CI75" s="357"/>
      <c r="CJ75" s="357"/>
      <c r="CK75" s="357"/>
      <c r="CL75" s="358"/>
      <c r="CM75" s="356"/>
      <c r="CN75" s="357"/>
      <c r="CO75" s="357"/>
      <c r="CP75" s="357"/>
      <c r="CQ75" s="357"/>
      <c r="CR75" s="357"/>
      <c r="CS75" s="357"/>
      <c r="CT75" s="357"/>
      <c r="CU75" s="357"/>
      <c r="CV75" s="357"/>
      <c r="CW75" s="357"/>
      <c r="CX75" s="357"/>
      <c r="CY75" s="357"/>
      <c r="CZ75" s="357"/>
      <c r="DA75" s="357"/>
      <c r="DB75" s="357"/>
      <c r="DC75" s="357"/>
      <c r="DD75" s="358"/>
      <c r="DE75" s="7"/>
    </row>
    <row r="76" spans="1:109" ht="15" customHeight="1">
      <c r="A76" s="3"/>
      <c r="B76" s="382"/>
      <c r="C76" s="383"/>
      <c r="D76" s="383"/>
      <c r="E76" s="383"/>
      <c r="F76" s="383"/>
      <c r="G76" s="383"/>
      <c r="H76" s="384"/>
      <c r="I76" s="382"/>
      <c r="J76" s="383"/>
      <c r="K76" s="383"/>
      <c r="L76" s="383"/>
      <c r="M76" s="383"/>
      <c r="N76" s="383"/>
      <c r="O76" s="384"/>
      <c r="P76" s="382"/>
      <c r="Q76" s="383"/>
      <c r="R76" s="383"/>
      <c r="S76" s="383"/>
      <c r="T76" s="383"/>
      <c r="U76" s="383"/>
      <c r="V76" s="384"/>
      <c r="W76" s="408"/>
      <c r="X76" s="409"/>
      <c r="Y76" s="409"/>
      <c r="Z76" s="409"/>
      <c r="AA76" s="409"/>
      <c r="AB76" s="409"/>
      <c r="AC76" s="410"/>
      <c r="AD76" s="408"/>
      <c r="AE76" s="409"/>
      <c r="AF76" s="409"/>
      <c r="AG76" s="409"/>
      <c r="AH76" s="409"/>
      <c r="AI76" s="409"/>
      <c r="AJ76" s="410"/>
      <c r="AK76" s="408"/>
      <c r="AL76" s="409"/>
      <c r="AM76" s="409"/>
      <c r="AN76" s="409"/>
      <c r="AO76" s="409"/>
      <c r="AP76" s="409"/>
      <c r="AQ76" s="410"/>
      <c r="AR76" s="408"/>
      <c r="AS76" s="409"/>
      <c r="AT76" s="409"/>
      <c r="AU76" s="409"/>
      <c r="AV76" s="409"/>
      <c r="AW76" s="409"/>
      <c r="AX76" s="410"/>
      <c r="AY76" s="408"/>
      <c r="AZ76" s="409"/>
      <c r="BA76" s="409"/>
      <c r="BB76" s="409"/>
      <c r="BC76" s="409"/>
      <c r="BD76" s="409"/>
      <c r="BE76" s="410"/>
      <c r="BF76" s="408"/>
      <c r="BG76" s="409"/>
      <c r="BH76" s="409"/>
      <c r="BI76" s="409"/>
      <c r="BJ76" s="409"/>
      <c r="BK76" s="409"/>
      <c r="BL76" s="410"/>
      <c r="BM76" s="382"/>
      <c r="BN76" s="383"/>
      <c r="BO76" s="383"/>
      <c r="BP76" s="383"/>
      <c r="BQ76" s="383"/>
      <c r="BR76" s="383"/>
      <c r="BS76" s="383"/>
      <c r="BT76" s="383"/>
      <c r="BU76" s="383"/>
      <c r="BV76" s="383"/>
      <c r="BW76" s="383"/>
      <c r="BX76" s="383"/>
      <c r="BY76" s="383"/>
      <c r="BZ76" s="383"/>
      <c r="CA76" s="383"/>
      <c r="CB76" s="383"/>
      <c r="CC76" s="383"/>
      <c r="CD76" s="383"/>
      <c r="CE76" s="383"/>
      <c r="CF76" s="383"/>
      <c r="CG76" s="383"/>
      <c r="CH76" s="383"/>
      <c r="CI76" s="383"/>
      <c r="CJ76" s="383"/>
      <c r="CK76" s="383"/>
      <c r="CL76" s="384"/>
      <c r="CM76" s="382"/>
      <c r="CN76" s="383"/>
      <c r="CO76" s="383"/>
      <c r="CP76" s="383"/>
      <c r="CQ76" s="383"/>
      <c r="CR76" s="383"/>
      <c r="CS76" s="383"/>
      <c r="CT76" s="383"/>
      <c r="CU76" s="383"/>
      <c r="CV76" s="383"/>
      <c r="CW76" s="383"/>
      <c r="CX76" s="383"/>
      <c r="CY76" s="383"/>
      <c r="CZ76" s="383"/>
      <c r="DA76" s="383"/>
      <c r="DB76" s="383"/>
      <c r="DC76" s="383"/>
      <c r="DD76" s="384"/>
      <c r="DE76" s="7"/>
    </row>
    <row r="77" spans="1:109" ht="15" customHeight="1">
      <c r="A77" s="6"/>
      <c r="B77" s="385"/>
      <c r="C77" s="386"/>
      <c r="D77" s="386"/>
      <c r="E77" s="386"/>
      <c r="F77" s="386"/>
      <c r="G77" s="386"/>
      <c r="H77" s="387"/>
      <c r="I77" s="385"/>
      <c r="J77" s="386"/>
      <c r="K77" s="386"/>
      <c r="L77" s="386"/>
      <c r="M77" s="386"/>
      <c r="N77" s="386"/>
      <c r="O77" s="387"/>
      <c r="P77" s="385"/>
      <c r="Q77" s="386"/>
      <c r="R77" s="386"/>
      <c r="S77" s="386"/>
      <c r="T77" s="386"/>
      <c r="U77" s="386"/>
      <c r="V77" s="387"/>
      <c r="W77" s="411"/>
      <c r="X77" s="412"/>
      <c r="Y77" s="412"/>
      <c r="Z77" s="412"/>
      <c r="AA77" s="412"/>
      <c r="AB77" s="412"/>
      <c r="AC77" s="413"/>
      <c r="AD77" s="411"/>
      <c r="AE77" s="412"/>
      <c r="AF77" s="412"/>
      <c r="AG77" s="412"/>
      <c r="AH77" s="412"/>
      <c r="AI77" s="412"/>
      <c r="AJ77" s="413"/>
      <c r="AK77" s="411"/>
      <c r="AL77" s="412"/>
      <c r="AM77" s="412"/>
      <c r="AN77" s="412"/>
      <c r="AO77" s="412"/>
      <c r="AP77" s="412"/>
      <c r="AQ77" s="413"/>
      <c r="AR77" s="411"/>
      <c r="AS77" s="412"/>
      <c r="AT77" s="412"/>
      <c r="AU77" s="412"/>
      <c r="AV77" s="412"/>
      <c r="AW77" s="412"/>
      <c r="AX77" s="413"/>
      <c r="AY77" s="411"/>
      <c r="AZ77" s="412"/>
      <c r="BA77" s="412"/>
      <c r="BB77" s="412"/>
      <c r="BC77" s="412"/>
      <c r="BD77" s="412"/>
      <c r="BE77" s="413"/>
      <c r="BF77" s="411"/>
      <c r="BG77" s="412"/>
      <c r="BH77" s="412"/>
      <c r="BI77" s="412"/>
      <c r="BJ77" s="412"/>
      <c r="BK77" s="412"/>
      <c r="BL77" s="413"/>
      <c r="BM77" s="385"/>
      <c r="BN77" s="386"/>
      <c r="BO77" s="386"/>
      <c r="BP77" s="386"/>
      <c r="BQ77" s="386"/>
      <c r="BR77" s="386"/>
      <c r="BS77" s="386"/>
      <c r="BT77" s="386"/>
      <c r="BU77" s="386"/>
      <c r="BV77" s="386"/>
      <c r="BW77" s="386"/>
      <c r="BX77" s="386"/>
      <c r="BY77" s="386"/>
      <c r="BZ77" s="386"/>
      <c r="CA77" s="386"/>
      <c r="CB77" s="386"/>
      <c r="CC77" s="386"/>
      <c r="CD77" s="386"/>
      <c r="CE77" s="386"/>
      <c r="CF77" s="386"/>
      <c r="CG77" s="386"/>
      <c r="CH77" s="386"/>
      <c r="CI77" s="386"/>
      <c r="CJ77" s="386"/>
      <c r="CK77" s="386"/>
      <c r="CL77" s="387"/>
      <c r="CM77" s="385"/>
      <c r="CN77" s="386"/>
      <c r="CO77" s="386"/>
      <c r="CP77" s="386"/>
      <c r="CQ77" s="386"/>
      <c r="CR77" s="386"/>
      <c r="CS77" s="386"/>
      <c r="CT77" s="386"/>
      <c r="CU77" s="386"/>
      <c r="CV77" s="386"/>
      <c r="CW77" s="386"/>
      <c r="CX77" s="386"/>
      <c r="CY77" s="386"/>
      <c r="CZ77" s="386"/>
      <c r="DA77" s="386"/>
      <c r="DB77" s="386"/>
      <c r="DC77" s="386"/>
      <c r="DD77" s="387"/>
      <c r="DE77" s="7"/>
    </row>
    <row r="78" spans="1:109" ht="15" customHeight="1">
      <c r="A78" s="8"/>
      <c r="B78" s="353"/>
      <c r="C78" s="354"/>
      <c r="D78" s="354"/>
      <c r="E78" s="354"/>
      <c r="F78" s="354"/>
      <c r="G78" s="354"/>
      <c r="H78" s="355"/>
      <c r="I78" s="352"/>
      <c r="J78" s="352"/>
      <c r="K78" s="352"/>
      <c r="L78" s="352"/>
      <c r="M78" s="352"/>
      <c r="N78" s="352"/>
      <c r="O78" s="352"/>
      <c r="P78" s="352"/>
      <c r="Q78" s="352"/>
      <c r="R78" s="352"/>
      <c r="S78" s="352"/>
      <c r="T78" s="352"/>
      <c r="U78" s="352"/>
      <c r="V78" s="352"/>
      <c r="W78" s="360"/>
      <c r="X78" s="360"/>
      <c r="Y78" s="360"/>
      <c r="Z78" s="360"/>
      <c r="AA78" s="360"/>
      <c r="AB78" s="360"/>
      <c r="AC78" s="360"/>
      <c r="AD78" s="360"/>
      <c r="AE78" s="360"/>
      <c r="AF78" s="360"/>
      <c r="AG78" s="360"/>
      <c r="AH78" s="360"/>
      <c r="AI78" s="360"/>
      <c r="AJ78" s="360"/>
      <c r="AK78" s="360"/>
      <c r="AL78" s="360"/>
      <c r="AM78" s="360"/>
      <c r="AN78" s="360"/>
      <c r="AO78" s="360"/>
      <c r="AP78" s="360"/>
      <c r="AQ78" s="360"/>
      <c r="AR78" s="360"/>
      <c r="AS78" s="360"/>
      <c r="AT78" s="360"/>
      <c r="AU78" s="360"/>
      <c r="AV78" s="360"/>
      <c r="AW78" s="360"/>
      <c r="AX78" s="360"/>
      <c r="AY78" s="360"/>
      <c r="AZ78" s="360"/>
      <c r="BA78" s="360"/>
      <c r="BB78" s="360"/>
      <c r="BC78" s="360"/>
      <c r="BD78" s="360"/>
      <c r="BE78" s="360"/>
      <c r="BF78" s="360"/>
      <c r="BG78" s="360"/>
      <c r="BH78" s="360"/>
      <c r="BI78" s="360"/>
      <c r="BJ78" s="360"/>
      <c r="BK78" s="360"/>
      <c r="BL78" s="360"/>
      <c r="BM78" s="352"/>
      <c r="BN78" s="352"/>
      <c r="BO78" s="352"/>
      <c r="BP78" s="352"/>
      <c r="BQ78" s="352"/>
      <c r="BR78" s="352"/>
      <c r="BS78" s="352"/>
      <c r="BT78" s="352"/>
      <c r="BU78" s="352"/>
      <c r="BV78" s="352"/>
      <c r="BW78" s="352"/>
      <c r="BX78" s="352"/>
      <c r="BY78" s="352"/>
      <c r="BZ78" s="352"/>
      <c r="CA78" s="352"/>
      <c r="CB78" s="352"/>
      <c r="CC78" s="352"/>
      <c r="CD78" s="352"/>
      <c r="CE78" s="352"/>
      <c r="CF78" s="352"/>
      <c r="CG78" s="352"/>
      <c r="CH78" s="352"/>
      <c r="CI78" s="352"/>
      <c r="CJ78" s="352"/>
      <c r="CK78" s="352"/>
      <c r="CL78" s="352"/>
      <c r="CM78" s="352"/>
      <c r="CN78" s="352"/>
      <c r="CO78" s="352"/>
      <c r="CP78" s="352"/>
      <c r="CQ78" s="352"/>
      <c r="CR78" s="352"/>
      <c r="CS78" s="352"/>
      <c r="CT78" s="352"/>
      <c r="CU78" s="352"/>
      <c r="CV78" s="352"/>
      <c r="CW78" s="352"/>
      <c r="CX78" s="352"/>
      <c r="CY78" s="352"/>
      <c r="CZ78" s="352"/>
      <c r="DA78" s="352"/>
      <c r="DB78" s="352"/>
      <c r="DC78" s="352"/>
      <c r="DD78" s="352"/>
      <c r="DE78" s="7"/>
    </row>
    <row r="79" spans="1:109" ht="15" customHeight="1">
      <c r="A79" s="8"/>
      <c r="B79" s="356"/>
      <c r="C79" s="357"/>
      <c r="D79" s="357"/>
      <c r="E79" s="357"/>
      <c r="F79" s="357"/>
      <c r="G79" s="357"/>
      <c r="H79" s="358"/>
      <c r="I79" s="352"/>
      <c r="J79" s="352"/>
      <c r="K79" s="352"/>
      <c r="L79" s="352"/>
      <c r="M79" s="352"/>
      <c r="N79" s="352"/>
      <c r="O79" s="352"/>
      <c r="P79" s="352"/>
      <c r="Q79" s="352"/>
      <c r="R79" s="352"/>
      <c r="S79" s="352"/>
      <c r="T79" s="352"/>
      <c r="U79" s="352"/>
      <c r="V79" s="352"/>
      <c r="W79" s="360"/>
      <c r="X79" s="360"/>
      <c r="Y79" s="360"/>
      <c r="Z79" s="360"/>
      <c r="AA79" s="360"/>
      <c r="AB79" s="360"/>
      <c r="AC79" s="360"/>
      <c r="AD79" s="360"/>
      <c r="AE79" s="360"/>
      <c r="AF79" s="360"/>
      <c r="AG79" s="360"/>
      <c r="AH79" s="360"/>
      <c r="AI79" s="360"/>
      <c r="AJ79" s="360"/>
      <c r="AK79" s="360"/>
      <c r="AL79" s="360"/>
      <c r="AM79" s="360"/>
      <c r="AN79" s="360"/>
      <c r="AO79" s="360"/>
      <c r="AP79" s="360"/>
      <c r="AQ79" s="360"/>
      <c r="AR79" s="360"/>
      <c r="AS79" s="360"/>
      <c r="AT79" s="360"/>
      <c r="AU79" s="360"/>
      <c r="AV79" s="360"/>
      <c r="AW79" s="360"/>
      <c r="AX79" s="360"/>
      <c r="AY79" s="360"/>
      <c r="AZ79" s="360"/>
      <c r="BA79" s="360"/>
      <c r="BB79" s="360"/>
      <c r="BC79" s="360"/>
      <c r="BD79" s="360"/>
      <c r="BE79" s="360"/>
      <c r="BF79" s="360"/>
      <c r="BG79" s="360"/>
      <c r="BH79" s="360"/>
      <c r="BI79" s="360"/>
      <c r="BJ79" s="360"/>
      <c r="BK79" s="360"/>
      <c r="BL79" s="360"/>
      <c r="BM79" s="352"/>
      <c r="BN79" s="352"/>
      <c r="BO79" s="352"/>
      <c r="BP79" s="352"/>
      <c r="BQ79" s="352"/>
      <c r="BR79" s="352"/>
      <c r="BS79" s="352"/>
      <c r="BT79" s="352"/>
      <c r="BU79" s="352"/>
      <c r="BV79" s="352"/>
      <c r="BW79" s="352"/>
      <c r="BX79" s="352"/>
      <c r="BY79" s="352"/>
      <c r="BZ79" s="352"/>
      <c r="CA79" s="352"/>
      <c r="CB79" s="352"/>
      <c r="CC79" s="352"/>
      <c r="CD79" s="352"/>
      <c r="CE79" s="352"/>
      <c r="CF79" s="352"/>
      <c r="CG79" s="352"/>
      <c r="CH79" s="352"/>
      <c r="CI79" s="352"/>
      <c r="CJ79" s="352"/>
      <c r="CK79" s="352"/>
      <c r="CL79" s="352"/>
      <c r="CM79" s="352"/>
      <c r="CN79" s="352"/>
      <c r="CO79" s="352"/>
      <c r="CP79" s="352"/>
      <c r="CQ79" s="352"/>
      <c r="CR79" s="352"/>
      <c r="CS79" s="352"/>
      <c r="CT79" s="352"/>
      <c r="CU79" s="352"/>
      <c r="CV79" s="352"/>
      <c r="CW79" s="352"/>
      <c r="CX79" s="352"/>
      <c r="CY79" s="352"/>
      <c r="CZ79" s="352"/>
      <c r="DA79" s="352"/>
      <c r="DB79" s="352"/>
      <c r="DC79" s="352"/>
      <c r="DD79" s="352"/>
      <c r="DE79" s="7"/>
    </row>
    <row r="80" spans="1:109" ht="15" customHeight="1">
      <c r="A80" s="3"/>
      <c r="B80" s="382"/>
      <c r="C80" s="383"/>
      <c r="D80" s="383"/>
      <c r="E80" s="383"/>
      <c r="F80" s="383"/>
      <c r="G80" s="383"/>
      <c r="H80" s="384"/>
      <c r="I80" s="351"/>
      <c r="J80" s="351"/>
      <c r="K80" s="351"/>
      <c r="L80" s="351"/>
      <c r="M80" s="351"/>
      <c r="N80" s="351"/>
      <c r="O80" s="351"/>
      <c r="P80" s="351"/>
      <c r="Q80" s="351"/>
      <c r="R80" s="351"/>
      <c r="S80" s="351"/>
      <c r="T80" s="351"/>
      <c r="U80" s="351"/>
      <c r="V80" s="351"/>
      <c r="W80" s="359"/>
      <c r="X80" s="359"/>
      <c r="Y80" s="359"/>
      <c r="Z80" s="359"/>
      <c r="AA80" s="359"/>
      <c r="AB80" s="359"/>
      <c r="AC80" s="359"/>
      <c r="AD80" s="359"/>
      <c r="AE80" s="359"/>
      <c r="AF80" s="359"/>
      <c r="AG80" s="359"/>
      <c r="AH80" s="359"/>
      <c r="AI80" s="359"/>
      <c r="AJ80" s="359"/>
      <c r="AK80" s="359"/>
      <c r="AL80" s="359"/>
      <c r="AM80" s="359"/>
      <c r="AN80" s="359"/>
      <c r="AO80" s="359"/>
      <c r="AP80" s="359"/>
      <c r="AQ80" s="359"/>
      <c r="AR80" s="359"/>
      <c r="AS80" s="359"/>
      <c r="AT80" s="359"/>
      <c r="AU80" s="359"/>
      <c r="AV80" s="359"/>
      <c r="AW80" s="359"/>
      <c r="AX80" s="359"/>
      <c r="AY80" s="359"/>
      <c r="AZ80" s="359"/>
      <c r="BA80" s="359"/>
      <c r="BB80" s="359"/>
      <c r="BC80" s="359"/>
      <c r="BD80" s="359"/>
      <c r="BE80" s="359"/>
      <c r="BF80" s="359"/>
      <c r="BG80" s="359"/>
      <c r="BH80" s="359"/>
      <c r="BI80" s="359"/>
      <c r="BJ80" s="359"/>
      <c r="BK80" s="359"/>
      <c r="BL80" s="359"/>
      <c r="BM80" s="351"/>
      <c r="BN80" s="351"/>
      <c r="BO80" s="351"/>
      <c r="BP80" s="351"/>
      <c r="BQ80" s="351"/>
      <c r="BR80" s="351"/>
      <c r="BS80" s="351"/>
      <c r="BT80" s="351"/>
      <c r="BU80" s="351"/>
      <c r="BV80" s="351"/>
      <c r="BW80" s="351"/>
      <c r="BX80" s="351"/>
      <c r="BY80" s="351"/>
      <c r="BZ80" s="351"/>
      <c r="CA80" s="351"/>
      <c r="CB80" s="351"/>
      <c r="CC80" s="351"/>
      <c r="CD80" s="351"/>
      <c r="CE80" s="351"/>
      <c r="CF80" s="351"/>
      <c r="CG80" s="351"/>
      <c r="CH80" s="351"/>
      <c r="CI80" s="351"/>
      <c r="CJ80" s="351"/>
      <c r="CK80" s="351"/>
      <c r="CL80" s="351"/>
      <c r="CM80" s="351"/>
      <c r="CN80" s="351"/>
      <c r="CO80" s="351"/>
      <c r="CP80" s="351"/>
      <c r="CQ80" s="351"/>
      <c r="CR80" s="351"/>
      <c r="CS80" s="351"/>
      <c r="CT80" s="351"/>
      <c r="CU80" s="351"/>
      <c r="CV80" s="351"/>
      <c r="CW80" s="351"/>
      <c r="CX80" s="351"/>
      <c r="CY80" s="351"/>
      <c r="CZ80" s="351"/>
      <c r="DA80" s="351"/>
      <c r="DB80" s="351"/>
      <c r="DC80" s="351"/>
      <c r="DD80" s="351"/>
      <c r="DE80" s="7"/>
    </row>
    <row r="81" spans="1:109" ht="15" customHeight="1">
      <c r="A81" s="3"/>
      <c r="B81" s="385"/>
      <c r="C81" s="386"/>
      <c r="D81" s="386"/>
      <c r="E81" s="386"/>
      <c r="F81" s="386"/>
      <c r="G81" s="386"/>
      <c r="H81" s="387"/>
      <c r="I81" s="351"/>
      <c r="J81" s="351"/>
      <c r="K81" s="351"/>
      <c r="L81" s="351"/>
      <c r="M81" s="351"/>
      <c r="N81" s="351"/>
      <c r="O81" s="351"/>
      <c r="P81" s="351"/>
      <c r="Q81" s="351"/>
      <c r="R81" s="351"/>
      <c r="S81" s="351"/>
      <c r="T81" s="351"/>
      <c r="U81" s="351"/>
      <c r="V81" s="351"/>
      <c r="W81" s="359"/>
      <c r="X81" s="359"/>
      <c r="Y81" s="359"/>
      <c r="Z81" s="359"/>
      <c r="AA81" s="359"/>
      <c r="AB81" s="359"/>
      <c r="AC81" s="359"/>
      <c r="AD81" s="359"/>
      <c r="AE81" s="359"/>
      <c r="AF81" s="359"/>
      <c r="AG81" s="359"/>
      <c r="AH81" s="359"/>
      <c r="AI81" s="359"/>
      <c r="AJ81" s="359"/>
      <c r="AK81" s="359"/>
      <c r="AL81" s="359"/>
      <c r="AM81" s="359"/>
      <c r="AN81" s="359"/>
      <c r="AO81" s="359"/>
      <c r="AP81" s="359"/>
      <c r="AQ81" s="359"/>
      <c r="AR81" s="359"/>
      <c r="AS81" s="359"/>
      <c r="AT81" s="359"/>
      <c r="AU81" s="359"/>
      <c r="AV81" s="359"/>
      <c r="AW81" s="359"/>
      <c r="AX81" s="359"/>
      <c r="AY81" s="359"/>
      <c r="AZ81" s="359"/>
      <c r="BA81" s="359"/>
      <c r="BB81" s="359"/>
      <c r="BC81" s="359"/>
      <c r="BD81" s="359"/>
      <c r="BE81" s="359"/>
      <c r="BF81" s="359"/>
      <c r="BG81" s="359"/>
      <c r="BH81" s="359"/>
      <c r="BI81" s="359"/>
      <c r="BJ81" s="359"/>
      <c r="BK81" s="359"/>
      <c r="BL81" s="359"/>
      <c r="BM81" s="351"/>
      <c r="BN81" s="351"/>
      <c r="BO81" s="351"/>
      <c r="BP81" s="351"/>
      <c r="BQ81" s="351"/>
      <c r="BR81" s="351"/>
      <c r="BS81" s="351"/>
      <c r="BT81" s="351"/>
      <c r="BU81" s="351"/>
      <c r="BV81" s="351"/>
      <c r="BW81" s="351"/>
      <c r="BX81" s="351"/>
      <c r="BY81" s="351"/>
      <c r="BZ81" s="351"/>
      <c r="CA81" s="351"/>
      <c r="CB81" s="351"/>
      <c r="CC81" s="351"/>
      <c r="CD81" s="351"/>
      <c r="CE81" s="351"/>
      <c r="CF81" s="351"/>
      <c r="CG81" s="351"/>
      <c r="CH81" s="351"/>
      <c r="CI81" s="351"/>
      <c r="CJ81" s="351"/>
      <c r="CK81" s="351"/>
      <c r="CL81" s="351"/>
      <c r="CM81" s="351"/>
      <c r="CN81" s="351"/>
      <c r="CO81" s="351"/>
      <c r="CP81" s="351"/>
      <c r="CQ81" s="351"/>
      <c r="CR81" s="351"/>
      <c r="CS81" s="351"/>
      <c r="CT81" s="351"/>
      <c r="CU81" s="351"/>
      <c r="CV81" s="351"/>
      <c r="CW81" s="351"/>
      <c r="CX81" s="351"/>
      <c r="CY81" s="351"/>
      <c r="CZ81" s="351"/>
      <c r="DA81" s="351"/>
      <c r="DB81" s="351"/>
      <c r="DC81" s="351"/>
      <c r="DD81" s="351"/>
      <c r="DE81" s="7"/>
    </row>
    <row r="82" spans="1:109" ht="15" customHeight="1">
      <c r="A82" s="3"/>
      <c r="B82" s="353"/>
      <c r="C82" s="354"/>
      <c r="D82" s="354"/>
      <c r="E82" s="354"/>
      <c r="F82" s="354"/>
      <c r="G82" s="354"/>
      <c r="H82" s="355"/>
      <c r="I82" s="352"/>
      <c r="J82" s="352"/>
      <c r="K82" s="352"/>
      <c r="L82" s="352"/>
      <c r="M82" s="352"/>
      <c r="N82" s="352"/>
      <c r="O82" s="352"/>
      <c r="P82" s="352"/>
      <c r="Q82" s="352"/>
      <c r="R82" s="352"/>
      <c r="S82" s="352"/>
      <c r="T82" s="352"/>
      <c r="U82" s="352"/>
      <c r="V82" s="352"/>
      <c r="W82" s="360"/>
      <c r="X82" s="360"/>
      <c r="Y82" s="360"/>
      <c r="Z82" s="360"/>
      <c r="AA82" s="360"/>
      <c r="AB82" s="360"/>
      <c r="AC82" s="360"/>
      <c r="AD82" s="360"/>
      <c r="AE82" s="360"/>
      <c r="AF82" s="360"/>
      <c r="AG82" s="360"/>
      <c r="AH82" s="360"/>
      <c r="AI82" s="360"/>
      <c r="AJ82" s="360"/>
      <c r="AK82" s="360"/>
      <c r="AL82" s="360"/>
      <c r="AM82" s="360"/>
      <c r="AN82" s="360"/>
      <c r="AO82" s="360"/>
      <c r="AP82" s="360"/>
      <c r="AQ82" s="360"/>
      <c r="AR82" s="360"/>
      <c r="AS82" s="360"/>
      <c r="AT82" s="360"/>
      <c r="AU82" s="360"/>
      <c r="AV82" s="360"/>
      <c r="AW82" s="360"/>
      <c r="AX82" s="360"/>
      <c r="AY82" s="360"/>
      <c r="AZ82" s="360"/>
      <c r="BA82" s="360"/>
      <c r="BB82" s="360"/>
      <c r="BC82" s="360"/>
      <c r="BD82" s="360"/>
      <c r="BE82" s="360"/>
      <c r="BF82" s="360"/>
      <c r="BG82" s="360"/>
      <c r="BH82" s="360"/>
      <c r="BI82" s="360"/>
      <c r="BJ82" s="360"/>
      <c r="BK82" s="360"/>
      <c r="BL82" s="360"/>
      <c r="BM82" s="416"/>
      <c r="BN82" s="352"/>
      <c r="BO82" s="352"/>
      <c r="BP82" s="352"/>
      <c r="BQ82" s="352"/>
      <c r="BR82" s="352"/>
      <c r="BS82" s="352"/>
      <c r="BT82" s="352"/>
      <c r="BU82" s="352"/>
      <c r="BV82" s="352"/>
      <c r="BW82" s="352"/>
      <c r="BX82" s="352"/>
      <c r="BY82" s="352"/>
      <c r="BZ82" s="352"/>
      <c r="CA82" s="352"/>
      <c r="CB82" s="352"/>
      <c r="CC82" s="352"/>
      <c r="CD82" s="352"/>
      <c r="CE82" s="352"/>
      <c r="CF82" s="352"/>
      <c r="CG82" s="352"/>
      <c r="CH82" s="352"/>
      <c r="CI82" s="352"/>
      <c r="CJ82" s="352"/>
      <c r="CK82" s="352"/>
      <c r="CL82" s="352"/>
      <c r="CM82" s="352"/>
      <c r="CN82" s="352"/>
      <c r="CO82" s="352"/>
      <c r="CP82" s="352"/>
      <c r="CQ82" s="352"/>
      <c r="CR82" s="352"/>
      <c r="CS82" s="352"/>
      <c r="CT82" s="352"/>
      <c r="CU82" s="352"/>
      <c r="CV82" s="352"/>
      <c r="CW82" s="352"/>
      <c r="CX82" s="352"/>
      <c r="CY82" s="352"/>
      <c r="CZ82" s="352"/>
      <c r="DA82" s="352"/>
      <c r="DB82" s="352"/>
      <c r="DC82" s="352"/>
      <c r="DD82" s="352"/>
      <c r="DE82" s="24"/>
    </row>
    <row r="83" spans="1:109" ht="15" customHeight="1">
      <c r="A83" s="3"/>
      <c r="B83" s="356"/>
      <c r="C83" s="357"/>
      <c r="D83" s="357"/>
      <c r="E83" s="357"/>
      <c r="F83" s="357"/>
      <c r="G83" s="357"/>
      <c r="H83" s="358"/>
      <c r="I83" s="352"/>
      <c r="J83" s="352"/>
      <c r="K83" s="352"/>
      <c r="L83" s="352"/>
      <c r="M83" s="352"/>
      <c r="N83" s="352"/>
      <c r="O83" s="352"/>
      <c r="P83" s="352"/>
      <c r="Q83" s="352"/>
      <c r="R83" s="352"/>
      <c r="S83" s="352"/>
      <c r="T83" s="352"/>
      <c r="U83" s="352"/>
      <c r="V83" s="352"/>
      <c r="W83" s="360"/>
      <c r="X83" s="360"/>
      <c r="Y83" s="360"/>
      <c r="Z83" s="360"/>
      <c r="AA83" s="360"/>
      <c r="AB83" s="360"/>
      <c r="AC83" s="360"/>
      <c r="AD83" s="360"/>
      <c r="AE83" s="360"/>
      <c r="AF83" s="360"/>
      <c r="AG83" s="360"/>
      <c r="AH83" s="360"/>
      <c r="AI83" s="360"/>
      <c r="AJ83" s="360"/>
      <c r="AK83" s="360"/>
      <c r="AL83" s="360"/>
      <c r="AM83" s="360"/>
      <c r="AN83" s="360"/>
      <c r="AO83" s="360"/>
      <c r="AP83" s="360"/>
      <c r="AQ83" s="360"/>
      <c r="AR83" s="360"/>
      <c r="AS83" s="360"/>
      <c r="AT83" s="360"/>
      <c r="AU83" s="360"/>
      <c r="AV83" s="360"/>
      <c r="AW83" s="360"/>
      <c r="AX83" s="360"/>
      <c r="AY83" s="360"/>
      <c r="AZ83" s="360"/>
      <c r="BA83" s="360"/>
      <c r="BB83" s="360"/>
      <c r="BC83" s="360"/>
      <c r="BD83" s="360"/>
      <c r="BE83" s="360"/>
      <c r="BF83" s="360"/>
      <c r="BG83" s="360"/>
      <c r="BH83" s="360"/>
      <c r="BI83" s="360"/>
      <c r="BJ83" s="360"/>
      <c r="BK83" s="360"/>
      <c r="BL83" s="360"/>
      <c r="BM83" s="352"/>
      <c r="BN83" s="352"/>
      <c r="BO83" s="352"/>
      <c r="BP83" s="352"/>
      <c r="BQ83" s="352"/>
      <c r="BR83" s="352"/>
      <c r="BS83" s="352"/>
      <c r="BT83" s="352"/>
      <c r="BU83" s="352"/>
      <c r="BV83" s="352"/>
      <c r="BW83" s="352"/>
      <c r="BX83" s="352"/>
      <c r="BY83" s="352"/>
      <c r="BZ83" s="352"/>
      <c r="CA83" s="352"/>
      <c r="CB83" s="352"/>
      <c r="CC83" s="352"/>
      <c r="CD83" s="352"/>
      <c r="CE83" s="352"/>
      <c r="CF83" s="352"/>
      <c r="CG83" s="352"/>
      <c r="CH83" s="352"/>
      <c r="CI83" s="352"/>
      <c r="CJ83" s="352"/>
      <c r="CK83" s="352"/>
      <c r="CL83" s="352"/>
      <c r="CM83" s="352"/>
      <c r="CN83" s="352"/>
      <c r="CO83" s="352"/>
      <c r="CP83" s="352"/>
      <c r="CQ83" s="352"/>
      <c r="CR83" s="352"/>
      <c r="CS83" s="352"/>
      <c r="CT83" s="352"/>
      <c r="CU83" s="352"/>
      <c r="CV83" s="352"/>
      <c r="CW83" s="352"/>
      <c r="CX83" s="352"/>
      <c r="CY83" s="352"/>
      <c r="CZ83" s="352"/>
      <c r="DA83" s="352"/>
      <c r="DB83" s="352"/>
      <c r="DC83" s="352"/>
      <c r="DD83" s="352"/>
      <c r="DE83" s="7"/>
    </row>
    <row r="84" spans="1:109" ht="15" customHeight="1">
      <c r="A84" s="8"/>
      <c r="B84" s="382"/>
      <c r="C84" s="383"/>
      <c r="D84" s="383"/>
      <c r="E84" s="383"/>
      <c r="F84" s="383"/>
      <c r="G84" s="383"/>
      <c r="H84" s="384"/>
      <c r="I84" s="351"/>
      <c r="J84" s="351"/>
      <c r="K84" s="351"/>
      <c r="L84" s="351"/>
      <c r="M84" s="351"/>
      <c r="N84" s="351"/>
      <c r="O84" s="351"/>
      <c r="P84" s="351"/>
      <c r="Q84" s="351"/>
      <c r="R84" s="351"/>
      <c r="S84" s="351"/>
      <c r="T84" s="351"/>
      <c r="U84" s="351"/>
      <c r="V84" s="351"/>
      <c r="W84" s="359"/>
      <c r="X84" s="359"/>
      <c r="Y84" s="359"/>
      <c r="Z84" s="359"/>
      <c r="AA84" s="359"/>
      <c r="AB84" s="359"/>
      <c r="AC84" s="359"/>
      <c r="AD84" s="359"/>
      <c r="AE84" s="359"/>
      <c r="AF84" s="359"/>
      <c r="AG84" s="359"/>
      <c r="AH84" s="359"/>
      <c r="AI84" s="359"/>
      <c r="AJ84" s="359"/>
      <c r="AK84" s="359"/>
      <c r="AL84" s="359"/>
      <c r="AM84" s="359"/>
      <c r="AN84" s="359"/>
      <c r="AO84" s="359"/>
      <c r="AP84" s="359"/>
      <c r="AQ84" s="359"/>
      <c r="AR84" s="359"/>
      <c r="AS84" s="359"/>
      <c r="AT84" s="359"/>
      <c r="AU84" s="359"/>
      <c r="AV84" s="359"/>
      <c r="AW84" s="359"/>
      <c r="AX84" s="359"/>
      <c r="AY84" s="359"/>
      <c r="AZ84" s="359"/>
      <c r="BA84" s="359"/>
      <c r="BB84" s="359"/>
      <c r="BC84" s="359"/>
      <c r="BD84" s="359"/>
      <c r="BE84" s="359"/>
      <c r="BF84" s="359"/>
      <c r="BG84" s="359"/>
      <c r="BH84" s="359"/>
      <c r="BI84" s="359"/>
      <c r="BJ84" s="359"/>
      <c r="BK84" s="359"/>
      <c r="BL84" s="359"/>
      <c r="BM84" s="351"/>
      <c r="BN84" s="351"/>
      <c r="BO84" s="351"/>
      <c r="BP84" s="351"/>
      <c r="BQ84" s="351"/>
      <c r="BR84" s="351"/>
      <c r="BS84" s="351"/>
      <c r="BT84" s="351"/>
      <c r="BU84" s="351"/>
      <c r="BV84" s="351"/>
      <c r="BW84" s="351"/>
      <c r="BX84" s="351"/>
      <c r="BY84" s="351"/>
      <c r="BZ84" s="351"/>
      <c r="CA84" s="351"/>
      <c r="CB84" s="351"/>
      <c r="CC84" s="351"/>
      <c r="CD84" s="351"/>
      <c r="CE84" s="351"/>
      <c r="CF84" s="351"/>
      <c r="CG84" s="351"/>
      <c r="CH84" s="351"/>
      <c r="CI84" s="351"/>
      <c r="CJ84" s="351"/>
      <c r="CK84" s="351"/>
      <c r="CL84" s="351"/>
      <c r="CM84" s="351"/>
      <c r="CN84" s="351"/>
      <c r="CO84" s="351"/>
      <c r="CP84" s="351"/>
      <c r="CQ84" s="351"/>
      <c r="CR84" s="351"/>
      <c r="CS84" s="351"/>
      <c r="CT84" s="351"/>
      <c r="CU84" s="351"/>
      <c r="CV84" s="351"/>
      <c r="CW84" s="351"/>
      <c r="CX84" s="351"/>
      <c r="CY84" s="351"/>
      <c r="CZ84" s="351"/>
      <c r="DA84" s="351"/>
      <c r="DB84" s="351"/>
      <c r="DC84" s="351"/>
      <c r="DD84" s="351"/>
      <c r="DE84" s="7"/>
    </row>
    <row r="85" spans="1:109" ht="15" customHeight="1">
      <c r="A85" s="6"/>
      <c r="B85" s="385"/>
      <c r="C85" s="386"/>
      <c r="D85" s="386"/>
      <c r="E85" s="386"/>
      <c r="F85" s="386"/>
      <c r="G85" s="386"/>
      <c r="H85" s="387"/>
      <c r="I85" s="351"/>
      <c r="J85" s="351"/>
      <c r="K85" s="351"/>
      <c r="L85" s="351"/>
      <c r="M85" s="351"/>
      <c r="N85" s="351"/>
      <c r="O85" s="351"/>
      <c r="P85" s="351"/>
      <c r="Q85" s="351"/>
      <c r="R85" s="351"/>
      <c r="S85" s="351"/>
      <c r="T85" s="351"/>
      <c r="U85" s="351"/>
      <c r="V85" s="351"/>
      <c r="W85" s="359"/>
      <c r="X85" s="359"/>
      <c r="Y85" s="359"/>
      <c r="Z85" s="359"/>
      <c r="AA85" s="359"/>
      <c r="AB85" s="359"/>
      <c r="AC85" s="359"/>
      <c r="AD85" s="359"/>
      <c r="AE85" s="359"/>
      <c r="AF85" s="359"/>
      <c r="AG85" s="359"/>
      <c r="AH85" s="359"/>
      <c r="AI85" s="359"/>
      <c r="AJ85" s="359"/>
      <c r="AK85" s="359"/>
      <c r="AL85" s="359"/>
      <c r="AM85" s="359"/>
      <c r="AN85" s="359"/>
      <c r="AO85" s="359"/>
      <c r="AP85" s="359"/>
      <c r="AQ85" s="359"/>
      <c r="AR85" s="359"/>
      <c r="AS85" s="359"/>
      <c r="AT85" s="359"/>
      <c r="AU85" s="359"/>
      <c r="AV85" s="359"/>
      <c r="AW85" s="359"/>
      <c r="AX85" s="359"/>
      <c r="AY85" s="359"/>
      <c r="AZ85" s="359"/>
      <c r="BA85" s="359"/>
      <c r="BB85" s="359"/>
      <c r="BC85" s="359"/>
      <c r="BD85" s="359"/>
      <c r="BE85" s="359"/>
      <c r="BF85" s="359"/>
      <c r="BG85" s="359"/>
      <c r="BH85" s="359"/>
      <c r="BI85" s="359"/>
      <c r="BJ85" s="359"/>
      <c r="BK85" s="359"/>
      <c r="BL85" s="359"/>
      <c r="BM85" s="351"/>
      <c r="BN85" s="351"/>
      <c r="BO85" s="351"/>
      <c r="BP85" s="351"/>
      <c r="BQ85" s="351"/>
      <c r="BR85" s="351"/>
      <c r="BS85" s="351"/>
      <c r="BT85" s="351"/>
      <c r="BU85" s="351"/>
      <c r="BV85" s="351"/>
      <c r="BW85" s="351"/>
      <c r="BX85" s="351"/>
      <c r="BY85" s="351"/>
      <c r="BZ85" s="351"/>
      <c r="CA85" s="351"/>
      <c r="CB85" s="351"/>
      <c r="CC85" s="351"/>
      <c r="CD85" s="351"/>
      <c r="CE85" s="351"/>
      <c r="CF85" s="351"/>
      <c r="CG85" s="351"/>
      <c r="CH85" s="351"/>
      <c r="CI85" s="351"/>
      <c r="CJ85" s="351"/>
      <c r="CK85" s="351"/>
      <c r="CL85" s="351"/>
      <c r="CM85" s="351"/>
      <c r="CN85" s="351"/>
      <c r="CO85" s="351"/>
      <c r="CP85" s="351"/>
      <c r="CQ85" s="351"/>
      <c r="CR85" s="351"/>
      <c r="CS85" s="351"/>
      <c r="CT85" s="351"/>
      <c r="CU85" s="351"/>
      <c r="CV85" s="351"/>
      <c r="CW85" s="351"/>
      <c r="CX85" s="351"/>
      <c r="CY85" s="351"/>
      <c r="CZ85" s="351"/>
      <c r="DA85" s="351"/>
      <c r="DB85" s="351"/>
      <c r="DC85" s="351"/>
      <c r="DD85" s="351"/>
      <c r="DE85" s="7"/>
    </row>
    <row r="86" spans="1:109" ht="15" customHeight="1">
      <c r="A86" s="3"/>
      <c r="B86" s="353"/>
      <c r="C86" s="354"/>
      <c r="D86" s="354"/>
      <c r="E86" s="354"/>
      <c r="F86" s="354"/>
      <c r="G86" s="354"/>
      <c r="H86" s="355"/>
      <c r="I86" s="352"/>
      <c r="J86" s="352"/>
      <c r="K86" s="352"/>
      <c r="L86" s="352"/>
      <c r="M86" s="352"/>
      <c r="N86" s="352"/>
      <c r="O86" s="352"/>
      <c r="P86" s="352"/>
      <c r="Q86" s="352"/>
      <c r="R86" s="352"/>
      <c r="S86" s="352"/>
      <c r="T86" s="352"/>
      <c r="U86" s="352"/>
      <c r="V86" s="352"/>
      <c r="W86" s="360"/>
      <c r="X86" s="360"/>
      <c r="Y86" s="360"/>
      <c r="Z86" s="360"/>
      <c r="AA86" s="360"/>
      <c r="AB86" s="360"/>
      <c r="AC86" s="360"/>
      <c r="AD86" s="360"/>
      <c r="AE86" s="360"/>
      <c r="AF86" s="360"/>
      <c r="AG86" s="360"/>
      <c r="AH86" s="360"/>
      <c r="AI86" s="360"/>
      <c r="AJ86" s="360"/>
      <c r="AK86" s="360"/>
      <c r="AL86" s="360"/>
      <c r="AM86" s="360"/>
      <c r="AN86" s="360"/>
      <c r="AO86" s="360"/>
      <c r="AP86" s="360"/>
      <c r="AQ86" s="360"/>
      <c r="AR86" s="360"/>
      <c r="AS86" s="360"/>
      <c r="AT86" s="360"/>
      <c r="AU86" s="360"/>
      <c r="AV86" s="360"/>
      <c r="AW86" s="360"/>
      <c r="AX86" s="360"/>
      <c r="AY86" s="360"/>
      <c r="AZ86" s="360"/>
      <c r="BA86" s="360"/>
      <c r="BB86" s="360"/>
      <c r="BC86" s="360"/>
      <c r="BD86" s="360"/>
      <c r="BE86" s="360"/>
      <c r="BF86" s="360"/>
      <c r="BG86" s="360"/>
      <c r="BH86" s="360"/>
      <c r="BI86" s="360"/>
      <c r="BJ86" s="360"/>
      <c r="BK86" s="360"/>
      <c r="BL86" s="360"/>
      <c r="BM86" s="352"/>
      <c r="BN86" s="352"/>
      <c r="BO86" s="352"/>
      <c r="BP86" s="352"/>
      <c r="BQ86" s="352"/>
      <c r="BR86" s="352"/>
      <c r="BS86" s="352"/>
      <c r="BT86" s="352"/>
      <c r="BU86" s="352"/>
      <c r="BV86" s="352"/>
      <c r="BW86" s="352"/>
      <c r="BX86" s="352"/>
      <c r="BY86" s="352"/>
      <c r="BZ86" s="352"/>
      <c r="CA86" s="352"/>
      <c r="CB86" s="352"/>
      <c r="CC86" s="352"/>
      <c r="CD86" s="352"/>
      <c r="CE86" s="352"/>
      <c r="CF86" s="352"/>
      <c r="CG86" s="352"/>
      <c r="CH86" s="352"/>
      <c r="CI86" s="352"/>
      <c r="CJ86" s="352"/>
      <c r="CK86" s="352"/>
      <c r="CL86" s="352"/>
      <c r="CM86" s="352"/>
      <c r="CN86" s="352"/>
      <c r="CO86" s="352"/>
      <c r="CP86" s="352"/>
      <c r="CQ86" s="352"/>
      <c r="CR86" s="352"/>
      <c r="CS86" s="352"/>
      <c r="CT86" s="352"/>
      <c r="CU86" s="352"/>
      <c r="CV86" s="352"/>
      <c r="CW86" s="352"/>
      <c r="CX86" s="352"/>
      <c r="CY86" s="352"/>
      <c r="CZ86" s="352"/>
      <c r="DA86" s="352"/>
      <c r="DB86" s="352"/>
      <c r="DC86" s="352"/>
      <c r="DD86" s="352"/>
      <c r="DE86" s="7"/>
    </row>
    <row r="87" spans="1:109" ht="15" customHeight="1">
      <c r="A87" s="6"/>
      <c r="B87" s="356"/>
      <c r="C87" s="357"/>
      <c r="D87" s="357"/>
      <c r="E87" s="357"/>
      <c r="F87" s="357"/>
      <c r="G87" s="357"/>
      <c r="H87" s="358"/>
      <c r="I87" s="352"/>
      <c r="J87" s="352"/>
      <c r="K87" s="352"/>
      <c r="L87" s="352"/>
      <c r="M87" s="352"/>
      <c r="N87" s="352"/>
      <c r="O87" s="352"/>
      <c r="P87" s="352"/>
      <c r="Q87" s="352"/>
      <c r="R87" s="352"/>
      <c r="S87" s="352"/>
      <c r="T87" s="352"/>
      <c r="U87" s="352"/>
      <c r="V87" s="352"/>
      <c r="W87" s="360"/>
      <c r="X87" s="360"/>
      <c r="Y87" s="360"/>
      <c r="Z87" s="360"/>
      <c r="AA87" s="360"/>
      <c r="AB87" s="360"/>
      <c r="AC87" s="360"/>
      <c r="AD87" s="360"/>
      <c r="AE87" s="360"/>
      <c r="AF87" s="360"/>
      <c r="AG87" s="360"/>
      <c r="AH87" s="360"/>
      <c r="AI87" s="360"/>
      <c r="AJ87" s="360"/>
      <c r="AK87" s="360"/>
      <c r="AL87" s="360"/>
      <c r="AM87" s="360"/>
      <c r="AN87" s="360"/>
      <c r="AO87" s="360"/>
      <c r="AP87" s="360"/>
      <c r="AQ87" s="360"/>
      <c r="AR87" s="360"/>
      <c r="AS87" s="360"/>
      <c r="AT87" s="360"/>
      <c r="AU87" s="360"/>
      <c r="AV87" s="360"/>
      <c r="AW87" s="360"/>
      <c r="AX87" s="360"/>
      <c r="AY87" s="360"/>
      <c r="AZ87" s="360"/>
      <c r="BA87" s="360"/>
      <c r="BB87" s="360"/>
      <c r="BC87" s="360"/>
      <c r="BD87" s="360"/>
      <c r="BE87" s="360"/>
      <c r="BF87" s="360"/>
      <c r="BG87" s="360"/>
      <c r="BH87" s="360"/>
      <c r="BI87" s="360"/>
      <c r="BJ87" s="360"/>
      <c r="BK87" s="360"/>
      <c r="BL87" s="360"/>
      <c r="BM87" s="352"/>
      <c r="BN87" s="352"/>
      <c r="BO87" s="352"/>
      <c r="BP87" s="352"/>
      <c r="BQ87" s="352"/>
      <c r="BR87" s="352"/>
      <c r="BS87" s="352"/>
      <c r="BT87" s="352"/>
      <c r="BU87" s="352"/>
      <c r="BV87" s="352"/>
      <c r="BW87" s="352"/>
      <c r="BX87" s="352"/>
      <c r="BY87" s="352"/>
      <c r="BZ87" s="352"/>
      <c r="CA87" s="352"/>
      <c r="CB87" s="352"/>
      <c r="CC87" s="352"/>
      <c r="CD87" s="352"/>
      <c r="CE87" s="352"/>
      <c r="CF87" s="352"/>
      <c r="CG87" s="352"/>
      <c r="CH87" s="352"/>
      <c r="CI87" s="352"/>
      <c r="CJ87" s="352"/>
      <c r="CK87" s="352"/>
      <c r="CL87" s="352"/>
      <c r="CM87" s="352"/>
      <c r="CN87" s="352"/>
      <c r="CO87" s="352"/>
      <c r="CP87" s="352"/>
      <c r="CQ87" s="352"/>
      <c r="CR87" s="352"/>
      <c r="CS87" s="352"/>
      <c r="CT87" s="352"/>
      <c r="CU87" s="352"/>
      <c r="CV87" s="352"/>
      <c r="CW87" s="352"/>
      <c r="CX87" s="352"/>
      <c r="CY87" s="352"/>
      <c r="CZ87" s="352"/>
      <c r="DA87" s="352"/>
      <c r="DB87" s="352"/>
      <c r="DC87" s="352"/>
      <c r="DD87" s="352"/>
      <c r="DE87" s="7"/>
    </row>
    <row r="88" spans="1:109" ht="15" customHeight="1">
      <c r="A88" s="6"/>
      <c r="B88" s="382"/>
      <c r="C88" s="383"/>
      <c r="D88" s="383"/>
      <c r="E88" s="383"/>
      <c r="F88" s="383"/>
      <c r="G88" s="383"/>
      <c r="H88" s="384"/>
      <c r="I88" s="351"/>
      <c r="J88" s="351"/>
      <c r="K88" s="351"/>
      <c r="L88" s="351"/>
      <c r="M88" s="351"/>
      <c r="N88" s="351"/>
      <c r="O88" s="351"/>
      <c r="P88" s="351"/>
      <c r="Q88" s="351"/>
      <c r="R88" s="351"/>
      <c r="S88" s="351"/>
      <c r="T88" s="351"/>
      <c r="U88" s="351"/>
      <c r="V88" s="351"/>
      <c r="W88" s="359"/>
      <c r="X88" s="359"/>
      <c r="Y88" s="359"/>
      <c r="Z88" s="359"/>
      <c r="AA88" s="359"/>
      <c r="AB88" s="359"/>
      <c r="AC88" s="359"/>
      <c r="AD88" s="359"/>
      <c r="AE88" s="359"/>
      <c r="AF88" s="359"/>
      <c r="AG88" s="359"/>
      <c r="AH88" s="359"/>
      <c r="AI88" s="359"/>
      <c r="AJ88" s="359"/>
      <c r="AK88" s="359"/>
      <c r="AL88" s="359"/>
      <c r="AM88" s="359"/>
      <c r="AN88" s="359"/>
      <c r="AO88" s="359"/>
      <c r="AP88" s="359"/>
      <c r="AQ88" s="359"/>
      <c r="AR88" s="359"/>
      <c r="AS88" s="359"/>
      <c r="AT88" s="359"/>
      <c r="AU88" s="359"/>
      <c r="AV88" s="359"/>
      <c r="AW88" s="359"/>
      <c r="AX88" s="359"/>
      <c r="AY88" s="359"/>
      <c r="AZ88" s="359"/>
      <c r="BA88" s="359"/>
      <c r="BB88" s="359"/>
      <c r="BC88" s="359"/>
      <c r="BD88" s="359"/>
      <c r="BE88" s="359"/>
      <c r="BF88" s="359"/>
      <c r="BG88" s="359"/>
      <c r="BH88" s="359"/>
      <c r="BI88" s="359"/>
      <c r="BJ88" s="359"/>
      <c r="BK88" s="359"/>
      <c r="BL88" s="359"/>
      <c r="BM88" s="351"/>
      <c r="BN88" s="351"/>
      <c r="BO88" s="351"/>
      <c r="BP88" s="351"/>
      <c r="BQ88" s="351"/>
      <c r="BR88" s="351"/>
      <c r="BS88" s="351"/>
      <c r="BT88" s="351"/>
      <c r="BU88" s="351"/>
      <c r="BV88" s="351"/>
      <c r="BW88" s="351"/>
      <c r="BX88" s="351"/>
      <c r="BY88" s="351"/>
      <c r="BZ88" s="351"/>
      <c r="CA88" s="351"/>
      <c r="CB88" s="351"/>
      <c r="CC88" s="351"/>
      <c r="CD88" s="351"/>
      <c r="CE88" s="351"/>
      <c r="CF88" s="351"/>
      <c r="CG88" s="351"/>
      <c r="CH88" s="351"/>
      <c r="CI88" s="351"/>
      <c r="CJ88" s="351"/>
      <c r="CK88" s="351"/>
      <c r="CL88" s="351"/>
      <c r="CM88" s="351"/>
      <c r="CN88" s="351"/>
      <c r="CO88" s="351"/>
      <c r="CP88" s="351"/>
      <c r="CQ88" s="351"/>
      <c r="CR88" s="351"/>
      <c r="CS88" s="351"/>
      <c r="CT88" s="351"/>
      <c r="CU88" s="351"/>
      <c r="CV88" s="351"/>
      <c r="CW88" s="351"/>
      <c r="CX88" s="351"/>
      <c r="CY88" s="351"/>
      <c r="CZ88" s="351"/>
      <c r="DA88" s="351"/>
      <c r="DB88" s="351"/>
      <c r="DC88" s="351"/>
      <c r="DD88" s="351"/>
      <c r="DE88" s="7"/>
    </row>
    <row r="89" spans="1:109" ht="15" customHeight="1">
      <c r="A89" s="3"/>
      <c r="B89" s="385"/>
      <c r="C89" s="386"/>
      <c r="D89" s="386"/>
      <c r="E89" s="386"/>
      <c r="F89" s="386"/>
      <c r="G89" s="386"/>
      <c r="H89" s="387"/>
      <c r="I89" s="351"/>
      <c r="J89" s="351"/>
      <c r="K89" s="351"/>
      <c r="L89" s="351"/>
      <c r="M89" s="351"/>
      <c r="N89" s="351"/>
      <c r="O89" s="351"/>
      <c r="P89" s="351"/>
      <c r="Q89" s="351"/>
      <c r="R89" s="351"/>
      <c r="S89" s="351"/>
      <c r="T89" s="351"/>
      <c r="U89" s="351"/>
      <c r="V89" s="351"/>
      <c r="W89" s="359"/>
      <c r="X89" s="359"/>
      <c r="Y89" s="359"/>
      <c r="Z89" s="359"/>
      <c r="AA89" s="359"/>
      <c r="AB89" s="359"/>
      <c r="AC89" s="359"/>
      <c r="AD89" s="359"/>
      <c r="AE89" s="359"/>
      <c r="AF89" s="359"/>
      <c r="AG89" s="359"/>
      <c r="AH89" s="359"/>
      <c r="AI89" s="359"/>
      <c r="AJ89" s="359"/>
      <c r="AK89" s="359"/>
      <c r="AL89" s="359"/>
      <c r="AM89" s="359"/>
      <c r="AN89" s="359"/>
      <c r="AO89" s="359"/>
      <c r="AP89" s="359"/>
      <c r="AQ89" s="359"/>
      <c r="AR89" s="359"/>
      <c r="AS89" s="359"/>
      <c r="AT89" s="359"/>
      <c r="AU89" s="359"/>
      <c r="AV89" s="359"/>
      <c r="AW89" s="359"/>
      <c r="AX89" s="359"/>
      <c r="AY89" s="359"/>
      <c r="AZ89" s="359"/>
      <c r="BA89" s="359"/>
      <c r="BB89" s="359"/>
      <c r="BC89" s="359"/>
      <c r="BD89" s="359"/>
      <c r="BE89" s="359"/>
      <c r="BF89" s="359"/>
      <c r="BG89" s="359"/>
      <c r="BH89" s="359"/>
      <c r="BI89" s="359"/>
      <c r="BJ89" s="359"/>
      <c r="BK89" s="359"/>
      <c r="BL89" s="359"/>
      <c r="BM89" s="351"/>
      <c r="BN89" s="351"/>
      <c r="BO89" s="351"/>
      <c r="BP89" s="351"/>
      <c r="BQ89" s="351"/>
      <c r="BR89" s="351"/>
      <c r="BS89" s="351"/>
      <c r="BT89" s="351"/>
      <c r="BU89" s="351"/>
      <c r="BV89" s="351"/>
      <c r="BW89" s="351"/>
      <c r="BX89" s="351"/>
      <c r="BY89" s="351"/>
      <c r="BZ89" s="351"/>
      <c r="CA89" s="351"/>
      <c r="CB89" s="351"/>
      <c r="CC89" s="351"/>
      <c r="CD89" s="351"/>
      <c r="CE89" s="351"/>
      <c r="CF89" s="351"/>
      <c r="CG89" s="351"/>
      <c r="CH89" s="351"/>
      <c r="CI89" s="351"/>
      <c r="CJ89" s="351"/>
      <c r="CK89" s="351"/>
      <c r="CL89" s="351"/>
      <c r="CM89" s="351"/>
      <c r="CN89" s="351"/>
      <c r="CO89" s="351"/>
      <c r="CP89" s="351"/>
      <c r="CQ89" s="351"/>
      <c r="CR89" s="351"/>
      <c r="CS89" s="351"/>
      <c r="CT89" s="351"/>
      <c r="CU89" s="351"/>
      <c r="CV89" s="351"/>
      <c r="CW89" s="351"/>
      <c r="CX89" s="351"/>
      <c r="CY89" s="351"/>
      <c r="CZ89" s="351"/>
      <c r="DA89" s="351"/>
      <c r="DB89" s="351"/>
      <c r="DC89" s="351"/>
      <c r="DD89" s="351"/>
      <c r="DE89" s="7"/>
    </row>
    <row r="90" spans="1:109" ht="15" customHeight="1">
      <c r="A90" s="6"/>
      <c r="B90" s="353"/>
      <c r="C90" s="354"/>
      <c r="D90" s="354"/>
      <c r="E90" s="354"/>
      <c r="F90" s="354"/>
      <c r="G90" s="354"/>
      <c r="H90" s="355"/>
      <c r="I90" s="352"/>
      <c r="J90" s="352"/>
      <c r="K90" s="352"/>
      <c r="L90" s="352"/>
      <c r="M90" s="352"/>
      <c r="N90" s="352"/>
      <c r="O90" s="352"/>
      <c r="P90" s="352"/>
      <c r="Q90" s="352"/>
      <c r="R90" s="352"/>
      <c r="S90" s="352"/>
      <c r="T90" s="352"/>
      <c r="U90" s="352"/>
      <c r="V90" s="352"/>
      <c r="W90" s="360"/>
      <c r="X90" s="360"/>
      <c r="Y90" s="360"/>
      <c r="Z90" s="360"/>
      <c r="AA90" s="360"/>
      <c r="AB90" s="360"/>
      <c r="AC90" s="360"/>
      <c r="AD90" s="360"/>
      <c r="AE90" s="360"/>
      <c r="AF90" s="360"/>
      <c r="AG90" s="360"/>
      <c r="AH90" s="360"/>
      <c r="AI90" s="360"/>
      <c r="AJ90" s="360"/>
      <c r="AK90" s="360"/>
      <c r="AL90" s="360"/>
      <c r="AM90" s="360"/>
      <c r="AN90" s="360"/>
      <c r="AO90" s="360"/>
      <c r="AP90" s="360"/>
      <c r="AQ90" s="360"/>
      <c r="AR90" s="360"/>
      <c r="AS90" s="360"/>
      <c r="AT90" s="360"/>
      <c r="AU90" s="360"/>
      <c r="AV90" s="360"/>
      <c r="AW90" s="360"/>
      <c r="AX90" s="360"/>
      <c r="AY90" s="360"/>
      <c r="AZ90" s="360"/>
      <c r="BA90" s="360"/>
      <c r="BB90" s="360"/>
      <c r="BC90" s="360"/>
      <c r="BD90" s="360"/>
      <c r="BE90" s="360"/>
      <c r="BF90" s="360"/>
      <c r="BG90" s="360"/>
      <c r="BH90" s="360"/>
      <c r="BI90" s="360"/>
      <c r="BJ90" s="360"/>
      <c r="BK90" s="360"/>
      <c r="BL90" s="360"/>
      <c r="BM90" s="352"/>
      <c r="BN90" s="352"/>
      <c r="BO90" s="352"/>
      <c r="BP90" s="352"/>
      <c r="BQ90" s="352"/>
      <c r="BR90" s="352"/>
      <c r="BS90" s="352"/>
      <c r="BT90" s="352"/>
      <c r="BU90" s="352"/>
      <c r="BV90" s="352"/>
      <c r="BW90" s="352"/>
      <c r="BX90" s="352"/>
      <c r="BY90" s="352"/>
      <c r="BZ90" s="352"/>
      <c r="CA90" s="352"/>
      <c r="CB90" s="352"/>
      <c r="CC90" s="352"/>
      <c r="CD90" s="352"/>
      <c r="CE90" s="352"/>
      <c r="CF90" s="352"/>
      <c r="CG90" s="352"/>
      <c r="CH90" s="352"/>
      <c r="CI90" s="352"/>
      <c r="CJ90" s="352"/>
      <c r="CK90" s="352"/>
      <c r="CL90" s="352"/>
      <c r="CM90" s="352"/>
      <c r="CN90" s="352"/>
      <c r="CO90" s="352"/>
      <c r="CP90" s="352"/>
      <c r="CQ90" s="352"/>
      <c r="CR90" s="352"/>
      <c r="CS90" s="352"/>
      <c r="CT90" s="352"/>
      <c r="CU90" s="352"/>
      <c r="CV90" s="352"/>
      <c r="CW90" s="352"/>
      <c r="CX90" s="352"/>
      <c r="CY90" s="352"/>
      <c r="CZ90" s="352"/>
      <c r="DA90" s="352"/>
      <c r="DB90" s="352"/>
      <c r="DC90" s="352"/>
      <c r="DD90" s="352"/>
      <c r="DE90" s="7"/>
    </row>
    <row r="91" spans="1:109" ht="15" customHeight="1">
      <c r="A91" s="8"/>
      <c r="B91" s="356"/>
      <c r="C91" s="357"/>
      <c r="D91" s="357"/>
      <c r="E91" s="357"/>
      <c r="F91" s="357"/>
      <c r="G91" s="357"/>
      <c r="H91" s="358"/>
      <c r="I91" s="352"/>
      <c r="J91" s="352"/>
      <c r="K91" s="352"/>
      <c r="L91" s="352"/>
      <c r="M91" s="352"/>
      <c r="N91" s="352"/>
      <c r="O91" s="352"/>
      <c r="P91" s="352"/>
      <c r="Q91" s="352"/>
      <c r="R91" s="352"/>
      <c r="S91" s="352"/>
      <c r="T91" s="352"/>
      <c r="U91" s="352"/>
      <c r="V91" s="352"/>
      <c r="W91" s="360"/>
      <c r="X91" s="360"/>
      <c r="Y91" s="360"/>
      <c r="Z91" s="360"/>
      <c r="AA91" s="360"/>
      <c r="AB91" s="360"/>
      <c r="AC91" s="360"/>
      <c r="AD91" s="360"/>
      <c r="AE91" s="360"/>
      <c r="AF91" s="360"/>
      <c r="AG91" s="360"/>
      <c r="AH91" s="360"/>
      <c r="AI91" s="360"/>
      <c r="AJ91" s="360"/>
      <c r="AK91" s="360"/>
      <c r="AL91" s="360"/>
      <c r="AM91" s="360"/>
      <c r="AN91" s="360"/>
      <c r="AO91" s="360"/>
      <c r="AP91" s="360"/>
      <c r="AQ91" s="360"/>
      <c r="AR91" s="360"/>
      <c r="AS91" s="360"/>
      <c r="AT91" s="360"/>
      <c r="AU91" s="360"/>
      <c r="AV91" s="360"/>
      <c r="AW91" s="360"/>
      <c r="AX91" s="360"/>
      <c r="AY91" s="360"/>
      <c r="AZ91" s="360"/>
      <c r="BA91" s="360"/>
      <c r="BB91" s="360"/>
      <c r="BC91" s="360"/>
      <c r="BD91" s="360"/>
      <c r="BE91" s="360"/>
      <c r="BF91" s="360"/>
      <c r="BG91" s="360"/>
      <c r="BH91" s="360"/>
      <c r="BI91" s="360"/>
      <c r="BJ91" s="360"/>
      <c r="BK91" s="360"/>
      <c r="BL91" s="360"/>
      <c r="BM91" s="352"/>
      <c r="BN91" s="352"/>
      <c r="BO91" s="352"/>
      <c r="BP91" s="352"/>
      <c r="BQ91" s="352"/>
      <c r="BR91" s="352"/>
      <c r="BS91" s="352"/>
      <c r="BT91" s="352"/>
      <c r="BU91" s="352"/>
      <c r="BV91" s="352"/>
      <c r="BW91" s="352"/>
      <c r="BX91" s="352"/>
      <c r="BY91" s="352"/>
      <c r="BZ91" s="352"/>
      <c r="CA91" s="352"/>
      <c r="CB91" s="352"/>
      <c r="CC91" s="352"/>
      <c r="CD91" s="352"/>
      <c r="CE91" s="352"/>
      <c r="CF91" s="352"/>
      <c r="CG91" s="352"/>
      <c r="CH91" s="352"/>
      <c r="CI91" s="352"/>
      <c r="CJ91" s="352"/>
      <c r="CK91" s="352"/>
      <c r="CL91" s="352"/>
      <c r="CM91" s="352"/>
      <c r="CN91" s="352"/>
      <c r="CO91" s="352"/>
      <c r="CP91" s="352"/>
      <c r="CQ91" s="352"/>
      <c r="CR91" s="352"/>
      <c r="CS91" s="352"/>
      <c r="CT91" s="352"/>
      <c r="CU91" s="352"/>
      <c r="CV91" s="352"/>
      <c r="CW91" s="352"/>
      <c r="CX91" s="352"/>
      <c r="CY91" s="352"/>
      <c r="CZ91" s="352"/>
      <c r="DA91" s="352"/>
      <c r="DB91" s="352"/>
      <c r="DC91" s="352"/>
      <c r="DD91" s="352"/>
      <c r="DE91" s="7"/>
    </row>
    <row r="92" spans="1:109" ht="15" customHeight="1">
      <c r="A92" s="8"/>
      <c r="B92" s="382"/>
      <c r="C92" s="383"/>
      <c r="D92" s="383"/>
      <c r="E92" s="383"/>
      <c r="F92" s="383"/>
      <c r="G92" s="383"/>
      <c r="H92" s="384"/>
      <c r="I92" s="351"/>
      <c r="J92" s="351"/>
      <c r="K92" s="351"/>
      <c r="L92" s="351"/>
      <c r="M92" s="351"/>
      <c r="N92" s="351"/>
      <c r="O92" s="351"/>
      <c r="P92" s="351"/>
      <c r="Q92" s="351"/>
      <c r="R92" s="351"/>
      <c r="S92" s="351"/>
      <c r="T92" s="351"/>
      <c r="U92" s="351"/>
      <c r="V92" s="351"/>
      <c r="W92" s="351"/>
      <c r="X92" s="351"/>
      <c r="Y92" s="351"/>
      <c r="Z92" s="351"/>
      <c r="AA92" s="351"/>
      <c r="AB92" s="351"/>
      <c r="AC92" s="351"/>
      <c r="AD92" s="417"/>
      <c r="AE92" s="351"/>
      <c r="AF92" s="351"/>
      <c r="AG92" s="351"/>
      <c r="AH92" s="351"/>
      <c r="AI92" s="351"/>
      <c r="AJ92" s="351"/>
      <c r="AK92" s="417"/>
      <c r="AL92" s="351"/>
      <c r="AM92" s="351"/>
      <c r="AN92" s="351"/>
      <c r="AO92" s="351"/>
      <c r="AP92" s="351"/>
      <c r="AQ92" s="351"/>
      <c r="AR92" s="351"/>
      <c r="AS92" s="351"/>
      <c r="AT92" s="351"/>
      <c r="AU92" s="351"/>
      <c r="AV92" s="351"/>
      <c r="AW92" s="351"/>
      <c r="AX92" s="351"/>
      <c r="AY92" s="351"/>
      <c r="AZ92" s="351"/>
      <c r="BA92" s="351"/>
      <c r="BB92" s="351"/>
      <c r="BC92" s="351"/>
      <c r="BD92" s="351"/>
      <c r="BE92" s="351"/>
      <c r="BF92" s="382"/>
      <c r="BG92" s="383"/>
      <c r="BH92" s="383"/>
      <c r="BI92" s="383"/>
      <c r="BJ92" s="383"/>
      <c r="BK92" s="383"/>
      <c r="BL92" s="384"/>
      <c r="BM92" s="382"/>
      <c r="BN92" s="383"/>
      <c r="BO92" s="383"/>
      <c r="BP92" s="383"/>
      <c r="BQ92" s="383"/>
      <c r="BR92" s="383"/>
      <c r="BS92" s="383"/>
      <c r="BT92" s="383"/>
      <c r="BU92" s="383"/>
      <c r="BV92" s="383"/>
      <c r="BW92" s="383"/>
      <c r="BX92" s="383"/>
      <c r="BY92" s="383"/>
      <c r="BZ92" s="383"/>
      <c r="CA92" s="383"/>
      <c r="CB92" s="383"/>
      <c r="CC92" s="383"/>
      <c r="CD92" s="383"/>
      <c r="CE92" s="383"/>
      <c r="CF92" s="383"/>
      <c r="CG92" s="383"/>
      <c r="CH92" s="383"/>
      <c r="CI92" s="383"/>
      <c r="CJ92" s="383"/>
      <c r="CK92" s="383"/>
      <c r="CL92" s="384"/>
      <c r="CM92" s="351"/>
      <c r="CN92" s="351"/>
      <c r="CO92" s="351"/>
      <c r="CP92" s="351"/>
      <c r="CQ92" s="351"/>
      <c r="CR92" s="351"/>
      <c r="CS92" s="351"/>
      <c r="CT92" s="351"/>
      <c r="CU92" s="351"/>
      <c r="CV92" s="351"/>
      <c r="CW92" s="351"/>
      <c r="CX92" s="351"/>
      <c r="CY92" s="351"/>
      <c r="CZ92" s="351"/>
      <c r="DA92" s="351"/>
      <c r="DB92" s="351"/>
      <c r="DC92" s="351"/>
      <c r="DD92" s="351"/>
      <c r="DE92" s="7"/>
    </row>
    <row r="93" spans="1:109" ht="15" customHeight="1">
      <c r="A93" s="3"/>
      <c r="B93" s="385"/>
      <c r="C93" s="386"/>
      <c r="D93" s="386"/>
      <c r="E93" s="386"/>
      <c r="F93" s="386"/>
      <c r="G93" s="386"/>
      <c r="H93" s="387"/>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85"/>
      <c r="BG93" s="386"/>
      <c r="BH93" s="386"/>
      <c r="BI93" s="386"/>
      <c r="BJ93" s="386"/>
      <c r="BK93" s="386"/>
      <c r="BL93" s="387"/>
      <c r="BM93" s="385"/>
      <c r="BN93" s="386"/>
      <c r="BO93" s="386"/>
      <c r="BP93" s="386"/>
      <c r="BQ93" s="386"/>
      <c r="BR93" s="386"/>
      <c r="BS93" s="386"/>
      <c r="BT93" s="386"/>
      <c r="BU93" s="386"/>
      <c r="BV93" s="386"/>
      <c r="BW93" s="386"/>
      <c r="BX93" s="386"/>
      <c r="BY93" s="386"/>
      <c r="BZ93" s="386"/>
      <c r="CA93" s="386"/>
      <c r="CB93" s="386"/>
      <c r="CC93" s="386"/>
      <c r="CD93" s="386"/>
      <c r="CE93" s="386"/>
      <c r="CF93" s="386"/>
      <c r="CG93" s="386"/>
      <c r="CH93" s="386"/>
      <c r="CI93" s="386"/>
      <c r="CJ93" s="386"/>
      <c r="CK93" s="386"/>
      <c r="CL93" s="387"/>
      <c r="CM93" s="351"/>
      <c r="CN93" s="351"/>
      <c r="CO93" s="351"/>
      <c r="CP93" s="351"/>
      <c r="CQ93" s="351"/>
      <c r="CR93" s="351"/>
      <c r="CS93" s="351"/>
      <c r="CT93" s="351"/>
      <c r="CU93" s="351"/>
      <c r="CV93" s="351"/>
      <c r="CW93" s="351"/>
      <c r="CX93" s="351"/>
      <c r="CY93" s="351"/>
      <c r="CZ93" s="351"/>
      <c r="DA93" s="351"/>
      <c r="DB93" s="351"/>
      <c r="DC93" s="351"/>
      <c r="DD93" s="351"/>
      <c r="DE93" s="7"/>
    </row>
    <row r="94" spans="1:109" ht="15" customHeight="1">
      <c r="A94" s="3"/>
      <c r="B94" s="352"/>
      <c r="C94" s="352"/>
      <c r="D94" s="352"/>
      <c r="E94" s="352"/>
      <c r="F94" s="352"/>
      <c r="G94" s="352"/>
      <c r="H94" s="352"/>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2"/>
      <c r="BL94" s="352"/>
      <c r="BM94" s="352"/>
      <c r="BN94" s="352"/>
      <c r="BO94" s="352"/>
      <c r="BP94" s="352"/>
      <c r="BQ94" s="352"/>
      <c r="BR94" s="352"/>
      <c r="BS94" s="352"/>
      <c r="BT94" s="352"/>
      <c r="BU94" s="352"/>
      <c r="BV94" s="352"/>
      <c r="BW94" s="352"/>
      <c r="BX94" s="352"/>
      <c r="BY94" s="352"/>
      <c r="BZ94" s="352"/>
      <c r="CA94" s="352"/>
      <c r="CB94" s="352"/>
      <c r="CC94" s="352"/>
      <c r="CD94" s="352"/>
      <c r="CE94" s="352"/>
      <c r="CF94" s="352"/>
      <c r="CG94" s="352"/>
      <c r="CH94" s="352"/>
      <c r="CI94" s="352"/>
      <c r="CJ94" s="352"/>
      <c r="CK94" s="352"/>
      <c r="CL94" s="352"/>
      <c r="CM94" s="352"/>
      <c r="CN94" s="352"/>
      <c r="CO94" s="352"/>
      <c r="CP94" s="352"/>
      <c r="CQ94" s="352"/>
      <c r="CR94" s="352"/>
      <c r="CS94" s="352"/>
      <c r="CT94" s="352"/>
      <c r="CU94" s="352"/>
      <c r="CV94" s="352"/>
      <c r="CW94" s="352"/>
      <c r="CX94" s="352"/>
      <c r="CY94" s="352"/>
      <c r="CZ94" s="352"/>
      <c r="DA94" s="352"/>
      <c r="DB94" s="352"/>
      <c r="DC94" s="352"/>
      <c r="DD94" s="352"/>
      <c r="DE94" s="7"/>
    </row>
    <row r="95" spans="1:109" ht="15" customHeight="1">
      <c r="A95" s="6"/>
      <c r="B95" s="352"/>
      <c r="C95" s="352"/>
      <c r="D95" s="352"/>
      <c r="E95" s="352"/>
      <c r="F95" s="352"/>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2"/>
      <c r="BL95" s="352"/>
      <c r="BM95" s="352"/>
      <c r="BN95" s="352"/>
      <c r="BO95" s="352"/>
      <c r="BP95" s="352"/>
      <c r="BQ95" s="352"/>
      <c r="BR95" s="352"/>
      <c r="BS95" s="352"/>
      <c r="BT95" s="352"/>
      <c r="BU95" s="352"/>
      <c r="BV95" s="352"/>
      <c r="BW95" s="352"/>
      <c r="BX95" s="352"/>
      <c r="BY95" s="352"/>
      <c r="BZ95" s="352"/>
      <c r="CA95" s="352"/>
      <c r="CB95" s="352"/>
      <c r="CC95" s="352"/>
      <c r="CD95" s="352"/>
      <c r="CE95" s="352"/>
      <c r="CF95" s="352"/>
      <c r="CG95" s="352"/>
      <c r="CH95" s="352"/>
      <c r="CI95" s="352"/>
      <c r="CJ95" s="352"/>
      <c r="CK95" s="352"/>
      <c r="CL95" s="352"/>
      <c r="CM95" s="352"/>
      <c r="CN95" s="352"/>
      <c r="CO95" s="352"/>
      <c r="CP95" s="352"/>
      <c r="CQ95" s="352"/>
      <c r="CR95" s="352"/>
      <c r="CS95" s="352"/>
      <c r="CT95" s="352"/>
      <c r="CU95" s="352"/>
      <c r="CV95" s="352"/>
      <c r="CW95" s="352"/>
      <c r="CX95" s="352"/>
      <c r="CY95" s="352"/>
      <c r="CZ95" s="352"/>
      <c r="DA95" s="352"/>
      <c r="DB95" s="352"/>
      <c r="DC95" s="352"/>
      <c r="DD95" s="352"/>
      <c r="DE95" s="7"/>
    </row>
    <row r="96" spans="1:109" ht="15" customHeight="1">
      <c r="A96" s="8"/>
      <c r="B96" s="382"/>
      <c r="C96" s="383"/>
      <c r="D96" s="383"/>
      <c r="E96" s="383"/>
      <c r="F96" s="383"/>
      <c r="G96" s="383"/>
      <c r="H96" s="384"/>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c r="BI96" s="351"/>
      <c r="BJ96" s="351"/>
      <c r="BK96" s="351"/>
      <c r="BL96" s="351"/>
      <c r="BM96" s="351"/>
      <c r="BN96" s="351"/>
      <c r="BO96" s="351"/>
      <c r="BP96" s="351"/>
      <c r="BQ96" s="351"/>
      <c r="BR96" s="351"/>
      <c r="BS96" s="351"/>
      <c r="BT96" s="351"/>
      <c r="BU96" s="351"/>
      <c r="BV96" s="351"/>
      <c r="BW96" s="351"/>
      <c r="BX96" s="351"/>
      <c r="BY96" s="351"/>
      <c r="BZ96" s="351"/>
      <c r="CA96" s="351"/>
      <c r="CB96" s="351"/>
      <c r="CC96" s="351"/>
      <c r="CD96" s="351"/>
      <c r="CE96" s="351"/>
      <c r="CF96" s="351"/>
      <c r="CG96" s="351"/>
      <c r="CH96" s="351"/>
      <c r="CI96" s="351"/>
      <c r="CJ96" s="351"/>
      <c r="CK96" s="351"/>
      <c r="CL96" s="351"/>
      <c r="CM96" s="351"/>
      <c r="CN96" s="351"/>
      <c r="CO96" s="351"/>
      <c r="CP96" s="351"/>
      <c r="CQ96" s="351"/>
      <c r="CR96" s="351"/>
      <c r="CS96" s="351"/>
      <c r="CT96" s="351"/>
      <c r="CU96" s="351"/>
      <c r="CV96" s="351"/>
      <c r="CW96" s="351"/>
      <c r="CX96" s="351"/>
      <c r="CY96" s="351"/>
      <c r="CZ96" s="351"/>
      <c r="DA96" s="351"/>
      <c r="DB96" s="351"/>
      <c r="DC96" s="351"/>
      <c r="DD96" s="351"/>
      <c r="DE96" s="7"/>
    </row>
    <row r="97" spans="1:109" ht="15" customHeight="1">
      <c r="A97" s="3"/>
      <c r="B97" s="385"/>
      <c r="C97" s="386"/>
      <c r="D97" s="386"/>
      <c r="E97" s="386"/>
      <c r="F97" s="386"/>
      <c r="G97" s="386"/>
      <c r="H97" s="387"/>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c r="BT97" s="351"/>
      <c r="BU97" s="351"/>
      <c r="BV97" s="351"/>
      <c r="BW97" s="351"/>
      <c r="BX97" s="351"/>
      <c r="BY97" s="351"/>
      <c r="BZ97" s="351"/>
      <c r="CA97" s="351"/>
      <c r="CB97" s="351"/>
      <c r="CC97" s="351"/>
      <c r="CD97" s="351"/>
      <c r="CE97" s="351"/>
      <c r="CF97" s="351"/>
      <c r="CG97" s="351"/>
      <c r="CH97" s="351"/>
      <c r="CI97" s="351"/>
      <c r="CJ97" s="351"/>
      <c r="CK97" s="351"/>
      <c r="CL97" s="351"/>
      <c r="CM97" s="351"/>
      <c r="CN97" s="351"/>
      <c r="CO97" s="351"/>
      <c r="CP97" s="351"/>
      <c r="CQ97" s="351"/>
      <c r="CR97" s="351"/>
      <c r="CS97" s="351"/>
      <c r="CT97" s="351"/>
      <c r="CU97" s="351"/>
      <c r="CV97" s="351"/>
      <c r="CW97" s="351"/>
      <c r="CX97" s="351"/>
      <c r="CY97" s="351"/>
      <c r="CZ97" s="351"/>
      <c r="DA97" s="351"/>
      <c r="DB97" s="351"/>
      <c r="DC97" s="351"/>
      <c r="DD97" s="351"/>
      <c r="DE97" s="7"/>
    </row>
    <row r="98" spans="1:109" ht="15" customHeight="1">
      <c r="A98" s="3"/>
      <c r="B98" s="353"/>
      <c r="C98" s="354"/>
      <c r="D98" s="354"/>
      <c r="E98" s="354"/>
      <c r="F98" s="354"/>
      <c r="G98" s="354"/>
      <c r="H98" s="355"/>
      <c r="I98" s="352"/>
      <c r="J98" s="352"/>
      <c r="K98" s="352"/>
      <c r="L98" s="352"/>
      <c r="M98" s="352"/>
      <c r="N98" s="352"/>
      <c r="O98" s="352"/>
      <c r="P98" s="352"/>
      <c r="Q98" s="352"/>
      <c r="R98" s="352"/>
      <c r="S98" s="352"/>
      <c r="T98" s="352"/>
      <c r="U98" s="352"/>
      <c r="V98" s="352"/>
      <c r="W98" s="352"/>
      <c r="X98" s="352"/>
      <c r="Y98" s="352"/>
      <c r="Z98" s="352"/>
      <c r="AA98" s="352"/>
      <c r="AB98" s="352"/>
      <c r="AC98" s="352"/>
      <c r="AD98" s="352"/>
      <c r="AE98" s="352"/>
      <c r="AF98" s="352"/>
      <c r="AG98" s="352"/>
      <c r="AH98" s="352"/>
      <c r="AI98" s="352"/>
      <c r="AJ98" s="352"/>
      <c r="AK98" s="352"/>
      <c r="AL98" s="352"/>
      <c r="AM98" s="352"/>
      <c r="AN98" s="352"/>
      <c r="AO98" s="352"/>
      <c r="AP98" s="352"/>
      <c r="AQ98" s="352"/>
      <c r="AR98" s="352"/>
      <c r="AS98" s="352"/>
      <c r="AT98" s="352"/>
      <c r="AU98" s="352"/>
      <c r="AV98" s="352"/>
      <c r="AW98" s="352"/>
      <c r="AX98" s="352"/>
      <c r="AY98" s="352"/>
      <c r="AZ98" s="352"/>
      <c r="BA98" s="352"/>
      <c r="BB98" s="352"/>
      <c r="BC98" s="352"/>
      <c r="BD98" s="352"/>
      <c r="BE98" s="352"/>
      <c r="BF98" s="352"/>
      <c r="BG98" s="352"/>
      <c r="BH98" s="352"/>
      <c r="BI98" s="352"/>
      <c r="BJ98" s="352"/>
      <c r="BK98" s="352"/>
      <c r="BL98" s="352"/>
      <c r="BM98" s="352"/>
      <c r="BN98" s="352"/>
      <c r="BO98" s="352"/>
      <c r="BP98" s="352"/>
      <c r="BQ98" s="352"/>
      <c r="BR98" s="352"/>
      <c r="BS98" s="352"/>
      <c r="BT98" s="352"/>
      <c r="BU98" s="352"/>
      <c r="BV98" s="352"/>
      <c r="BW98" s="352"/>
      <c r="BX98" s="352"/>
      <c r="BY98" s="352"/>
      <c r="BZ98" s="352"/>
      <c r="CA98" s="352"/>
      <c r="CB98" s="352"/>
      <c r="CC98" s="352"/>
      <c r="CD98" s="352"/>
      <c r="CE98" s="352"/>
      <c r="CF98" s="352"/>
      <c r="CG98" s="352"/>
      <c r="CH98" s="352"/>
      <c r="CI98" s="352"/>
      <c r="CJ98" s="352"/>
      <c r="CK98" s="352"/>
      <c r="CL98" s="352"/>
      <c r="CM98" s="352"/>
      <c r="CN98" s="352"/>
      <c r="CO98" s="352"/>
      <c r="CP98" s="352"/>
      <c r="CQ98" s="352"/>
      <c r="CR98" s="352"/>
      <c r="CS98" s="352"/>
      <c r="CT98" s="352"/>
      <c r="CU98" s="352"/>
      <c r="CV98" s="352"/>
      <c r="CW98" s="352"/>
      <c r="CX98" s="352"/>
      <c r="CY98" s="352"/>
      <c r="CZ98" s="352"/>
      <c r="DA98" s="352"/>
      <c r="DB98" s="352"/>
      <c r="DC98" s="352"/>
      <c r="DD98" s="352"/>
      <c r="DE98" s="7"/>
    </row>
    <row r="99" spans="1:109" ht="15" customHeight="1">
      <c r="A99" s="3"/>
      <c r="B99" s="356"/>
      <c r="C99" s="357"/>
      <c r="D99" s="357"/>
      <c r="E99" s="357"/>
      <c r="F99" s="357"/>
      <c r="G99" s="357"/>
      <c r="H99" s="358"/>
      <c r="I99" s="352"/>
      <c r="J99" s="352"/>
      <c r="K99" s="352"/>
      <c r="L99" s="352"/>
      <c r="M99" s="352"/>
      <c r="N99" s="352"/>
      <c r="O99" s="352"/>
      <c r="P99" s="352"/>
      <c r="Q99" s="352"/>
      <c r="R99" s="352"/>
      <c r="S99" s="352"/>
      <c r="T99" s="352"/>
      <c r="U99" s="352"/>
      <c r="V99" s="352"/>
      <c r="W99" s="352"/>
      <c r="X99" s="352"/>
      <c r="Y99" s="352"/>
      <c r="Z99" s="352"/>
      <c r="AA99" s="352"/>
      <c r="AB99" s="352"/>
      <c r="AC99" s="352"/>
      <c r="AD99" s="352"/>
      <c r="AE99" s="352"/>
      <c r="AF99" s="352"/>
      <c r="AG99" s="352"/>
      <c r="AH99" s="352"/>
      <c r="AI99" s="352"/>
      <c r="AJ99" s="352"/>
      <c r="AK99" s="352"/>
      <c r="AL99" s="352"/>
      <c r="AM99" s="352"/>
      <c r="AN99" s="352"/>
      <c r="AO99" s="352"/>
      <c r="AP99" s="352"/>
      <c r="AQ99" s="352"/>
      <c r="AR99" s="352"/>
      <c r="AS99" s="352"/>
      <c r="AT99" s="352"/>
      <c r="AU99" s="352"/>
      <c r="AV99" s="352"/>
      <c r="AW99" s="352"/>
      <c r="AX99" s="352"/>
      <c r="AY99" s="352"/>
      <c r="AZ99" s="352"/>
      <c r="BA99" s="352"/>
      <c r="BB99" s="352"/>
      <c r="BC99" s="352"/>
      <c r="BD99" s="352"/>
      <c r="BE99" s="352"/>
      <c r="BF99" s="352"/>
      <c r="BG99" s="352"/>
      <c r="BH99" s="352"/>
      <c r="BI99" s="352"/>
      <c r="BJ99" s="352"/>
      <c r="BK99" s="352"/>
      <c r="BL99" s="352"/>
      <c r="BM99" s="352"/>
      <c r="BN99" s="352"/>
      <c r="BO99" s="352"/>
      <c r="BP99" s="352"/>
      <c r="BQ99" s="352"/>
      <c r="BR99" s="352"/>
      <c r="BS99" s="352"/>
      <c r="BT99" s="352"/>
      <c r="BU99" s="352"/>
      <c r="BV99" s="352"/>
      <c r="BW99" s="352"/>
      <c r="BX99" s="352"/>
      <c r="BY99" s="352"/>
      <c r="BZ99" s="352"/>
      <c r="CA99" s="352"/>
      <c r="CB99" s="352"/>
      <c r="CC99" s="352"/>
      <c r="CD99" s="352"/>
      <c r="CE99" s="352"/>
      <c r="CF99" s="352"/>
      <c r="CG99" s="352"/>
      <c r="CH99" s="352"/>
      <c r="CI99" s="352"/>
      <c r="CJ99" s="352"/>
      <c r="CK99" s="352"/>
      <c r="CL99" s="352"/>
      <c r="CM99" s="352"/>
      <c r="CN99" s="352"/>
      <c r="CO99" s="352"/>
      <c r="CP99" s="352"/>
      <c r="CQ99" s="352"/>
      <c r="CR99" s="352"/>
      <c r="CS99" s="352"/>
      <c r="CT99" s="352"/>
      <c r="CU99" s="352"/>
      <c r="CV99" s="352"/>
      <c r="CW99" s="352"/>
      <c r="CX99" s="352"/>
      <c r="CY99" s="352"/>
      <c r="CZ99" s="352"/>
      <c r="DA99" s="352"/>
      <c r="DB99" s="352"/>
      <c r="DC99" s="352"/>
      <c r="DD99" s="352"/>
      <c r="DE99" s="7"/>
    </row>
    <row r="100" spans="1:109" ht="15" customHeight="1">
      <c r="A100" s="6"/>
      <c r="B100" s="382"/>
      <c r="C100" s="383"/>
      <c r="D100" s="383"/>
      <c r="E100" s="383"/>
      <c r="F100" s="383"/>
      <c r="G100" s="383"/>
      <c r="H100" s="384"/>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c r="BI100" s="351"/>
      <c r="BJ100" s="351"/>
      <c r="BK100" s="351"/>
      <c r="BL100" s="351"/>
      <c r="BM100" s="351"/>
      <c r="BN100" s="351"/>
      <c r="BO100" s="351"/>
      <c r="BP100" s="351"/>
      <c r="BQ100" s="351"/>
      <c r="BR100" s="351"/>
      <c r="BS100" s="351"/>
      <c r="BT100" s="351"/>
      <c r="BU100" s="351"/>
      <c r="BV100" s="351"/>
      <c r="BW100" s="351"/>
      <c r="BX100" s="351"/>
      <c r="BY100" s="351"/>
      <c r="BZ100" s="351"/>
      <c r="CA100" s="351"/>
      <c r="CB100" s="351"/>
      <c r="CC100" s="351"/>
      <c r="CD100" s="351"/>
      <c r="CE100" s="351"/>
      <c r="CF100" s="351"/>
      <c r="CG100" s="351"/>
      <c r="CH100" s="351"/>
      <c r="CI100" s="351"/>
      <c r="CJ100" s="351"/>
      <c r="CK100" s="351"/>
      <c r="CL100" s="351"/>
      <c r="CM100" s="351"/>
      <c r="CN100" s="351"/>
      <c r="CO100" s="351"/>
      <c r="CP100" s="351"/>
      <c r="CQ100" s="351"/>
      <c r="CR100" s="351"/>
      <c r="CS100" s="351"/>
      <c r="CT100" s="351"/>
      <c r="CU100" s="351"/>
      <c r="CV100" s="351"/>
      <c r="CW100" s="351"/>
      <c r="CX100" s="351"/>
      <c r="CY100" s="351"/>
      <c r="CZ100" s="351"/>
      <c r="DA100" s="351"/>
      <c r="DB100" s="351"/>
      <c r="DC100" s="351"/>
      <c r="DD100" s="351"/>
      <c r="DE100" s="7"/>
    </row>
    <row r="101" spans="1:109" ht="15" customHeight="1">
      <c r="A101" s="8"/>
      <c r="B101" s="385"/>
      <c r="C101" s="386"/>
      <c r="D101" s="386"/>
      <c r="E101" s="386"/>
      <c r="F101" s="386"/>
      <c r="G101" s="386"/>
      <c r="H101" s="387"/>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1"/>
      <c r="BO101" s="351"/>
      <c r="BP101" s="351"/>
      <c r="BQ101" s="351"/>
      <c r="BR101" s="351"/>
      <c r="BS101" s="351"/>
      <c r="BT101" s="351"/>
      <c r="BU101" s="351"/>
      <c r="BV101" s="351"/>
      <c r="BW101" s="351"/>
      <c r="BX101" s="351"/>
      <c r="BY101" s="351"/>
      <c r="BZ101" s="351"/>
      <c r="CA101" s="351"/>
      <c r="CB101" s="351"/>
      <c r="CC101" s="351"/>
      <c r="CD101" s="351"/>
      <c r="CE101" s="351"/>
      <c r="CF101" s="351"/>
      <c r="CG101" s="351"/>
      <c r="CH101" s="351"/>
      <c r="CI101" s="351"/>
      <c r="CJ101" s="351"/>
      <c r="CK101" s="351"/>
      <c r="CL101" s="351"/>
      <c r="CM101" s="351"/>
      <c r="CN101" s="351"/>
      <c r="CO101" s="351"/>
      <c r="CP101" s="351"/>
      <c r="CQ101" s="351"/>
      <c r="CR101" s="351"/>
      <c r="CS101" s="351"/>
      <c r="CT101" s="351"/>
      <c r="CU101" s="351"/>
      <c r="CV101" s="351"/>
      <c r="CW101" s="351"/>
      <c r="CX101" s="351"/>
      <c r="CY101" s="351"/>
      <c r="CZ101" s="351"/>
      <c r="DA101" s="351"/>
      <c r="DB101" s="351"/>
      <c r="DC101" s="351"/>
      <c r="DD101" s="351"/>
      <c r="DE101" s="7"/>
    </row>
    <row r="102" spans="1:109" ht="15" customHeight="1">
      <c r="A102" s="8"/>
      <c r="B102" s="353"/>
      <c r="C102" s="354"/>
      <c r="D102" s="354"/>
      <c r="E102" s="354"/>
      <c r="F102" s="354"/>
      <c r="G102" s="354"/>
      <c r="H102" s="355"/>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c r="AX102" s="352"/>
      <c r="AY102" s="352"/>
      <c r="AZ102" s="352"/>
      <c r="BA102" s="352"/>
      <c r="BB102" s="352"/>
      <c r="BC102" s="352"/>
      <c r="BD102" s="352"/>
      <c r="BE102" s="352"/>
      <c r="BF102" s="352"/>
      <c r="BG102" s="352"/>
      <c r="BH102" s="352"/>
      <c r="BI102" s="352"/>
      <c r="BJ102" s="352"/>
      <c r="BK102" s="352"/>
      <c r="BL102" s="352"/>
      <c r="BM102" s="352"/>
      <c r="BN102" s="352"/>
      <c r="BO102" s="352"/>
      <c r="BP102" s="352"/>
      <c r="BQ102" s="352"/>
      <c r="BR102" s="352"/>
      <c r="BS102" s="352"/>
      <c r="BT102" s="352"/>
      <c r="BU102" s="352"/>
      <c r="BV102" s="352"/>
      <c r="BW102" s="352"/>
      <c r="BX102" s="352"/>
      <c r="BY102" s="352"/>
      <c r="BZ102" s="352"/>
      <c r="CA102" s="352"/>
      <c r="CB102" s="352"/>
      <c r="CC102" s="352"/>
      <c r="CD102" s="352"/>
      <c r="CE102" s="352"/>
      <c r="CF102" s="352"/>
      <c r="CG102" s="352"/>
      <c r="CH102" s="352"/>
      <c r="CI102" s="352"/>
      <c r="CJ102" s="352"/>
      <c r="CK102" s="352"/>
      <c r="CL102" s="352"/>
      <c r="CM102" s="352"/>
      <c r="CN102" s="352"/>
      <c r="CO102" s="352"/>
      <c r="CP102" s="352"/>
      <c r="CQ102" s="352"/>
      <c r="CR102" s="352"/>
      <c r="CS102" s="352"/>
      <c r="CT102" s="352"/>
      <c r="CU102" s="352"/>
      <c r="CV102" s="352"/>
      <c r="CW102" s="352"/>
      <c r="CX102" s="352"/>
      <c r="CY102" s="352"/>
      <c r="CZ102" s="352"/>
      <c r="DA102" s="352"/>
      <c r="DB102" s="352"/>
      <c r="DC102" s="352"/>
      <c r="DD102" s="352"/>
      <c r="DE102" s="7"/>
    </row>
    <row r="103" spans="1:109" ht="15" customHeight="1">
      <c r="A103" s="8"/>
      <c r="B103" s="356"/>
      <c r="C103" s="357"/>
      <c r="D103" s="357"/>
      <c r="E103" s="357"/>
      <c r="F103" s="357"/>
      <c r="G103" s="357"/>
      <c r="H103" s="358"/>
      <c r="I103" s="352"/>
      <c r="J103" s="352"/>
      <c r="K103" s="352"/>
      <c r="L103" s="352"/>
      <c r="M103" s="352"/>
      <c r="N103" s="352"/>
      <c r="O103" s="352"/>
      <c r="P103" s="352"/>
      <c r="Q103" s="352"/>
      <c r="R103" s="352"/>
      <c r="S103" s="352"/>
      <c r="T103" s="352"/>
      <c r="U103" s="352"/>
      <c r="V103" s="352"/>
      <c r="W103" s="352"/>
      <c r="X103" s="352"/>
      <c r="Y103" s="352"/>
      <c r="Z103" s="352"/>
      <c r="AA103" s="352"/>
      <c r="AB103" s="352"/>
      <c r="AC103" s="352"/>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c r="AX103" s="352"/>
      <c r="AY103" s="352"/>
      <c r="AZ103" s="352"/>
      <c r="BA103" s="352"/>
      <c r="BB103" s="352"/>
      <c r="BC103" s="352"/>
      <c r="BD103" s="352"/>
      <c r="BE103" s="352"/>
      <c r="BF103" s="352"/>
      <c r="BG103" s="352"/>
      <c r="BH103" s="352"/>
      <c r="BI103" s="352"/>
      <c r="BJ103" s="352"/>
      <c r="BK103" s="352"/>
      <c r="BL103" s="352"/>
      <c r="BM103" s="352"/>
      <c r="BN103" s="352"/>
      <c r="BO103" s="352"/>
      <c r="BP103" s="352"/>
      <c r="BQ103" s="352"/>
      <c r="BR103" s="352"/>
      <c r="BS103" s="352"/>
      <c r="BT103" s="352"/>
      <c r="BU103" s="352"/>
      <c r="BV103" s="352"/>
      <c r="BW103" s="352"/>
      <c r="BX103" s="352"/>
      <c r="BY103" s="352"/>
      <c r="BZ103" s="352"/>
      <c r="CA103" s="352"/>
      <c r="CB103" s="352"/>
      <c r="CC103" s="352"/>
      <c r="CD103" s="352"/>
      <c r="CE103" s="352"/>
      <c r="CF103" s="352"/>
      <c r="CG103" s="352"/>
      <c r="CH103" s="352"/>
      <c r="CI103" s="352"/>
      <c r="CJ103" s="352"/>
      <c r="CK103" s="352"/>
      <c r="CL103" s="352"/>
      <c r="CM103" s="352"/>
      <c r="CN103" s="352"/>
      <c r="CO103" s="352"/>
      <c r="CP103" s="352"/>
      <c r="CQ103" s="352"/>
      <c r="CR103" s="352"/>
      <c r="CS103" s="352"/>
      <c r="CT103" s="352"/>
      <c r="CU103" s="352"/>
      <c r="CV103" s="352"/>
      <c r="CW103" s="352"/>
      <c r="CX103" s="352"/>
      <c r="CY103" s="352"/>
      <c r="CZ103" s="352"/>
      <c r="DA103" s="352"/>
      <c r="DB103" s="352"/>
      <c r="DC103" s="352"/>
      <c r="DD103" s="352"/>
      <c r="DE103" s="7"/>
    </row>
    <row r="104" spans="1:109" ht="15" customHeight="1">
      <c r="A104" s="3"/>
      <c r="B104" s="382"/>
      <c r="C104" s="383"/>
      <c r="D104" s="383"/>
      <c r="E104" s="383"/>
      <c r="F104" s="383"/>
      <c r="G104" s="383"/>
      <c r="H104" s="384"/>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c r="BI104" s="351"/>
      <c r="BJ104" s="351"/>
      <c r="BK104" s="351"/>
      <c r="BL104" s="351"/>
      <c r="BM104" s="351"/>
      <c r="BN104" s="351"/>
      <c r="BO104" s="351"/>
      <c r="BP104" s="351"/>
      <c r="BQ104" s="351"/>
      <c r="BR104" s="351"/>
      <c r="BS104" s="351"/>
      <c r="BT104" s="351"/>
      <c r="BU104" s="351"/>
      <c r="BV104" s="351"/>
      <c r="BW104" s="351"/>
      <c r="BX104" s="351"/>
      <c r="BY104" s="351"/>
      <c r="BZ104" s="351"/>
      <c r="CA104" s="351"/>
      <c r="CB104" s="351"/>
      <c r="CC104" s="351"/>
      <c r="CD104" s="351"/>
      <c r="CE104" s="351"/>
      <c r="CF104" s="351"/>
      <c r="CG104" s="351"/>
      <c r="CH104" s="351"/>
      <c r="CI104" s="351"/>
      <c r="CJ104" s="351"/>
      <c r="CK104" s="351"/>
      <c r="CL104" s="351"/>
      <c r="CM104" s="351"/>
      <c r="CN104" s="351"/>
      <c r="CO104" s="351"/>
      <c r="CP104" s="351"/>
      <c r="CQ104" s="351"/>
      <c r="CR104" s="351"/>
      <c r="CS104" s="351"/>
      <c r="CT104" s="351"/>
      <c r="CU104" s="351"/>
      <c r="CV104" s="351"/>
      <c r="CW104" s="351"/>
      <c r="CX104" s="351"/>
      <c r="CY104" s="351"/>
      <c r="CZ104" s="351"/>
      <c r="DA104" s="351"/>
      <c r="DB104" s="351"/>
      <c r="DC104" s="351"/>
      <c r="DD104" s="351"/>
      <c r="DE104" s="7"/>
    </row>
    <row r="105" spans="1:109" ht="15" customHeight="1">
      <c r="A105" s="3"/>
      <c r="B105" s="385"/>
      <c r="C105" s="386"/>
      <c r="D105" s="386"/>
      <c r="E105" s="386"/>
      <c r="F105" s="386"/>
      <c r="G105" s="386"/>
      <c r="H105" s="387"/>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c r="BI105" s="351"/>
      <c r="BJ105" s="351"/>
      <c r="BK105" s="351"/>
      <c r="BL105" s="351"/>
      <c r="BM105" s="351"/>
      <c r="BN105" s="351"/>
      <c r="BO105" s="351"/>
      <c r="BP105" s="351"/>
      <c r="BQ105" s="351"/>
      <c r="BR105" s="351"/>
      <c r="BS105" s="351"/>
      <c r="BT105" s="351"/>
      <c r="BU105" s="351"/>
      <c r="BV105" s="351"/>
      <c r="BW105" s="351"/>
      <c r="BX105" s="351"/>
      <c r="BY105" s="351"/>
      <c r="BZ105" s="351"/>
      <c r="CA105" s="351"/>
      <c r="CB105" s="351"/>
      <c r="CC105" s="351"/>
      <c r="CD105" s="351"/>
      <c r="CE105" s="351"/>
      <c r="CF105" s="351"/>
      <c r="CG105" s="351"/>
      <c r="CH105" s="351"/>
      <c r="CI105" s="351"/>
      <c r="CJ105" s="351"/>
      <c r="CK105" s="351"/>
      <c r="CL105" s="351"/>
      <c r="CM105" s="351"/>
      <c r="CN105" s="351"/>
      <c r="CO105" s="351"/>
      <c r="CP105" s="351"/>
      <c r="CQ105" s="351"/>
      <c r="CR105" s="351"/>
      <c r="CS105" s="351"/>
      <c r="CT105" s="351"/>
      <c r="CU105" s="351"/>
      <c r="CV105" s="351"/>
      <c r="CW105" s="351"/>
      <c r="CX105" s="351"/>
      <c r="CY105" s="351"/>
      <c r="CZ105" s="351"/>
      <c r="DA105" s="351"/>
      <c r="DB105" s="351"/>
      <c r="DC105" s="351"/>
      <c r="DD105" s="351"/>
      <c r="DE105" s="7"/>
    </row>
    <row r="106" spans="1:109" ht="15" customHeight="1">
      <c r="A106" s="3"/>
      <c r="B106" s="353"/>
      <c r="C106" s="354"/>
      <c r="D106" s="354"/>
      <c r="E106" s="354"/>
      <c r="F106" s="354"/>
      <c r="G106" s="354"/>
      <c r="H106" s="355"/>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c r="AX106" s="352"/>
      <c r="AY106" s="352"/>
      <c r="AZ106" s="352"/>
      <c r="BA106" s="352"/>
      <c r="BB106" s="352"/>
      <c r="BC106" s="352"/>
      <c r="BD106" s="352"/>
      <c r="BE106" s="352"/>
      <c r="BF106" s="352"/>
      <c r="BG106" s="352"/>
      <c r="BH106" s="352"/>
      <c r="BI106" s="352"/>
      <c r="BJ106" s="352"/>
      <c r="BK106" s="352"/>
      <c r="BL106" s="352"/>
      <c r="BM106" s="352"/>
      <c r="BN106" s="352"/>
      <c r="BO106" s="352"/>
      <c r="BP106" s="352"/>
      <c r="BQ106" s="352"/>
      <c r="BR106" s="352"/>
      <c r="BS106" s="352"/>
      <c r="BT106" s="352"/>
      <c r="BU106" s="352"/>
      <c r="BV106" s="352"/>
      <c r="BW106" s="352"/>
      <c r="BX106" s="352"/>
      <c r="BY106" s="352"/>
      <c r="BZ106" s="352"/>
      <c r="CA106" s="352"/>
      <c r="CB106" s="352"/>
      <c r="CC106" s="352"/>
      <c r="CD106" s="352"/>
      <c r="CE106" s="352"/>
      <c r="CF106" s="352"/>
      <c r="CG106" s="352"/>
      <c r="CH106" s="352"/>
      <c r="CI106" s="352"/>
      <c r="CJ106" s="352"/>
      <c r="CK106" s="352"/>
      <c r="CL106" s="352"/>
      <c r="CM106" s="352"/>
      <c r="CN106" s="352"/>
      <c r="CO106" s="352"/>
      <c r="CP106" s="352"/>
      <c r="CQ106" s="352"/>
      <c r="CR106" s="352"/>
      <c r="CS106" s="352"/>
      <c r="CT106" s="352"/>
      <c r="CU106" s="352"/>
      <c r="CV106" s="352"/>
      <c r="CW106" s="352"/>
      <c r="CX106" s="352"/>
      <c r="CY106" s="352"/>
      <c r="CZ106" s="352"/>
      <c r="DA106" s="352"/>
      <c r="DB106" s="352"/>
      <c r="DC106" s="352"/>
      <c r="DD106" s="352"/>
      <c r="DE106" s="24"/>
    </row>
    <row r="107" spans="1:109" ht="15" customHeight="1">
      <c r="A107" s="3"/>
      <c r="B107" s="356"/>
      <c r="C107" s="357"/>
      <c r="D107" s="357"/>
      <c r="E107" s="357"/>
      <c r="F107" s="357"/>
      <c r="G107" s="357"/>
      <c r="H107" s="358"/>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c r="AX107" s="352"/>
      <c r="AY107" s="352"/>
      <c r="AZ107" s="352"/>
      <c r="BA107" s="352"/>
      <c r="BB107" s="352"/>
      <c r="BC107" s="352"/>
      <c r="BD107" s="352"/>
      <c r="BE107" s="352"/>
      <c r="BF107" s="352"/>
      <c r="BG107" s="352"/>
      <c r="BH107" s="352"/>
      <c r="BI107" s="352"/>
      <c r="BJ107" s="352"/>
      <c r="BK107" s="352"/>
      <c r="BL107" s="352"/>
      <c r="BM107" s="352"/>
      <c r="BN107" s="352"/>
      <c r="BO107" s="352"/>
      <c r="BP107" s="352"/>
      <c r="BQ107" s="352"/>
      <c r="BR107" s="352"/>
      <c r="BS107" s="352"/>
      <c r="BT107" s="352"/>
      <c r="BU107" s="352"/>
      <c r="BV107" s="352"/>
      <c r="BW107" s="352"/>
      <c r="BX107" s="352"/>
      <c r="BY107" s="352"/>
      <c r="BZ107" s="352"/>
      <c r="CA107" s="352"/>
      <c r="CB107" s="352"/>
      <c r="CC107" s="352"/>
      <c r="CD107" s="352"/>
      <c r="CE107" s="352"/>
      <c r="CF107" s="352"/>
      <c r="CG107" s="352"/>
      <c r="CH107" s="352"/>
      <c r="CI107" s="352"/>
      <c r="CJ107" s="352"/>
      <c r="CK107" s="352"/>
      <c r="CL107" s="352"/>
      <c r="CM107" s="352"/>
      <c r="CN107" s="352"/>
      <c r="CO107" s="352"/>
      <c r="CP107" s="352"/>
      <c r="CQ107" s="352"/>
      <c r="CR107" s="352"/>
      <c r="CS107" s="352"/>
      <c r="CT107" s="352"/>
      <c r="CU107" s="352"/>
      <c r="CV107" s="352"/>
      <c r="CW107" s="352"/>
      <c r="CX107" s="352"/>
      <c r="CY107" s="352"/>
      <c r="CZ107" s="352"/>
      <c r="DA107" s="352"/>
      <c r="DB107" s="352"/>
      <c r="DC107" s="352"/>
      <c r="DD107" s="352"/>
      <c r="DE107" s="7"/>
    </row>
    <row r="108" spans="1:109" ht="15" customHeight="1">
      <c r="A108" s="3"/>
      <c r="B108" s="382"/>
      <c r="C108" s="383"/>
      <c r="D108" s="383"/>
      <c r="E108" s="383"/>
      <c r="F108" s="383"/>
      <c r="G108" s="383"/>
      <c r="H108" s="384"/>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c r="BI108" s="351"/>
      <c r="BJ108" s="351"/>
      <c r="BK108" s="351"/>
      <c r="BL108" s="351"/>
      <c r="BM108" s="351"/>
      <c r="BN108" s="351"/>
      <c r="BO108" s="351"/>
      <c r="BP108" s="351"/>
      <c r="BQ108" s="351"/>
      <c r="BR108" s="351"/>
      <c r="BS108" s="351"/>
      <c r="BT108" s="351"/>
      <c r="BU108" s="351"/>
      <c r="BV108" s="351"/>
      <c r="BW108" s="351"/>
      <c r="BX108" s="351"/>
      <c r="BY108" s="351"/>
      <c r="BZ108" s="351"/>
      <c r="CA108" s="351"/>
      <c r="CB108" s="351"/>
      <c r="CC108" s="351"/>
      <c r="CD108" s="351"/>
      <c r="CE108" s="351"/>
      <c r="CF108" s="351"/>
      <c r="CG108" s="351"/>
      <c r="CH108" s="351"/>
      <c r="CI108" s="351"/>
      <c r="CJ108" s="351"/>
      <c r="CK108" s="351"/>
      <c r="CL108" s="351"/>
      <c r="CM108" s="351"/>
      <c r="CN108" s="351"/>
      <c r="CO108" s="351"/>
      <c r="CP108" s="351"/>
      <c r="CQ108" s="351"/>
      <c r="CR108" s="351"/>
      <c r="CS108" s="351"/>
      <c r="CT108" s="351"/>
      <c r="CU108" s="351"/>
      <c r="CV108" s="351"/>
      <c r="CW108" s="351"/>
      <c r="CX108" s="351"/>
      <c r="CY108" s="351"/>
      <c r="CZ108" s="351"/>
      <c r="DA108" s="351"/>
      <c r="DB108" s="351"/>
      <c r="DC108" s="351"/>
      <c r="DD108" s="351"/>
      <c r="DE108" s="7"/>
    </row>
    <row r="109" spans="1:109" ht="15" customHeight="1">
      <c r="A109" s="6"/>
      <c r="B109" s="385"/>
      <c r="C109" s="386"/>
      <c r="D109" s="386"/>
      <c r="E109" s="386"/>
      <c r="F109" s="386"/>
      <c r="G109" s="386"/>
      <c r="H109" s="387"/>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c r="BI109" s="351"/>
      <c r="BJ109" s="351"/>
      <c r="BK109" s="351"/>
      <c r="BL109" s="351"/>
      <c r="BM109" s="351"/>
      <c r="BN109" s="351"/>
      <c r="BO109" s="351"/>
      <c r="BP109" s="351"/>
      <c r="BQ109" s="351"/>
      <c r="BR109" s="351"/>
      <c r="BS109" s="351"/>
      <c r="BT109" s="351"/>
      <c r="BU109" s="351"/>
      <c r="BV109" s="351"/>
      <c r="BW109" s="351"/>
      <c r="BX109" s="351"/>
      <c r="BY109" s="351"/>
      <c r="BZ109" s="351"/>
      <c r="CA109" s="351"/>
      <c r="CB109" s="351"/>
      <c r="CC109" s="351"/>
      <c r="CD109" s="351"/>
      <c r="CE109" s="351"/>
      <c r="CF109" s="351"/>
      <c r="CG109" s="351"/>
      <c r="CH109" s="351"/>
      <c r="CI109" s="351"/>
      <c r="CJ109" s="351"/>
      <c r="CK109" s="351"/>
      <c r="CL109" s="351"/>
      <c r="CM109" s="351"/>
      <c r="CN109" s="351"/>
      <c r="CO109" s="351"/>
      <c r="CP109" s="351"/>
      <c r="CQ109" s="351"/>
      <c r="CR109" s="351"/>
      <c r="CS109" s="351"/>
      <c r="CT109" s="351"/>
      <c r="CU109" s="351"/>
      <c r="CV109" s="351"/>
      <c r="CW109" s="351"/>
      <c r="CX109" s="351"/>
      <c r="CY109" s="351"/>
      <c r="CZ109" s="351"/>
      <c r="DA109" s="351"/>
      <c r="DB109" s="351"/>
      <c r="DC109" s="351"/>
      <c r="DD109" s="351"/>
      <c r="DE109" s="7"/>
    </row>
    <row r="110" spans="1:109" ht="15" customHeight="1" thickBot="1">
      <c r="A110" s="2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4"/>
    </row>
    <row r="111" spans="1:109" ht="15" customHeight="1">
      <c r="A111" s="3"/>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109" ht="15" customHeight="1">
      <c r="A112" s="8" t="s">
        <v>41</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109" ht="15" customHeight="1">
      <c r="A113" s="17" t="s">
        <v>42</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CJ113" s="9"/>
      <c r="CK113" s="9"/>
      <c r="CL113" s="9"/>
      <c r="CM113" s="9"/>
      <c r="CN113" s="10"/>
      <c r="CO113" s="10"/>
      <c r="CP113" s="10"/>
      <c r="CQ113" s="10"/>
      <c r="CR113" s="10"/>
      <c r="CS113" s="10"/>
      <c r="CT113" s="10"/>
      <c r="CU113" s="10"/>
      <c r="CV113" s="10"/>
      <c r="CW113" s="10"/>
      <c r="CX113" s="10"/>
      <c r="CY113" s="10"/>
      <c r="CZ113" s="10"/>
      <c r="DA113" s="10"/>
      <c r="DB113" s="10"/>
      <c r="DC113" s="10"/>
      <c r="DD113" s="10"/>
      <c r="DE113" s="10"/>
    </row>
    <row r="114" spans="1:109" ht="15" customHeight="1">
      <c r="A114" s="15" t="s">
        <v>43</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15"/>
      <c r="AV114" s="15"/>
    </row>
    <row r="115" spans="1:109" ht="15" customHeight="1">
      <c r="A115" s="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W115" s="16"/>
      <c r="AX115" s="16"/>
      <c r="AY115" s="16"/>
      <c r="AZ115" s="16"/>
      <c r="BA115" s="16"/>
      <c r="BB115" s="16"/>
      <c r="BC115" s="16"/>
      <c r="BD115" s="16"/>
      <c r="BE115" s="16"/>
      <c r="BF115" s="16"/>
      <c r="BG115" s="16"/>
      <c r="BH115" s="16"/>
      <c r="BI115" s="16"/>
      <c r="BJ115" s="16"/>
      <c r="BK115" s="16"/>
      <c r="BL115" s="16"/>
      <c r="BM115" s="16"/>
    </row>
    <row r="116" spans="1:109" ht="15" customHeight="1">
      <c r="A116" s="1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15"/>
      <c r="AV116" s="17"/>
    </row>
    <row r="117" spans="1:109" ht="1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5"/>
      <c r="AV117" s="5"/>
      <c r="AW117" s="5"/>
      <c r="AX117" s="5"/>
      <c r="AY117" s="5"/>
      <c r="AZ117" s="5"/>
      <c r="BA117" s="5"/>
      <c r="BB117" s="5"/>
      <c r="BC117" s="5"/>
      <c r="BD117" s="5"/>
      <c r="BE117" s="5"/>
      <c r="BF117" s="5"/>
      <c r="BG117" s="5"/>
      <c r="BH117" s="5"/>
      <c r="BI117" s="5"/>
      <c r="BJ117" s="5"/>
      <c r="BK117" s="5"/>
      <c r="BL117" s="5"/>
      <c r="BM117" s="5"/>
    </row>
    <row r="118" spans="1:109" ht="15" customHeight="1">
      <c r="A118" s="17"/>
      <c r="B118" s="16"/>
      <c r="C118" s="16"/>
      <c r="D118" s="16"/>
      <c r="E118" s="5"/>
      <c r="F118" s="5"/>
      <c r="G118" s="5"/>
      <c r="H118" s="5"/>
      <c r="I118" s="5"/>
      <c r="J118" s="5"/>
      <c r="K118" s="5"/>
      <c r="L118" s="5"/>
      <c r="M118" s="5"/>
      <c r="N118" s="5"/>
      <c r="O118" s="5"/>
      <c r="P118" s="5"/>
      <c r="Q118" s="16"/>
      <c r="R118" s="16"/>
      <c r="S118" s="16"/>
      <c r="T118" s="16"/>
      <c r="U118" s="16"/>
      <c r="V118" s="16"/>
      <c r="W118" s="16"/>
      <c r="X118" s="21"/>
      <c r="Y118" s="21"/>
      <c r="Z118" s="21"/>
      <c r="AA118" s="21"/>
      <c r="AE118" s="16"/>
      <c r="AF118" s="16"/>
      <c r="AG118" s="16"/>
      <c r="AH118" s="16"/>
      <c r="AI118" s="16"/>
      <c r="AJ118" s="16"/>
      <c r="AK118" s="16"/>
      <c r="AL118" s="16"/>
      <c r="AM118" s="16"/>
      <c r="AN118" s="16"/>
      <c r="AO118" s="16"/>
      <c r="AP118" s="16"/>
      <c r="AQ118" s="16"/>
      <c r="AR118" s="16"/>
      <c r="AS118" s="16"/>
      <c r="AU118" s="16"/>
      <c r="AV118" s="16"/>
      <c r="AW118" s="16"/>
      <c r="AX118" s="16"/>
      <c r="AY118" s="16"/>
      <c r="AZ118" s="16"/>
      <c r="BA118" s="16"/>
      <c r="BB118" s="16"/>
      <c r="BC118" s="16"/>
      <c r="BD118" s="16"/>
      <c r="BE118" s="16"/>
      <c r="BF118" s="16"/>
      <c r="BG118" s="16"/>
      <c r="BH118" s="16"/>
      <c r="BI118" s="16"/>
      <c r="BJ118" s="16"/>
      <c r="BK118" s="16"/>
      <c r="BL118" s="16"/>
      <c r="BM118" s="16"/>
      <c r="BN118" s="16"/>
      <c r="BO118" s="11"/>
      <c r="BP118" s="11"/>
      <c r="BQ118" s="11"/>
      <c r="BR118" s="11"/>
      <c r="BS118" s="11"/>
      <c r="BT118" s="11"/>
      <c r="BU118" s="11"/>
      <c r="BV118" s="11"/>
      <c r="BW118" s="11"/>
      <c r="BX118" s="11"/>
      <c r="BY118" s="11"/>
      <c r="BZ118" s="11"/>
      <c r="CA118" s="11"/>
      <c r="CB118" s="11"/>
      <c r="CC118" s="11"/>
      <c r="CD118" s="11"/>
      <c r="CE118" s="11"/>
      <c r="CF118" s="11"/>
      <c r="CG118" s="11"/>
      <c r="CH118" s="11"/>
      <c r="CI118" s="11"/>
    </row>
    <row r="119" spans="1:109" ht="15" customHeight="1">
      <c r="A119" s="17"/>
      <c r="AU119" s="22"/>
      <c r="AV119" s="22"/>
      <c r="AW119" s="19"/>
      <c r="AX119" s="19"/>
      <c r="AY119" s="22"/>
      <c r="AZ119" s="22"/>
      <c r="BA119" s="19"/>
      <c r="BB119" s="19"/>
      <c r="BC119" s="5"/>
      <c r="BD119" s="5"/>
      <c r="BE119" s="5"/>
      <c r="BF119" s="5"/>
      <c r="BG119" s="5"/>
      <c r="BH119" s="5"/>
      <c r="BI119" s="5"/>
      <c r="BJ119" s="5"/>
      <c r="BK119" s="5"/>
      <c r="BL119" s="5"/>
      <c r="BM119" s="5"/>
      <c r="BN119" s="5"/>
      <c r="BO119" s="11"/>
      <c r="BP119" s="11"/>
      <c r="BQ119" s="11"/>
      <c r="BR119" s="11"/>
      <c r="BS119" s="11"/>
      <c r="BT119" s="11"/>
      <c r="BU119" s="11"/>
      <c r="BV119" s="11"/>
      <c r="BW119" s="11"/>
      <c r="BX119" s="11"/>
      <c r="BY119" s="11"/>
      <c r="BZ119" s="11"/>
      <c r="CA119" s="11"/>
      <c r="CB119" s="11"/>
      <c r="CC119" s="11"/>
      <c r="CD119" s="11"/>
      <c r="CE119" s="11"/>
      <c r="CF119" s="11"/>
      <c r="CG119" s="11"/>
      <c r="CH119" s="11"/>
      <c r="CI119" s="11"/>
    </row>
    <row r="120" spans="1:109" ht="15" customHeight="1">
      <c r="A120" s="15"/>
      <c r="B120" s="16"/>
      <c r="C120" s="16"/>
      <c r="D120" s="16"/>
      <c r="E120" s="16"/>
      <c r="F120" s="16"/>
      <c r="G120" s="16"/>
      <c r="H120" s="16"/>
      <c r="I120" s="16"/>
      <c r="J120" s="16"/>
      <c r="K120" s="16"/>
      <c r="L120" s="16"/>
      <c r="M120" s="16"/>
      <c r="N120" s="16"/>
      <c r="O120" s="16"/>
      <c r="P120" s="16"/>
      <c r="Q120" s="16"/>
      <c r="R120" s="16"/>
      <c r="S120" s="16"/>
      <c r="T120" s="5"/>
      <c r="U120" s="5"/>
      <c r="V120" s="5"/>
      <c r="W120" s="5"/>
      <c r="X120" s="5"/>
      <c r="Y120" s="5"/>
      <c r="Z120" s="5"/>
      <c r="AA120" s="5"/>
      <c r="AB120" s="5"/>
      <c r="AC120" s="5"/>
      <c r="AD120" s="5"/>
      <c r="AE120" s="5"/>
      <c r="AF120" s="5"/>
      <c r="AG120" s="5"/>
      <c r="AH120" s="5"/>
      <c r="AI120" s="16"/>
      <c r="AJ120" s="16"/>
      <c r="AK120" s="16"/>
      <c r="AL120" s="16"/>
      <c r="AM120" s="16"/>
      <c r="AN120" s="16"/>
      <c r="AO120" s="5"/>
      <c r="AP120" s="5"/>
      <c r="AQ120" s="5"/>
      <c r="AR120" s="5"/>
      <c r="AS120" s="5"/>
      <c r="AT120" s="5"/>
      <c r="AU120" s="18"/>
      <c r="AV120" s="18"/>
      <c r="AW120" s="18"/>
      <c r="AX120" s="18"/>
      <c r="AY120" s="18"/>
      <c r="AZ120" s="5"/>
      <c r="BA120" s="5"/>
      <c r="BB120" s="5"/>
      <c r="BC120" s="5"/>
      <c r="BD120" s="5"/>
      <c r="BE120" s="5"/>
      <c r="BF120" s="5"/>
      <c r="BG120" s="5"/>
      <c r="BH120" s="5"/>
      <c r="BI120" s="5"/>
      <c r="BJ120" s="5"/>
      <c r="BK120" s="5"/>
      <c r="BL120" s="5"/>
      <c r="BM120" s="5"/>
      <c r="BN120" s="5"/>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109" ht="1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9"/>
      <c r="AV121" s="19"/>
      <c r="AW121" s="19"/>
      <c r="AX121" s="19"/>
      <c r="AY121" s="19"/>
      <c r="AZ121" s="19"/>
      <c r="BA121" s="19"/>
      <c r="BB121" s="19"/>
      <c r="BC121" s="19"/>
      <c r="BD121" s="19"/>
      <c r="BE121" s="19"/>
      <c r="BF121" s="19"/>
      <c r="BG121" s="19"/>
      <c r="BH121" s="19"/>
      <c r="BI121" s="19"/>
      <c r="BJ121" s="19"/>
      <c r="BK121" s="19"/>
      <c r="BL121" s="19"/>
      <c r="BM121" s="19"/>
      <c r="BN121" s="19"/>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109" ht="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18"/>
      <c r="AN122" s="18"/>
      <c r="AO122" s="18"/>
      <c r="AP122" s="19"/>
      <c r="AQ122" s="19"/>
      <c r="AR122" s="19"/>
      <c r="AS122" s="19"/>
      <c r="AT122" s="19"/>
      <c r="AU122" s="20"/>
      <c r="AV122" s="20"/>
      <c r="AW122" s="20"/>
      <c r="AX122" s="20"/>
      <c r="AY122" s="20"/>
      <c r="AZ122" s="20"/>
      <c r="BA122" s="20"/>
      <c r="BB122" s="20"/>
      <c r="BC122" s="20"/>
      <c r="BD122" s="20"/>
      <c r="BE122" s="20"/>
      <c r="BF122" s="20"/>
      <c r="BG122" s="20"/>
      <c r="BH122" s="20"/>
      <c r="BI122" s="20"/>
      <c r="BJ122" s="20"/>
      <c r="BK122" s="20"/>
      <c r="BL122" s="20"/>
      <c r="BM122" s="20"/>
      <c r="BN122" s="20"/>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109" ht="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18"/>
      <c r="AN123" s="18"/>
      <c r="AO123" s="18"/>
      <c r="AP123" s="18"/>
      <c r="AQ123" s="18"/>
      <c r="AR123" s="18"/>
      <c r="AS123" s="18"/>
      <c r="AT123" s="18"/>
      <c r="AU123" s="20"/>
      <c r="AV123" s="20"/>
      <c r="AW123" s="20"/>
      <c r="AX123" s="20"/>
      <c r="AY123" s="20"/>
      <c r="AZ123" s="20"/>
      <c r="BA123" s="20"/>
      <c r="BB123" s="20"/>
      <c r="BC123" s="20"/>
      <c r="BD123" s="20"/>
      <c r="BE123" s="20"/>
      <c r="BF123" s="20"/>
      <c r="BG123" s="20"/>
      <c r="BH123" s="20"/>
      <c r="BI123" s="20"/>
      <c r="BJ123" s="20"/>
      <c r="BK123" s="20"/>
      <c r="BL123" s="20"/>
      <c r="BM123" s="20"/>
      <c r="BN123" s="20"/>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109" ht="1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20"/>
      <c r="AV124" s="20"/>
      <c r="AW124" s="20"/>
      <c r="AX124" s="20"/>
      <c r="AY124" s="20"/>
      <c r="AZ124" s="20"/>
      <c r="BA124" s="20"/>
      <c r="BB124" s="20"/>
      <c r="BC124" s="20"/>
      <c r="BD124" s="20"/>
      <c r="BE124" s="20"/>
      <c r="BF124" s="20"/>
      <c r="BG124" s="20"/>
      <c r="BH124" s="20"/>
      <c r="BI124" s="20"/>
      <c r="BJ124" s="20"/>
      <c r="BK124" s="20"/>
      <c r="BL124" s="20"/>
      <c r="BM124" s="20"/>
      <c r="BN124" s="20"/>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109" ht="1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109" ht="1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109" ht="1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109" ht="1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66" ht="1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BM129" s="12"/>
      <c r="BN129" s="12"/>
    </row>
    <row r="130" spans="1:66" ht="1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row>
    <row r="131" spans="1:66" ht="1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row>
  </sheetData>
  <sheetProtection formatCells="0"/>
  <mergeCells count="508">
    <mergeCell ref="A1:CU6"/>
    <mergeCell ref="CV1:DE6"/>
    <mergeCell ref="A7:CO8"/>
    <mergeCell ref="CP7:DE8"/>
    <mergeCell ref="A9:R9"/>
    <mergeCell ref="S9:AD9"/>
    <mergeCell ref="AE9:AR9"/>
    <mergeCell ref="AS9:BF9"/>
    <mergeCell ref="BG9:CM11"/>
    <mergeCell ref="CN9:CP9"/>
    <mergeCell ref="A11:R11"/>
    <mergeCell ref="S11:AD11"/>
    <mergeCell ref="AE11:AR11"/>
    <mergeCell ref="AS11:BF11"/>
    <mergeCell ref="CN11:CP11"/>
    <mergeCell ref="CQ11:DE11"/>
    <mergeCell ref="CQ9:DE9"/>
    <mergeCell ref="A10:R10"/>
    <mergeCell ref="S10:AD10"/>
    <mergeCell ref="AE10:AR10"/>
    <mergeCell ref="AS10:BF10"/>
    <mergeCell ref="CN10:CP10"/>
    <mergeCell ref="CQ10:DE10"/>
    <mergeCell ref="AL14:AT14"/>
    <mergeCell ref="AU14:BC14"/>
    <mergeCell ref="BD14:BL14"/>
    <mergeCell ref="BM14:CM14"/>
    <mergeCell ref="CN14:CV14"/>
    <mergeCell ref="A12:DE12"/>
    <mergeCell ref="A13:J13"/>
    <mergeCell ref="K13:S13"/>
    <mergeCell ref="T13:AB13"/>
    <mergeCell ref="AC13:AK13"/>
    <mergeCell ref="AL13:AT13"/>
    <mergeCell ref="AU13:BC13"/>
    <mergeCell ref="BD13:BL13"/>
    <mergeCell ref="BM13:CM13"/>
    <mergeCell ref="CN13:CV13"/>
    <mergeCell ref="CW13:DE13"/>
    <mergeCell ref="B23:H24"/>
    <mergeCell ref="I23:O24"/>
    <mergeCell ref="P23:V24"/>
    <mergeCell ref="W23:AC24"/>
    <mergeCell ref="AD23:AJ24"/>
    <mergeCell ref="AK23:AQ24"/>
    <mergeCell ref="AR23:AX24"/>
    <mergeCell ref="CW14:DE14"/>
    <mergeCell ref="A15:DE15"/>
    <mergeCell ref="B17:H18"/>
    <mergeCell ref="I17:O18"/>
    <mergeCell ref="P17:V18"/>
    <mergeCell ref="W17:AC18"/>
    <mergeCell ref="AD17:AJ18"/>
    <mergeCell ref="AK17:AQ18"/>
    <mergeCell ref="AR17:AX18"/>
    <mergeCell ref="AY17:BE18"/>
    <mergeCell ref="BF17:BL18"/>
    <mergeCell ref="BM17:CL18"/>
    <mergeCell ref="CM17:DD18"/>
    <mergeCell ref="A14:J14"/>
    <mergeCell ref="K14:S14"/>
    <mergeCell ref="T14:AB14"/>
    <mergeCell ref="AC14:AK14"/>
    <mergeCell ref="AY19:BE20"/>
    <mergeCell ref="BF19:BL20"/>
    <mergeCell ref="BM19:CL20"/>
    <mergeCell ref="CM19:DD20"/>
    <mergeCell ref="B21:H22"/>
    <mergeCell ref="I21:O22"/>
    <mergeCell ref="P21:V22"/>
    <mergeCell ref="W21:AC22"/>
    <mergeCell ref="AD21:AJ22"/>
    <mergeCell ref="AK21:AQ22"/>
    <mergeCell ref="B19:H20"/>
    <mergeCell ref="I19:O20"/>
    <mergeCell ref="P19:V20"/>
    <mergeCell ref="W19:AC20"/>
    <mergeCell ref="AD19:AJ20"/>
    <mergeCell ref="AK19:AQ20"/>
    <mergeCell ref="AR19:AX20"/>
    <mergeCell ref="AY23:BE24"/>
    <mergeCell ref="BF23:BL24"/>
    <mergeCell ref="BM23:CL24"/>
    <mergeCell ref="CM23:DD24"/>
    <mergeCell ref="AR21:AX22"/>
    <mergeCell ref="AY21:BE22"/>
    <mergeCell ref="BF21:BL22"/>
    <mergeCell ref="BM21:CL22"/>
    <mergeCell ref="CM21:DD22"/>
    <mergeCell ref="B27:H28"/>
    <mergeCell ref="I27:O28"/>
    <mergeCell ref="P27:V28"/>
    <mergeCell ref="W27:AC28"/>
    <mergeCell ref="AD27:AJ28"/>
    <mergeCell ref="B25:H26"/>
    <mergeCell ref="I25:O26"/>
    <mergeCell ref="P25:V26"/>
    <mergeCell ref="W25:AC26"/>
    <mergeCell ref="AD25:AJ26"/>
    <mergeCell ref="AK27:AQ28"/>
    <mergeCell ref="AR27:AX28"/>
    <mergeCell ref="AY27:BE28"/>
    <mergeCell ref="BF27:BL28"/>
    <mergeCell ref="BM27:CL28"/>
    <mergeCell ref="CM27:DD28"/>
    <mergeCell ref="AR25:AX26"/>
    <mergeCell ref="AY25:BE26"/>
    <mergeCell ref="BF25:BL26"/>
    <mergeCell ref="BM25:CL26"/>
    <mergeCell ref="CM25:DD26"/>
    <mergeCell ref="AK25:AQ26"/>
    <mergeCell ref="B31:H32"/>
    <mergeCell ref="I31:O32"/>
    <mergeCell ref="P31:V32"/>
    <mergeCell ref="W31:AC32"/>
    <mergeCell ref="AD31:AJ32"/>
    <mergeCell ref="B29:H30"/>
    <mergeCell ref="I29:O30"/>
    <mergeCell ref="P29:V30"/>
    <mergeCell ref="W29:AC30"/>
    <mergeCell ref="AD29:AJ30"/>
    <mergeCell ref="AK31:AQ32"/>
    <mergeCell ref="AR31:AX32"/>
    <mergeCell ref="AY31:BE32"/>
    <mergeCell ref="BF31:BL32"/>
    <mergeCell ref="BM31:CL32"/>
    <mergeCell ref="CM31:DD32"/>
    <mergeCell ref="AR29:AX30"/>
    <mergeCell ref="AY29:BE30"/>
    <mergeCell ref="BF29:BL30"/>
    <mergeCell ref="BM29:CL30"/>
    <mergeCell ref="CM29:DD30"/>
    <mergeCell ref="AK29:AQ30"/>
    <mergeCell ref="B35:H36"/>
    <mergeCell ref="I35:O36"/>
    <mergeCell ref="P35:V36"/>
    <mergeCell ref="W35:AC36"/>
    <mergeCell ref="AD35:AJ36"/>
    <mergeCell ref="B33:H34"/>
    <mergeCell ref="I33:O34"/>
    <mergeCell ref="P33:V34"/>
    <mergeCell ref="W33:AC34"/>
    <mergeCell ref="AD33:AJ34"/>
    <mergeCell ref="AK35:AQ36"/>
    <mergeCell ref="AR35:AX36"/>
    <mergeCell ref="AY35:BE36"/>
    <mergeCell ref="BF35:BL36"/>
    <mergeCell ref="BM35:CL36"/>
    <mergeCell ref="CM35:DD36"/>
    <mergeCell ref="AR33:AX34"/>
    <mergeCell ref="AY33:BE34"/>
    <mergeCell ref="BF33:BL34"/>
    <mergeCell ref="BM33:CL34"/>
    <mergeCell ref="CM33:DD34"/>
    <mergeCell ref="AK33:AQ34"/>
    <mergeCell ref="B39:H40"/>
    <mergeCell ref="I39:O40"/>
    <mergeCell ref="P39:V40"/>
    <mergeCell ref="W39:AC40"/>
    <mergeCell ref="AD39:AJ40"/>
    <mergeCell ref="B37:H38"/>
    <mergeCell ref="I37:O38"/>
    <mergeCell ref="P37:V38"/>
    <mergeCell ref="W37:AC38"/>
    <mergeCell ref="AD37:AJ38"/>
    <mergeCell ref="AK39:AQ40"/>
    <mergeCell ref="AR39:AX40"/>
    <mergeCell ref="AY39:BE40"/>
    <mergeCell ref="BF39:BL40"/>
    <mergeCell ref="BM39:CL40"/>
    <mergeCell ref="CM39:DD40"/>
    <mergeCell ref="AR37:AX38"/>
    <mergeCell ref="AY37:BE38"/>
    <mergeCell ref="BF37:BL38"/>
    <mergeCell ref="BM37:CL38"/>
    <mergeCell ref="CM37:DD38"/>
    <mergeCell ref="AK37:AQ38"/>
    <mergeCell ref="B43:H44"/>
    <mergeCell ref="I43:O44"/>
    <mergeCell ref="P43:V44"/>
    <mergeCell ref="W43:AC44"/>
    <mergeCell ref="AD43:AJ44"/>
    <mergeCell ref="B41:H42"/>
    <mergeCell ref="I41:O42"/>
    <mergeCell ref="P41:V42"/>
    <mergeCell ref="W41:AC42"/>
    <mergeCell ref="AD41:AJ42"/>
    <mergeCell ref="AK43:AQ44"/>
    <mergeCell ref="AR43:AX44"/>
    <mergeCell ref="AY43:BE44"/>
    <mergeCell ref="BF43:BL44"/>
    <mergeCell ref="BM43:CL44"/>
    <mergeCell ref="CM43:DD44"/>
    <mergeCell ref="AR41:AX42"/>
    <mergeCell ref="AY41:BE42"/>
    <mergeCell ref="BF41:BL42"/>
    <mergeCell ref="BM41:CL42"/>
    <mergeCell ref="CM41:DD42"/>
    <mergeCell ref="AK41:AQ42"/>
    <mergeCell ref="B47:H48"/>
    <mergeCell ref="I47:O48"/>
    <mergeCell ref="P47:V48"/>
    <mergeCell ref="W47:AC48"/>
    <mergeCell ref="AD47:AJ48"/>
    <mergeCell ref="B45:H46"/>
    <mergeCell ref="I45:O46"/>
    <mergeCell ref="P45:V46"/>
    <mergeCell ref="W45:AC46"/>
    <mergeCell ref="AD45:AJ46"/>
    <mergeCell ref="AK47:AQ48"/>
    <mergeCell ref="AR47:AX48"/>
    <mergeCell ref="AY47:BE48"/>
    <mergeCell ref="BF47:BL48"/>
    <mergeCell ref="BM47:CL48"/>
    <mergeCell ref="CM47:DD48"/>
    <mergeCell ref="AR45:AX46"/>
    <mergeCell ref="AY45:BE46"/>
    <mergeCell ref="BF45:BL46"/>
    <mergeCell ref="BM45:CL46"/>
    <mergeCell ref="CM45:DD46"/>
    <mergeCell ref="AK45:AQ46"/>
    <mergeCell ref="B51:H52"/>
    <mergeCell ref="I51:O52"/>
    <mergeCell ref="P51:V52"/>
    <mergeCell ref="W51:AC52"/>
    <mergeCell ref="AD51:AJ52"/>
    <mergeCell ref="B49:H50"/>
    <mergeCell ref="I49:O50"/>
    <mergeCell ref="P49:V50"/>
    <mergeCell ref="W49:AC50"/>
    <mergeCell ref="AD49:AJ50"/>
    <mergeCell ref="AK51:AQ52"/>
    <mergeCell ref="AR51:AX52"/>
    <mergeCell ref="AY51:BE52"/>
    <mergeCell ref="BF51:BL52"/>
    <mergeCell ref="BM51:CL52"/>
    <mergeCell ref="CM51:DD52"/>
    <mergeCell ref="AR49:AX50"/>
    <mergeCell ref="AY49:BE50"/>
    <mergeCell ref="BF49:BL50"/>
    <mergeCell ref="BM49:CL50"/>
    <mergeCell ref="CM49:DD50"/>
    <mergeCell ref="AK49:AQ50"/>
    <mergeCell ref="AR53:AX54"/>
    <mergeCell ref="AY53:BE54"/>
    <mergeCell ref="BF53:BL54"/>
    <mergeCell ref="BM53:CL54"/>
    <mergeCell ref="CM53:DD54"/>
    <mergeCell ref="AK53:AQ54"/>
    <mergeCell ref="B53:H54"/>
    <mergeCell ref="I53:O54"/>
    <mergeCell ref="P53:V54"/>
    <mergeCell ref="W53:AC54"/>
    <mergeCell ref="AD53:AJ54"/>
    <mergeCell ref="A56:CU61"/>
    <mergeCell ref="CV56:DE61"/>
    <mergeCell ref="A62:CO63"/>
    <mergeCell ref="CP62:DE63"/>
    <mergeCell ref="A64:R64"/>
    <mergeCell ref="S64:AD64"/>
    <mergeCell ref="AE64:AR64"/>
    <mergeCell ref="AS64:BF64"/>
    <mergeCell ref="BG64:CM66"/>
    <mergeCell ref="CN64:CP64"/>
    <mergeCell ref="A66:R66"/>
    <mergeCell ref="S66:AD66"/>
    <mergeCell ref="AE66:AR66"/>
    <mergeCell ref="AS66:BF66"/>
    <mergeCell ref="CN66:CP66"/>
    <mergeCell ref="CQ66:DE66"/>
    <mergeCell ref="CQ64:DE64"/>
    <mergeCell ref="A65:R65"/>
    <mergeCell ref="S65:AD65"/>
    <mergeCell ref="AE65:AR65"/>
    <mergeCell ref="AS65:BF65"/>
    <mergeCell ref="CN65:CP65"/>
    <mergeCell ref="CQ65:DE65"/>
    <mergeCell ref="AL69:AT69"/>
    <mergeCell ref="AU69:BC69"/>
    <mergeCell ref="BD69:BL69"/>
    <mergeCell ref="BM69:CM69"/>
    <mergeCell ref="CN69:CV69"/>
    <mergeCell ref="A67:DE67"/>
    <mergeCell ref="A68:J68"/>
    <mergeCell ref="K68:S68"/>
    <mergeCell ref="T68:AB68"/>
    <mergeCell ref="AC68:AK68"/>
    <mergeCell ref="AL68:AT68"/>
    <mergeCell ref="AU68:BC68"/>
    <mergeCell ref="BD68:BL68"/>
    <mergeCell ref="BM68:CM68"/>
    <mergeCell ref="CN68:CV68"/>
    <mergeCell ref="CW68:DE68"/>
    <mergeCell ref="B78:H79"/>
    <mergeCell ref="I78:O79"/>
    <mergeCell ref="P78:V79"/>
    <mergeCell ref="W78:AC79"/>
    <mergeCell ref="AD78:AJ79"/>
    <mergeCell ref="AK78:AQ79"/>
    <mergeCell ref="AR78:AX79"/>
    <mergeCell ref="CW69:DE69"/>
    <mergeCell ref="A70:DE70"/>
    <mergeCell ref="B72:H73"/>
    <mergeCell ref="I72:O73"/>
    <mergeCell ref="P72:V73"/>
    <mergeCell ref="W72:AC73"/>
    <mergeCell ref="AD72:AJ73"/>
    <mergeCell ref="AK72:AQ73"/>
    <mergeCell ref="AR72:AX73"/>
    <mergeCell ref="AY72:BE73"/>
    <mergeCell ref="BF72:BL73"/>
    <mergeCell ref="BM72:CL73"/>
    <mergeCell ref="CM72:DD73"/>
    <mergeCell ref="A69:J69"/>
    <mergeCell ref="K69:S69"/>
    <mergeCell ref="T69:AB69"/>
    <mergeCell ref="AC69:AK69"/>
    <mergeCell ref="AY74:BE75"/>
    <mergeCell ref="BF74:BL75"/>
    <mergeCell ref="BM74:CL75"/>
    <mergeCell ref="CM74:DD75"/>
    <mergeCell ref="B76:H77"/>
    <mergeCell ref="I76:O77"/>
    <mergeCell ref="P76:V77"/>
    <mergeCell ref="W76:AC77"/>
    <mergeCell ref="AD76:AJ77"/>
    <mergeCell ref="AK76:AQ77"/>
    <mergeCell ref="B74:H75"/>
    <mergeCell ref="I74:O75"/>
    <mergeCell ref="P74:V75"/>
    <mergeCell ref="W74:AC75"/>
    <mergeCell ref="AD74:AJ75"/>
    <mergeCell ref="AK74:AQ75"/>
    <mergeCell ref="AR74:AX75"/>
    <mergeCell ref="AY78:BE79"/>
    <mergeCell ref="BF78:BL79"/>
    <mergeCell ref="BM78:CL79"/>
    <mergeCell ref="CM78:DD79"/>
    <mergeCell ref="AR76:AX77"/>
    <mergeCell ref="AY76:BE77"/>
    <mergeCell ref="BF76:BL77"/>
    <mergeCell ref="BM76:CL77"/>
    <mergeCell ref="CM76:DD77"/>
    <mergeCell ref="B82:H83"/>
    <mergeCell ref="I82:O83"/>
    <mergeCell ref="P82:V83"/>
    <mergeCell ref="W82:AC83"/>
    <mergeCell ref="AD82:AJ83"/>
    <mergeCell ref="B80:H81"/>
    <mergeCell ref="I80:O81"/>
    <mergeCell ref="P80:V81"/>
    <mergeCell ref="W80:AC81"/>
    <mergeCell ref="AD80:AJ81"/>
    <mergeCell ref="AK82:AQ83"/>
    <mergeCell ref="AR82:AX83"/>
    <mergeCell ref="AY82:BE83"/>
    <mergeCell ref="BF82:BL83"/>
    <mergeCell ref="BM82:CL83"/>
    <mergeCell ref="CM82:DD83"/>
    <mergeCell ref="AR80:AX81"/>
    <mergeCell ref="AY80:BE81"/>
    <mergeCell ref="BF80:BL81"/>
    <mergeCell ref="BM80:CL81"/>
    <mergeCell ref="CM80:DD81"/>
    <mergeCell ref="AK80:AQ81"/>
    <mergeCell ref="B86:H87"/>
    <mergeCell ref="I86:O87"/>
    <mergeCell ref="P86:V87"/>
    <mergeCell ref="W86:AC87"/>
    <mergeCell ref="AD86:AJ87"/>
    <mergeCell ref="B84:H85"/>
    <mergeCell ref="I84:O85"/>
    <mergeCell ref="P84:V85"/>
    <mergeCell ref="W84:AC85"/>
    <mergeCell ref="AD84:AJ85"/>
    <mergeCell ref="AK86:AQ87"/>
    <mergeCell ref="AR86:AX87"/>
    <mergeCell ref="AY86:BE87"/>
    <mergeCell ref="BF86:BL87"/>
    <mergeCell ref="BM86:CL87"/>
    <mergeCell ref="CM86:DD87"/>
    <mergeCell ref="AR84:AX85"/>
    <mergeCell ref="AY84:BE85"/>
    <mergeCell ref="BF84:BL85"/>
    <mergeCell ref="BM84:CL85"/>
    <mergeCell ref="CM84:DD85"/>
    <mergeCell ref="AK84:AQ85"/>
    <mergeCell ref="B90:H91"/>
    <mergeCell ref="I90:O91"/>
    <mergeCell ref="P90:V91"/>
    <mergeCell ref="W90:AC91"/>
    <mergeCell ref="AD90:AJ91"/>
    <mergeCell ref="B88:H89"/>
    <mergeCell ref="I88:O89"/>
    <mergeCell ref="P88:V89"/>
    <mergeCell ref="W88:AC89"/>
    <mergeCell ref="AD88:AJ89"/>
    <mergeCell ref="AK90:AQ91"/>
    <mergeCell ref="AR90:AX91"/>
    <mergeCell ref="AY90:BE91"/>
    <mergeCell ref="BF90:BL91"/>
    <mergeCell ref="BM90:CL91"/>
    <mergeCell ref="CM90:DD91"/>
    <mergeCell ref="AR88:AX89"/>
    <mergeCell ref="AY88:BE89"/>
    <mergeCell ref="BF88:BL89"/>
    <mergeCell ref="BM88:CL89"/>
    <mergeCell ref="CM88:DD89"/>
    <mergeCell ref="AK88:AQ89"/>
    <mergeCell ref="B94:H95"/>
    <mergeCell ref="I94:O95"/>
    <mergeCell ref="P94:V95"/>
    <mergeCell ref="W94:AC95"/>
    <mergeCell ref="AD94:AJ95"/>
    <mergeCell ref="B92:H93"/>
    <mergeCell ref="I92:O93"/>
    <mergeCell ref="P92:V93"/>
    <mergeCell ref="W92:AC93"/>
    <mergeCell ref="AD92:AJ93"/>
    <mergeCell ref="AK94:AQ95"/>
    <mergeCell ref="AR94:AX95"/>
    <mergeCell ref="AY94:BE95"/>
    <mergeCell ref="BF94:BL95"/>
    <mergeCell ref="BM94:CL95"/>
    <mergeCell ref="CM94:DD95"/>
    <mergeCell ref="AR92:AX93"/>
    <mergeCell ref="AY92:BE93"/>
    <mergeCell ref="BF92:BL93"/>
    <mergeCell ref="BM92:CL93"/>
    <mergeCell ref="CM92:DD93"/>
    <mergeCell ref="AK92:AQ93"/>
    <mergeCell ref="B98:H99"/>
    <mergeCell ref="I98:O99"/>
    <mergeCell ref="P98:V99"/>
    <mergeCell ref="W98:AC99"/>
    <mergeCell ref="AD98:AJ99"/>
    <mergeCell ref="B96:H97"/>
    <mergeCell ref="I96:O97"/>
    <mergeCell ref="P96:V97"/>
    <mergeCell ref="W96:AC97"/>
    <mergeCell ref="AD96:AJ97"/>
    <mergeCell ref="AK98:AQ99"/>
    <mergeCell ref="AR98:AX99"/>
    <mergeCell ref="AY98:BE99"/>
    <mergeCell ref="BF98:BL99"/>
    <mergeCell ref="BM98:CL99"/>
    <mergeCell ref="CM98:DD99"/>
    <mergeCell ref="AR96:AX97"/>
    <mergeCell ref="AY96:BE97"/>
    <mergeCell ref="BF96:BL97"/>
    <mergeCell ref="BM96:CL97"/>
    <mergeCell ref="CM96:DD97"/>
    <mergeCell ref="AK96:AQ97"/>
    <mergeCell ref="B102:H103"/>
    <mergeCell ref="I102:O103"/>
    <mergeCell ref="P102:V103"/>
    <mergeCell ref="W102:AC103"/>
    <mergeCell ref="AD102:AJ103"/>
    <mergeCell ref="B100:H101"/>
    <mergeCell ref="I100:O101"/>
    <mergeCell ref="P100:V101"/>
    <mergeCell ref="W100:AC101"/>
    <mergeCell ref="AD100:AJ101"/>
    <mergeCell ref="AK102:AQ103"/>
    <mergeCell ref="AR102:AX103"/>
    <mergeCell ref="AY102:BE103"/>
    <mergeCell ref="BF102:BL103"/>
    <mergeCell ref="BM102:CL103"/>
    <mergeCell ref="CM102:DD103"/>
    <mergeCell ref="AR100:AX101"/>
    <mergeCell ref="AY100:BE101"/>
    <mergeCell ref="BF100:BL101"/>
    <mergeCell ref="BM100:CL101"/>
    <mergeCell ref="CM100:DD101"/>
    <mergeCell ref="AK100:AQ101"/>
    <mergeCell ref="B106:H107"/>
    <mergeCell ref="I106:O107"/>
    <mergeCell ref="P106:V107"/>
    <mergeCell ref="W106:AC107"/>
    <mergeCell ref="AD106:AJ107"/>
    <mergeCell ref="B104:H105"/>
    <mergeCell ref="I104:O105"/>
    <mergeCell ref="P104:V105"/>
    <mergeCell ref="W104:AC105"/>
    <mergeCell ref="AD104:AJ105"/>
    <mergeCell ref="AK106:AQ107"/>
    <mergeCell ref="AR106:AX107"/>
    <mergeCell ref="AY106:BE107"/>
    <mergeCell ref="BF106:BL107"/>
    <mergeCell ref="BM106:CL107"/>
    <mergeCell ref="CM106:DD107"/>
    <mergeCell ref="AR104:AX105"/>
    <mergeCell ref="AY104:BE105"/>
    <mergeCell ref="BF104:BL105"/>
    <mergeCell ref="BM104:CL105"/>
    <mergeCell ref="CM104:DD105"/>
    <mergeCell ref="AK104:AQ105"/>
    <mergeCell ref="AR108:AX109"/>
    <mergeCell ref="AY108:BE109"/>
    <mergeCell ref="BF108:BL109"/>
    <mergeCell ref="BM108:CL109"/>
    <mergeCell ref="CM108:DD109"/>
    <mergeCell ref="AK108:AQ109"/>
    <mergeCell ref="B108:H109"/>
    <mergeCell ref="I108:O109"/>
    <mergeCell ref="P108:V109"/>
    <mergeCell ref="W108:AC109"/>
    <mergeCell ref="AD108:AJ109"/>
  </mergeCells>
  <hyperlinks>
    <hyperlink ref="CV1" r:id="rId1" display="www.aes-ab.com" xr:uid="{49EEC446-BC8A-449C-A80E-A1611E5E7A6E}"/>
    <hyperlink ref="CV1:DE6" r:id="rId2" display="http://www.resapower.com/" xr:uid="{66E5DE46-AA07-4B73-9E73-78AA88B31F56}"/>
    <hyperlink ref="CV56" r:id="rId3" display="www.aes-ab.com" xr:uid="{0CEE7010-9C51-4EA2-AEF9-24C551F342A2}"/>
    <hyperlink ref="CV56:DE61" r:id="rId4" display="http://www.resapower.com/" xr:uid="{3D6523BA-CDB5-4622-8CA8-BD503F959D18}"/>
  </hyperlinks>
  <printOptions horizontalCentered="1" verticalCentered="1"/>
  <pageMargins left="0.19685039370078741" right="0.19685039370078741" top="0.59055118110236227" bottom="0.59055118110236227" header="0.59055118110236227" footer="0.19685039370078741"/>
  <pageSetup scale="63" fitToHeight="0" orientation="landscape" r:id="rId5"/>
  <headerFooter alignWithMargins="0">
    <oddHeader xml:space="preserve">&amp;R
</oddHeader>
    <oddFooter>&amp;L&amp;F&amp;RPage &amp;P</oddFooter>
  </headerFooter>
  <rowBreaks count="1" manualBreakCount="1">
    <brk id="55" max="108" man="1"/>
  </rowBreaks>
  <drawing r:id="rId6"/>
  <legacyDrawing r:id="rId7"/>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45A4-01CC-48E7-9639-952B2CACCBD5}">
  <sheetPr codeName="Sheet12">
    <pageSetUpPr fitToPage="1"/>
  </sheetPr>
  <dimension ref="A1:EI133"/>
  <sheetViews>
    <sheetView view="pageBreakPreview" topLeftCell="A18" zoomScale="97" zoomScaleNormal="54" zoomScaleSheetLayoutView="55" workbookViewId="0">
      <selection activeCell="AU20" sqref="AU20:DD20"/>
    </sheetView>
  </sheetViews>
  <sheetFormatPr defaultColWidth="2.42578125" defaultRowHeight="15" customHeight="1"/>
  <cols>
    <col min="1" max="18" width="2.42578125" style="1"/>
    <col min="19" max="19" width="2.42578125" style="1" customWidth="1"/>
    <col min="20" max="66" width="2.42578125" style="1"/>
    <col min="67" max="86" width="0" style="1" hidden="1" customWidth="1"/>
    <col min="87" max="16384" width="2.42578125" style="1"/>
  </cols>
  <sheetData>
    <row r="1" spans="1:139" ht="15" customHeight="1">
      <c r="A1" s="388" t="e" vm="1">
        <v>#VALUE!</v>
      </c>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389"/>
      <c r="CO1" s="389"/>
      <c r="CP1" s="389"/>
      <c r="CQ1" s="389"/>
      <c r="CR1" s="389"/>
      <c r="CS1" s="389"/>
      <c r="CT1" s="389"/>
      <c r="CU1" s="389"/>
      <c r="CV1" s="361" t="s">
        <v>1</v>
      </c>
      <c r="CW1" s="361"/>
      <c r="CX1" s="361"/>
      <c r="CY1" s="361"/>
      <c r="CZ1" s="361"/>
      <c r="DA1" s="361"/>
      <c r="DB1" s="361"/>
      <c r="DC1" s="361"/>
      <c r="DD1" s="361"/>
      <c r="DE1" s="362"/>
    </row>
    <row r="2" spans="1:139" ht="15" customHeight="1">
      <c r="A2" s="390"/>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c r="BN2" s="391"/>
      <c r="BO2" s="391"/>
      <c r="BP2" s="391"/>
      <c r="BQ2" s="391"/>
      <c r="BR2" s="391"/>
      <c r="BS2" s="391"/>
      <c r="BT2" s="391"/>
      <c r="BU2" s="391"/>
      <c r="BV2" s="391"/>
      <c r="BW2" s="391"/>
      <c r="BX2" s="391"/>
      <c r="BY2" s="391"/>
      <c r="BZ2" s="391"/>
      <c r="CA2" s="391"/>
      <c r="CB2" s="391"/>
      <c r="CC2" s="391"/>
      <c r="CD2" s="391"/>
      <c r="CE2" s="391"/>
      <c r="CF2" s="391"/>
      <c r="CG2" s="391"/>
      <c r="CH2" s="391"/>
      <c r="CI2" s="391"/>
      <c r="CJ2" s="391"/>
      <c r="CK2" s="391"/>
      <c r="CL2" s="391"/>
      <c r="CM2" s="391"/>
      <c r="CN2" s="391"/>
      <c r="CO2" s="391"/>
      <c r="CP2" s="391"/>
      <c r="CQ2" s="391"/>
      <c r="CR2" s="391"/>
      <c r="CS2" s="391"/>
      <c r="CT2" s="391"/>
      <c r="CU2" s="391"/>
      <c r="CV2" s="363"/>
      <c r="CW2" s="363"/>
      <c r="CX2" s="363"/>
      <c r="CY2" s="363"/>
      <c r="CZ2" s="363"/>
      <c r="DA2" s="363"/>
      <c r="DB2" s="363"/>
      <c r="DC2" s="363"/>
      <c r="DD2" s="363"/>
      <c r="DE2" s="364"/>
    </row>
    <row r="3" spans="1:139" ht="15" customHeight="1">
      <c r="A3" s="390"/>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1"/>
      <c r="BP3" s="391"/>
      <c r="BQ3" s="391"/>
      <c r="BR3" s="391"/>
      <c r="BS3" s="391"/>
      <c r="BT3" s="391"/>
      <c r="BU3" s="391"/>
      <c r="BV3" s="391"/>
      <c r="BW3" s="391"/>
      <c r="BX3" s="391"/>
      <c r="BY3" s="391"/>
      <c r="BZ3" s="391"/>
      <c r="CA3" s="391"/>
      <c r="CB3" s="391"/>
      <c r="CC3" s="391"/>
      <c r="CD3" s="391"/>
      <c r="CE3" s="391"/>
      <c r="CF3" s="391"/>
      <c r="CG3" s="391"/>
      <c r="CH3" s="391"/>
      <c r="CI3" s="391"/>
      <c r="CJ3" s="391"/>
      <c r="CK3" s="391"/>
      <c r="CL3" s="391"/>
      <c r="CM3" s="391"/>
      <c r="CN3" s="391"/>
      <c r="CO3" s="391"/>
      <c r="CP3" s="391"/>
      <c r="CQ3" s="391"/>
      <c r="CR3" s="391"/>
      <c r="CS3" s="391"/>
      <c r="CT3" s="391"/>
      <c r="CU3" s="391"/>
      <c r="CV3" s="363"/>
      <c r="CW3" s="363"/>
      <c r="CX3" s="363"/>
      <c r="CY3" s="363"/>
      <c r="CZ3" s="363"/>
      <c r="DA3" s="363"/>
      <c r="DB3" s="363"/>
      <c r="DC3" s="363"/>
      <c r="DD3" s="363"/>
      <c r="DE3" s="364"/>
    </row>
    <row r="4" spans="1:139" ht="15" customHeight="1">
      <c r="A4" s="390"/>
      <c r="B4" s="391"/>
      <c r="C4" s="391"/>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63"/>
      <c r="CW4" s="363"/>
      <c r="CX4" s="363"/>
      <c r="CY4" s="363"/>
      <c r="CZ4" s="363"/>
      <c r="DA4" s="363"/>
      <c r="DB4" s="363"/>
      <c r="DC4" s="363"/>
      <c r="DD4" s="363"/>
      <c r="DE4" s="364"/>
    </row>
    <row r="5" spans="1:139" ht="15" customHeight="1">
      <c r="A5" s="390"/>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c r="BY5" s="391"/>
      <c r="BZ5" s="391"/>
      <c r="CA5" s="391"/>
      <c r="CB5" s="391"/>
      <c r="CC5" s="391"/>
      <c r="CD5" s="391"/>
      <c r="CE5" s="391"/>
      <c r="CF5" s="391"/>
      <c r="CG5" s="391"/>
      <c r="CH5" s="391"/>
      <c r="CI5" s="391"/>
      <c r="CJ5" s="391"/>
      <c r="CK5" s="391"/>
      <c r="CL5" s="391"/>
      <c r="CM5" s="391"/>
      <c r="CN5" s="391"/>
      <c r="CO5" s="391"/>
      <c r="CP5" s="391"/>
      <c r="CQ5" s="391"/>
      <c r="CR5" s="391"/>
      <c r="CS5" s="391"/>
      <c r="CT5" s="391"/>
      <c r="CU5" s="391"/>
      <c r="CV5" s="363"/>
      <c r="CW5" s="363"/>
      <c r="CX5" s="363"/>
      <c r="CY5" s="363"/>
      <c r="CZ5" s="363"/>
      <c r="DA5" s="363"/>
      <c r="DB5" s="363"/>
      <c r="DC5" s="363"/>
      <c r="DD5" s="363"/>
      <c r="DE5" s="364"/>
    </row>
    <row r="6" spans="1:139" ht="15" customHeight="1" thickBot="1">
      <c r="A6" s="390"/>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65"/>
      <c r="CW6" s="365"/>
      <c r="CX6" s="365"/>
      <c r="CY6" s="365"/>
      <c r="CZ6" s="365"/>
      <c r="DA6" s="365"/>
      <c r="DB6" s="365"/>
      <c r="DC6" s="365"/>
      <c r="DD6" s="365"/>
      <c r="DE6" s="366"/>
    </row>
    <row r="7" spans="1:139" ht="15" customHeight="1">
      <c r="A7" s="392" t="s">
        <v>113</v>
      </c>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c r="BL7" s="393"/>
      <c r="BM7" s="393"/>
      <c r="BN7" s="393"/>
      <c r="BO7" s="393"/>
      <c r="BP7" s="393"/>
      <c r="BQ7" s="393"/>
      <c r="BR7" s="393"/>
      <c r="BS7" s="393"/>
      <c r="BT7" s="393"/>
      <c r="BU7" s="393"/>
      <c r="BV7" s="393"/>
      <c r="BW7" s="393"/>
      <c r="BX7" s="393"/>
      <c r="BY7" s="393"/>
      <c r="BZ7" s="393"/>
      <c r="CA7" s="393"/>
      <c r="CB7" s="393"/>
      <c r="CC7" s="393"/>
      <c r="CD7" s="393"/>
      <c r="CE7" s="393"/>
      <c r="CF7" s="393"/>
      <c r="CG7" s="393"/>
      <c r="CH7" s="393"/>
      <c r="CI7" s="393"/>
      <c r="CJ7" s="393"/>
      <c r="CK7" s="393"/>
      <c r="CL7" s="393"/>
      <c r="CM7" s="393"/>
      <c r="CN7" s="393"/>
      <c r="CO7" s="393"/>
      <c r="CP7" s="367" t="s">
        <v>3</v>
      </c>
      <c r="CQ7" s="367"/>
      <c r="CR7" s="367"/>
      <c r="CS7" s="367"/>
      <c r="CT7" s="367"/>
      <c r="CU7" s="367"/>
      <c r="CV7" s="367"/>
      <c r="CW7" s="367"/>
      <c r="CX7" s="367"/>
      <c r="CY7" s="367"/>
      <c r="CZ7" s="367"/>
      <c r="DA7" s="367"/>
      <c r="DB7" s="367"/>
      <c r="DC7" s="367"/>
      <c r="DD7" s="367"/>
      <c r="DE7" s="368"/>
    </row>
    <row r="8" spans="1:139" ht="15" customHeight="1">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c r="BL8" s="393"/>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67"/>
      <c r="CQ8" s="367"/>
      <c r="CR8" s="367"/>
      <c r="CS8" s="367"/>
      <c r="CT8" s="367"/>
      <c r="CU8" s="367"/>
      <c r="CV8" s="367"/>
      <c r="CW8" s="367"/>
      <c r="CX8" s="367"/>
      <c r="CY8" s="367"/>
      <c r="CZ8" s="367"/>
      <c r="DA8" s="367"/>
      <c r="DB8" s="367"/>
      <c r="DC8" s="367"/>
      <c r="DD8" s="367"/>
      <c r="DE8" s="368"/>
    </row>
    <row r="9" spans="1:139" ht="15" customHeight="1">
      <c r="A9" s="375" t="s">
        <v>4</v>
      </c>
      <c r="B9" s="369"/>
      <c r="C9" s="369"/>
      <c r="D9" s="369"/>
      <c r="E9" s="369"/>
      <c r="F9" s="369"/>
      <c r="G9" s="369"/>
      <c r="H9" s="369"/>
      <c r="I9" s="369"/>
      <c r="J9" s="369"/>
      <c r="K9" s="369"/>
      <c r="L9" s="369"/>
      <c r="M9" s="369"/>
      <c r="N9" s="369"/>
      <c r="O9" s="369"/>
      <c r="P9" s="369"/>
      <c r="Q9" s="369"/>
      <c r="R9" s="369"/>
      <c r="S9" s="370">
        <v>559082</v>
      </c>
      <c r="T9" s="370"/>
      <c r="U9" s="370"/>
      <c r="V9" s="370"/>
      <c r="W9" s="370"/>
      <c r="X9" s="370"/>
      <c r="Y9" s="370"/>
      <c r="Z9" s="370"/>
      <c r="AA9" s="370"/>
      <c r="AB9" s="370"/>
      <c r="AC9" s="370"/>
      <c r="AD9" s="370"/>
      <c r="AE9" s="369" t="s">
        <v>5</v>
      </c>
      <c r="AF9" s="369"/>
      <c r="AG9" s="369"/>
      <c r="AH9" s="369"/>
      <c r="AI9" s="369"/>
      <c r="AJ9" s="369"/>
      <c r="AK9" s="369"/>
      <c r="AL9" s="369"/>
      <c r="AM9" s="369"/>
      <c r="AN9" s="369"/>
      <c r="AO9" s="369"/>
      <c r="AP9" s="369"/>
      <c r="AQ9" s="369"/>
      <c r="AR9" s="369"/>
      <c r="AS9" s="394">
        <v>45668</v>
      </c>
      <c r="AT9" s="394"/>
      <c r="AU9" s="394"/>
      <c r="AV9" s="394"/>
      <c r="AW9" s="394"/>
      <c r="AX9" s="394"/>
      <c r="AY9" s="394"/>
      <c r="AZ9" s="394"/>
      <c r="BA9" s="394"/>
      <c r="BB9" s="394"/>
      <c r="BC9" s="394"/>
      <c r="BD9" s="394"/>
      <c r="BE9" s="394"/>
      <c r="BF9" s="394"/>
      <c r="BG9" s="370" t="s">
        <v>6</v>
      </c>
      <c r="BH9" s="370"/>
      <c r="BI9" s="370"/>
      <c r="BJ9" s="370"/>
      <c r="BK9" s="370"/>
      <c r="BL9" s="370"/>
      <c r="BM9" s="370"/>
      <c r="BN9" s="370"/>
      <c r="BO9" s="370"/>
      <c r="BP9" s="370"/>
      <c r="BQ9" s="370"/>
      <c r="BR9" s="370"/>
      <c r="BS9" s="370"/>
      <c r="BT9" s="370"/>
      <c r="BU9" s="370"/>
      <c r="BV9" s="370"/>
      <c r="BW9" s="370"/>
      <c r="BX9" s="370"/>
      <c r="BY9" s="370"/>
      <c r="BZ9" s="370"/>
      <c r="CA9" s="370"/>
      <c r="CB9" s="370"/>
      <c r="CC9" s="370"/>
      <c r="CD9" s="370"/>
      <c r="CE9" s="370"/>
      <c r="CF9" s="370"/>
      <c r="CG9" s="370"/>
      <c r="CH9" s="370"/>
      <c r="CI9" s="370"/>
      <c r="CJ9" s="370"/>
      <c r="CK9" s="370"/>
      <c r="CL9" s="370"/>
      <c r="CM9" s="370"/>
      <c r="CN9" s="371" t="s">
        <v>7</v>
      </c>
      <c r="CO9" s="371"/>
      <c r="CP9" s="371"/>
      <c r="CQ9" s="372" t="s">
        <v>8</v>
      </c>
      <c r="CR9" s="372"/>
      <c r="CS9" s="372"/>
      <c r="CT9" s="372"/>
      <c r="CU9" s="372"/>
      <c r="CV9" s="372"/>
      <c r="CW9" s="372"/>
      <c r="CX9" s="372"/>
      <c r="CY9" s="372"/>
      <c r="CZ9" s="372"/>
      <c r="DA9" s="372"/>
      <c r="DB9" s="372"/>
      <c r="DC9" s="372"/>
      <c r="DD9" s="372"/>
      <c r="DE9" s="373"/>
    </row>
    <row r="10" spans="1:139" ht="15" customHeight="1">
      <c r="A10" s="375" t="s">
        <v>9</v>
      </c>
      <c r="B10" s="369"/>
      <c r="C10" s="369"/>
      <c r="D10" s="369"/>
      <c r="E10" s="369"/>
      <c r="F10" s="369"/>
      <c r="G10" s="369"/>
      <c r="H10" s="369"/>
      <c r="I10" s="369"/>
      <c r="J10" s="369"/>
      <c r="K10" s="369"/>
      <c r="L10" s="369"/>
      <c r="M10" s="369"/>
      <c r="N10" s="369"/>
      <c r="O10" s="369"/>
      <c r="P10" s="369"/>
      <c r="Q10" s="369"/>
      <c r="R10" s="369"/>
      <c r="S10" s="370" t="s">
        <v>10</v>
      </c>
      <c r="T10" s="370"/>
      <c r="U10" s="370"/>
      <c r="V10" s="370"/>
      <c r="W10" s="370"/>
      <c r="X10" s="370"/>
      <c r="Y10" s="370"/>
      <c r="Z10" s="370"/>
      <c r="AA10" s="370"/>
      <c r="AB10" s="370"/>
      <c r="AC10" s="370"/>
      <c r="AD10" s="370"/>
      <c r="AE10" s="369" t="s">
        <v>11</v>
      </c>
      <c r="AF10" s="369"/>
      <c r="AG10" s="369"/>
      <c r="AH10" s="369"/>
      <c r="AI10" s="369"/>
      <c r="AJ10" s="369"/>
      <c r="AK10" s="369"/>
      <c r="AL10" s="369"/>
      <c r="AM10" s="369"/>
      <c r="AN10" s="369"/>
      <c r="AO10" s="369"/>
      <c r="AP10" s="369"/>
      <c r="AQ10" s="369"/>
      <c r="AR10" s="369"/>
      <c r="AS10" s="370" t="s">
        <v>12</v>
      </c>
      <c r="AT10" s="370"/>
      <c r="AU10" s="370"/>
      <c r="AV10" s="370"/>
      <c r="AW10" s="370"/>
      <c r="AX10" s="370"/>
      <c r="AY10" s="370"/>
      <c r="AZ10" s="370"/>
      <c r="BA10" s="370"/>
      <c r="BB10" s="370"/>
      <c r="BC10" s="370"/>
      <c r="BD10" s="370"/>
      <c r="BE10" s="370"/>
      <c r="BF10" s="370"/>
      <c r="BG10" s="370"/>
      <c r="BH10" s="370"/>
      <c r="BI10" s="370"/>
      <c r="BJ10" s="370"/>
      <c r="BK10" s="370"/>
      <c r="BL10" s="370"/>
      <c r="BM10" s="370"/>
      <c r="BN10" s="370"/>
      <c r="BO10" s="370"/>
      <c r="BP10" s="370"/>
      <c r="BQ10" s="370"/>
      <c r="BR10" s="370"/>
      <c r="BS10" s="370"/>
      <c r="BT10" s="370"/>
      <c r="BU10" s="370"/>
      <c r="BV10" s="370"/>
      <c r="BW10" s="370"/>
      <c r="BX10" s="370"/>
      <c r="BY10" s="370"/>
      <c r="BZ10" s="370"/>
      <c r="CA10" s="370"/>
      <c r="CB10" s="370"/>
      <c r="CC10" s="370"/>
      <c r="CD10" s="370"/>
      <c r="CE10" s="370"/>
      <c r="CF10" s="370"/>
      <c r="CG10" s="370"/>
      <c r="CH10" s="370"/>
      <c r="CI10" s="370"/>
      <c r="CJ10" s="370"/>
      <c r="CK10" s="370"/>
      <c r="CL10" s="370"/>
      <c r="CM10" s="370"/>
      <c r="CN10" s="371"/>
      <c r="CO10" s="371"/>
      <c r="CP10" s="371"/>
      <c r="CQ10" s="372" t="s">
        <v>13</v>
      </c>
      <c r="CR10" s="372"/>
      <c r="CS10" s="372"/>
      <c r="CT10" s="372"/>
      <c r="CU10" s="372"/>
      <c r="CV10" s="372"/>
      <c r="CW10" s="372"/>
      <c r="CX10" s="372"/>
      <c r="CY10" s="372"/>
      <c r="CZ10" s="372"/>
      <c r="DA10" s="372"/>
      <c r="DB10" s="372"/>
      <c r="DC10" s="372"/>
      <c r="DD10" s="372"/>
      <c r="DE10" s="373"/>
    </row>
    <row r="11" spans="1:139" ht="15" customHeight="1">
      <c r="A11" s="375" t="s">
        <v>14</v>
      </c>
      <c r="B11" s="369"/>
      <c r="C11" s="369"/>
      <c r="D11" s="369"/>
      <c r="E11" s="369"/>
      <c r="F11" s="369"/>
      <c r="G11" s="369"/>
      <c r="H11" s="369"/>
      <c r="I11" s="369"/>
      <c r="J11" s="369"/>
      <c r="K11" s="369"/>
      <c r="L11" s="369"/>
      <c r="M11" s="369"/>
      <c r="N11" s="369"/>
      <c r="O11" s="369"/>
      <c r="P11" s="369"/>
      <c r="Q11" s="369"/>
      <c r="R11" s="369"/>
      <c r="S11" s="370" t="s">
        <v>15</v>
      </c>
      <c r="T11" s="370"/>
      <c r="U11" s="370"/>
      <c r="V11" s="370"/>
      <c r="W11" s="370"/>
      <c r="X11" s="370"/>
      <c r="Y11" s="370"/>
      <c r="Z11" s="370"/>
      <c r="AA11" s="370"/>
      <c r="AB11" s="370"/>
      <c r="AC11" s="370"/>
      <c r="AD11" s="370"/>
      <c r="AE11" s="369" t="s">
        <v>16</v>
      </c>
      <c r="AF11" s="369"/>
      <c r="AG11" s="369"/>
      <c r="AH11" s="369"/>
      <c r="AI11" s="369"/>
      <c r="AJ11" s="369"/>
      <c r="AK11" s="369"/>
      <c r="AL11" s="369"/>
      <c r="AM11" s="369"/>
      <c r="AN11" s="369"/>
      <c r="AO11" s="369"/>
      <c r="AP11" s="369"/>
      <c r="AQ11" s="369"/>
      <c r="AR11" s="369"/>
      <c r="AS11" s="370" t="s">
        <v>17</v>
      </c>
      <c r="AT11" s="370"/>
      <c r="AU11" s="370"/>
      <c r="AV11" s="370"/>
      <c r="AW11" s="370"/>
      <c r="AX11" s="370"/>
      <c r="AY11" s="370"/>
      <c r="AZ11" s="370"/>
      <c r="BA11" s="370"/>
      <c r="BB11" s="370"/>
      <c r="BC11" s="370"/>
      <c r="BD11" s="370"/>
      <c r="BE11" s="370"/>
      <c r="BF11" s="370"/>
      <c r="BG11" s="370"/>
      <c r="BH11" s="370"/>
      <c r="BI11" s="370"/>
      <c r="BJ11" s="370"/>
      <c r="BK11" s="370"/>
      <c r="BL11" s="370"/>
      <c r="BM11" s="370"/>
      <c r="BN11" s="370"/>
      <c r="BO11" s="370"/>
      <c r="BP11" s="370"/>
      <c r="BQ11" s="370"/>
      <c r="BR11" s="370"/>
      <c r="BS11" s="370"/>
      <c r="BT11" s="370"/>
      <c r="BU11" s="370"/>
      <c r="BV11" s="370"/>
      <c r="BW11" s="370"/>
      <c r="BX11" s="370"/>
      <c r="BY11" s="370"/>
      <c r="BZ11" s="370"/>
      <c r="CA11" s="370"/>
      <c r="CB11" s="370"/>
      <c r="CC11" s="370"/>
      <c r="CD11" s="370"/>
      <c r="CE11" s="370"/>
      <c r="CF11" s="370"/>
      <c r="CG11" s="370"/>
      <c r="CH11" s="370"/>
      <c r="CI11" s="370"/>
      <c r="CJ11" s="370"/>
      <c r="CK11" s="370"/>
      <c r="CL11" s="370"/>
      <c r="CM11" s="370"/>
      <c r="CN11" s="371"/>
      <c r="CO11" s="371"/>
      <c r="CP11" s="371"/>
      <c r="CQ11" s="372" t="s">
        <v>18</v>
      </c>
      <c r="CR11" s="372"/>
      <c r="CS11" s="372"/>
      <c r="CT11" s="372"/>
      <c r="CU11" s="372"/>
      <c r="CV11" s="372"/>
      <c r="CW11" s="372"/>
      <c r="CX11" s="372"/>
      <c r="CY11" s="372"/>
      <c r="CZ11" s="372"/>
      <c r="DA11" s="372"/>
      <c r="DB11" s="372"/>
      <c r="DC11" s="372"/>
      <c r="DD11" s="372"/>
      <c r="DE11" s="373"/>
    </row>
    <row r="12" spans="1:139" ht="15" customHeight="1">
      <c r="A12" s="446" t="s">
        <v>114</v>
      </c>
      <c r="B12" s="447"/>
      <c r="C12" s="447"/>
      <c r="D12" s="447"/>
      <c r="E12" s="447"/>
      <c r="F12" s="447"/>
      <c r="G12" s="447"/>
      <c r="H12" s="447"/>
      <c r="I12" s="447"/>
      <c r="J12" s="447"/>
      <c r="K12" s="447"/>
      <c r="L12" s="447"/>
      <c r="M12" s="447"/>
      <c r="N12" s="447"/>
      <c r="O12" s="447"/>
      <c r="P12" s="447"/>
      <c r="Q12" s="447"/>
      <c r="R12" s="447"/>
      <c r="S12" s="447"/>
      <c r="T12" s="447"/>
      <c r="U12" s="447"/>
      <c r="V12" s="447"/>
      <c r="W12" s="447"/>
      <c r="X12" s="447"/>
      <c r="Y12" s="447"/>
      <c r="Z12" s="447"/>
      <c r="AA12" s="447"/>
      <c r="AB12" s="447"/>
      <c r="AC12" s="447"/>
      <c r="AD12" s="447"/>
      <c r="AE12" s="447"/>
      <c r="AF12" s="447"/>
      <c r="AG12" s="447"/>
      <c r="AH12" s="447"/>
      <c r="AI12" s="447"/>
      <c r="AJ12" s="447"/>
      <c r="AK12" s="447"/>
      <c r="AL12" s="447"/>
      <c r="AM12" s="447"/>
      <c r="AN12" s="447"/>
      <c r="AO12" s="447"/>
      <c r="AP12" s="447"/>
      <c r="AQ12" s="447"/>
      <c r="AR12" s="447"/>
      <c r="AS12" s="447"/>
      <c r="AT12" s="447"/>
      <c r="AU12" s="447"/>
      <c r="AV12" s="447"/>
      <c r="AW12" s="447"/>
      <c r="AX12" s="447"/>
      <c r="AY12" s="447"/>
      <c r="AZ12" s="447"/>
      <c r="BA12" s="447"/>
      <c r="BB12" s="447"/>
      <c r="BC12" s="447"/>
      <c r="BD12" s="447"/>
      <c r="BE12" s="447"/>
      <c r="BF12" s="447"/>
      <c r="BG12" s="447"/>
      <c r="BH12" s="447"/>
      <c r="BI12" s="447"/>
      <c r="BJ12" s="447"/>
      <c r="BK12" s="447"/>
      <c r="BL12" s="447"/>
      <c r="BM12" s="447"/>
      <c r="BN12" s="447"/>
      <c r="BO12" s="447"/>
      <c r="BP12" s="447"/>
      <c r="BQ12" s="447"/>
      <c r="BR12" s="447"/>
      <c r="BS12" s="447"/>
      <c r="BT12" s="447"/>
      <c r="BU12" s="447"/>
      <c r="BV12" s="447"/>
      <c r="BW12" s="447"/>
      <c r="BX12" s="447"/>
      <c r="BY12" s="447"/>
      <c r="BZ12" s="447"/>
      <c r="CA12" s="447"/>
      <c r="CB12" s="447"/>
      <c r="CC12" s="447"/>
      <c r="CD12" s="447"/>
      <c r="CE12" s="447"/>
      <c r="CF12" s="447"/>
      <c r="CG12" s="447"/>
      <c r="CH12" s="447"/>
      <c r="CI12" s="447"/>
      <c r="CJ12" s="447"/>
      <c r="CK12" s="447"/>
      <c r="CL12" s="447"/>
      <c r="CM12" s="447"/>
      <c r="CN12" s="447"/>
      <c r="CO12" s="447"/>
      <c r="CP12" s="447"/>
      <c r="CQ12" s="447"/>
      <c r="CR12" s="447"/>
      <c r="CS12" s="447"/>
      <c r="CT12" s="447"/>
      <c r="CU12" s="447"/>
      <c r="CV12" s="447"/>
      <c r="CW12" s="447"/>
      <c r="CX12" s="447"/>
      <c r="CY12" s="447"/>
      <c r="CZ12" s="447"/>
      <c r="DA12" s="447"/>
      <c r="DB12" s="447"/>
      <c r="DC12" s="447"/>
      <c r="DD12" s="447"/>
      <c r="DE12" s="448"/>
    </row>
    <row r="13" spans="1:139" ht="15" customHeight="1">
      <c r="A13" s="493" t="s">
        <v>115</v>
      </c>
      <c r="B13" s="489"/>
      <c r="C13" s="489"/>
      <c r="D13" s="489"/>
      <c r="E13" s="489"/>
      <c r="F13" s="489"/>
      <c r="G13" s="489"/>
      <c r="H13" s="489"/>
      <c r="I13" s="489"/>
      <c r="J13" s="489"/>
      <c r="K13" s="489"/>
      <c r="L13" s="496"/>
      <c r="M13" s="497"/>
      <c r="N13" s="497"/>
      <c r="O13" s="497"/>
      <c r="P13" s="497"/>
      <c r="Q13" s="497"/>
      <c r="R13" s="497"/>
      <c r="S13" s="497"/>
      <c r="T13" s="497"/>
      <c r="U13" s="497"/>
      <c r="V13" s="497"/>
      <c r="W13" s="497"/>
      <c r="X13" s="497"/>
      <c r="Y13" s="497"/>
      <c r="Z13" s="497"/>
      <c r="AA13" s="498"/>
      <c r="AB13" s="452" t="s">
        <v>116</v>
      </c>
      <c r="AC13" s="453"/>
      <c r="AD13" s="453"/>
      <c r="AE13" s="453"/>
      <c r="AF13" s="453"/>
      <c r="AG13" s="453"/>
      <c r="AH13" s="453"/>
      <c r="AI13" s="453"/>
      <c r="AJ13" s="453"/>
      <c r="AK13" s="453"/>
      <c r="AL13" s="454"/>
      <c r="AM13" s="490" t="s">
        <v>117</v>
      </c>
      <c r="AN13" s="490"/>
      <c r="AO13" s="490"/>
      <c r="AP13" s="490"/>
      <c r="AQ13" s="490"/>
      <c r="AR13" s="490"/>
      <c r="AS13" s="490"/>
      <c r="AT13" s="490"/>
      <c r="AU13" s="490"/>
      <c r="AV13" s="490"/>
      <c r="AW13" s="490"/>
      <c r="AX13" s="490"/>
      <c r="AY13" s="490"/>
      <c r="AZ13" s="490"/>
      <c r="BA13" s="490"/>
      <c r="BB13" s="490"/>
      <c r="BC13" s="490"/>
      <c r="BD13" s="490"/>
      <c r="BE13" s="490"/>
      <c r="BF13" s="455" t="s">
        <v>118</v>
      </c>
      <c r="BG13" s="455"/>
      <c r="BH13" s="455"/>
      <c r="BI13" s="455"/>
      <c r="BJ13" s="455"/>
      <c r="BK13" s="455"/>
      <c r="BL13" s="455"/>
      <c r="BM13" s="455"/>
      <c r="BN13" s="455"/>
      <c r="BO13" s="455"/>
      <c r="BP13" s="455"/>
      <c r="BQ13" s="455"/>
      <c r="BR13" s="455"/>
      <c r="BS13" s="455"/>
      <c r="BT13" s="455"/>
      <c r="BU13" s="455"/>
      <c r="BV13" s="455"/>
      <c r="BW13" s="455"/>
      <c r="BX13" s="455"/>
      <c r="BY13" s="455"/>
      <c r="BZ13" s="455"/>
      <c r="CA13" s="455"/>
      <c r="CB13" s="455"/>
      <c r="CC13" s="455"/>
      <c r="CD13" s="455"/>
      <c r="CE13" s="455"/>
      <c r="CF13" s="455"/>
      <c r="CG13" s="455"/>
      <c r="CH13" s="455"/>
      <c r="CI13" s="455"/>
      <c r="CJ13" s="455"/>
      <c r="CK13" s="455"/>
      <c r="CL13" s="455"/>
      <c r="CM13" s="455"/>
      <c r="CN13" s="455"/>
      <c r="CO13" s="491"/>
      <c r="CP13" s="491"/>
      <c r="CQ13" s="491"/>
      <c r="CR13" s="491"/>
      <c r="CS13" s="491"/>
      <c r="CT13" s="491"/>
      <c r="CU13" s="491"/>
      <c r="CV13" s="491"/>
      <c r="CW13" s="491"/>
      <c r="CX13" s="491"/>
      <c r="CY13" s="491"/>
      <c r="CZ13" s="491"/>
      <c r="DA13" s="491"/>
      <c r="DB13" s="491"/>
      <c r="DC13" s="491"/>
      <c r="DD13" s="491"/>
      <c r="DE13" s="492"/>
    </row>
    <row r="14" spans="1:139" ht="15" customHeight="1">
      <c r="A14" s="493" t="s">
        <v>119</v>
      </c>
      <c r="B14" s="489"/>
      <c r="C14" s="489"/>
      <c r="D14" s="489"/>
      <c r="E14" s="489"/>
      <c r="F14" s="489"/>
      <c r="G14" s="489"/>
      <c r="H14" s="489"/>
      <c r="I14" s="489"/>
      <c r="J14" s="489"/>
      <c r="K14" s="489"/>
      <c r="L14" s="455"/>
      <c r="M14" s="455"/>
      <c r="N14" s="455"/>
      <c r="O14" s="455"/>
      <c r="P14" s="455"/>
      <c r="Q14" s="455"/>
      <c r="R14" s="455"/>
      <c r="S14" s="455"/>
      <c r="T14" s="455"/>
      <c r="U14" s="455"/>
      <c r="V14" s="455"/>
      <c r="W14" s="489" t="s">
        <v>120</v>
      </c>
      <c r="X14" s="489"/>
      <c r="Y14" s="489"/>
      <c r="Z14" s="489"/>
      <c r="AA14" s="489"/>
      <c r="AB14" s="489"/>
      <c r="AC14" s="489"/>
      <c r="AD14" s="489"/>
      <c r="AE14" s="489"/>
      <c r="AF14" s="494" t="s">
        <v>7</v>
      </c>
      <c r="AG14" s="494"/>
      <c r="AH14" s="494"/>
      <c r="AI14" s="455" t="s">
        <v>121</v>
      </c>
      <c r="AJ14" s="455"/>
      <c r="AK14" s="455"/>
      <c r="AL14" s="455"/>
      <c r="AM14" s="455"/>
      <c r="AN14" s="455"/>
      <c r="AO14" s="455"/>
      <c r="AP14" s="455"/>
      <c r="AQ14" s="455"/>
      <c r="AR14" s="455"/>
      <c r="AS14" s="494" t="s">
        <v>7</v>
      </c>
      <c r="AT14" s="494"/>
      <c r="AU14" s="494"/>
      <c r="AV14" s="490" t="s">
        <v>122</v>
      </c>
      <c r="AW14" s="490"/>
      <c r="AX14" s="490"/>
      <c r="AY14" s="490"/>
      <c r="AZ14" s="490"/>
      <c r="BA14" s="490"/>
      <c r="BB14" s="490"/>
      <c r="BC14" s="490"/>
      <c r="BD14" s="490"/>
      <c r="BE14" s="490"/>
      <c r="BF14" s="455" t="s">
        <v>123</v>
      </c>
      <c r="BG14" s="455"/>
      <c r="BH14" s="455"/>
      <c r="BI14" s="455"/>
      <c r="BJ14" s="455"/>
      <c r="BK14" s="455"/>
      <c r="BL14" s="455"/>
      <c r="BM14" s="455"/>
      <c r="BN14" s="455"/>
      <c r="BO14" s="455"/>
      <c r="BP14" s="455"/>
      <c r="BQ14" s="455"/>
      <c r="BR14" s="455"/>
      <c r="BS14" s="455"/>
      <c r="BT14" s="455"/>
      <c r="BU14" s="455"/>
      <c r="BV14" s="455"/>
      <c r="BW14" s="455"/>
      <c r="BX14" s="455"/>
      <c r="BY14" s="455"/>
      <c r="BZ14" s="455"/>
      <c r="CA14" s="455"/>
      <c r="CB14" s="455"/>
      <c r="CC14" s="455"/>
      <c r="CD14" s="455"/>
      <c r="CE14" s="455"/>
      <c r="CF14" s="455"/>
      <c r="CG14" s="455"/>
      <c r="CH14" s="455"/>
      <c r="CI14" s="455"/>
      <c r="CJ14" s="455"/>
      <c r="CK14" s="455"/>
      <c r="CL14" s="455"/>
      <c r="CM14" s="455"/>
      <c r="CN14" s="455"/>
      <c r="CO14" s="491"/>
      <c r="CP14" s="491"/>
      <c r="CQ14" s="491"/>
      <c r="CR14" s="491"/>
      <c r="CS14" s="491"/>
      <c r="CT14" s="491"/>
      <c r="CU14" s="491"/>
      <c r="CV14" s="491"/>
      <c r="CW14" s="491"/>
      <c r="CX14" s="491"/>
      <c r="CY14" s="491"/>
      <c r="CZ14" s="491"/>
      <c r="DA14" s="491"/>
      <c r="DB14" s="491"/>
      <c r="DC14" s="491"/>
      <c r="DD14" s="491"/>
      <c r="DE14" s="492"/>
    </row>
    <row r="15" spans="1:139" ht="15" customHeight="1">
      <c r="A15" s="446" t="s">
        <v>103</v>
      </c>
      <c r="B15" s="447"/>
      <c r="C15" s="447"/>
      <c r="D15" s="447"/>
      <c r="E15" s="447"/>
      <c r="F15" s="447"/>
      <c r="G15" s="447"/>
      <c r="H15" s="447"/>
      <c r="I15" s="447"/>
      <c r="J15" s="447"/>
      <c r="K15" s="447"/>
      <c r="L15" s="447"/>
      <c r="M15" s="447"/>
      <c r="N15" s="447"/>
      <c r="O15" s="447"/>
      <c r="P15" s="447"/>
      <c r="Q15" s="447"/>
      <c r="R15" s="447"/>
      <c r="S15" s="447"/>
      <c r="T15" s="447"/>
      <c r="U15" s="447"/>
      <c r="V15" s="447"/>
      <c r="W15" s="447"/>
      <c r="X15" s="447"/>
      <c r="Y15" s="447"/>
      <c r="Z15" s="447"/>
      <c r="AA15" s="447"/>
      <c r="AB15" s="447"/>
      <c r="AC15" s="447"/>
      <c r="AD15" s="447"/>
      <c r="AE15" s="447"/>
      <c r="AF15" s="447"/>
      <c r="AG15" s="447"/>
      <c r="AH15" s="447"/>
      <c r="AI15" s="447"/>
      <c r="AJ15" s="447"/>
      <c r="AK15" s="447"/>
      <c r="AL15" s="447"/>
      <c r="AM15" s="447"/>
      <c r="AN15" s="447"/>
      <c r="AO15" s="447"/>
      <c r="AP15" s="447"/>
      <c r="AQ15" s="447"/>
      <c r="AR15" s="447"/>
      <c r="AS15" s="447"/>
      <c r="AT15" s="447"/>
      <c r="AU15" s="447"/>
      <c r="AV15" s="447"/>
      <c r="AW15" s="447"/>
      <c r="AX15" s="447"/>
      <c r="AY15" s="447"/>
      <c r="AZ15" s="447"/>
      <c r="BA15" s="447"/>
      <c r="BB15" s="447"/>
      <c r="BC15" s="447"/>
      <c r="BD15" s="447"/>
      <c r="BE15" s="447"/>
      <c r="BF15" s="447"/>
      <c r="BG15" s="447"/>
      <c r="BH15" s="447"/>
      <c r="BI15" s="447"/>
      <c r="BJ15" s="447"/>
      <c r="BK15" s="447"/>
      <c r="BL15" s="447"/>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447"/>
      <c r="CJ15" s="447"/>
      <c r="CK15" s="447"/>
      <c r="CL15" s="447"/>
      <c r="CM15" s="447"/>
      <c r="CN15" s="447"/>
      <c r="CO15" s="447"/>
      <c r="CP15" s="447"/>
      <c r="CQ15" s="447"/>
      <c r="CR15" s="447"/>
      <c r="CS15" s="447"/>
      <c r="CT15" s="447"/>
      <c r="CU15" s="447"/>
      <c r="CV15" s="447"/>
      <c r="CW15" s="447"/>
      <c r="CX15" s="447"/>
      <c r="CY15" s="447"/>
      <c r="CZ15" s="447"/>
      <c r="DA15" s="447"/>
      <c r="DB15" s="447"/>
      <c r="DC15" s="447"/>
      <c r="DD15" s="447"/>
      <c r="DE15" s="448"/>
      <c r="DF15" s="2"/>
      <c r="DG15" s="2"/>
      <c r="DH15" s="2"/>
      <c r="DI15" s="2"/>
      <c r="DJ15" s="27"/>
      <c r="DK15" s="27"/>
      <c r="DL15" s="27"/>
      <c r="DM15" s="27"/>
      <c r="DN15" s="27"/>
      <c r="DO15" s="27"/>
      <c r="DP15" s="2"/>
      <c r="DQ15" s="2"/>
      <c r="DR15" s="2"/>
      <c r="DS15" s="2"/>
      <c r="DT15" s="2"/>
      <c r="DU15" s="2"/>
      <c r="DV15" s="2"/>
      <c r="DW15" s="2"/>
      <c r="DX15" s="2"/>
      <c r="DY15" s="2"/>
      <c r="DZ15" s="2"/>
      <c r="EA15" s="2"/>
      <c r="EB15" s="2"/>
      <c r="EC15" s="2"/>
      <c r="ED15" s="2"/>
      <c r="EE15" s="2"/>
      <c r="EF15" s="2"/>
      <c r="EG15" s="2"/>
      <c r="EH15" s="2"/>
      <c r="EI15" s="2"/>
    </row>
    <row r="16" spans="1:139" ht="15" customHeight="1">
      <c r="A16" s="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CN16" s="4"/>
      <c r="CO16" s="4"/>
      <c r="CP16" s="4"/>
      <c r="CQ16" s="4"/>
      <c r="CR16" s="4"/>
      <c r="CS16" s="4"/>
      <c r="CT16" s="4"/>
      <c r="CU16" s="4"/>
      <c r="CV16" s="4"/>
      <c r="CW16" s="4"/>
      <c r="CX16" s="4"/>
      <c r="CY16" s="4"/>
      <c r="CZ16" s="4"/>
      <c r="DA16" s="4"/>
      <c r="DB16" s="4"/>
      <c r="DC16" s="4"/>
      <c r="DD16" s="4"/>
      <c r="DE16" s="23"/>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2"/>
      <c r="EI16" s="2"/>
    </row>
    <row r="17" spans="1:139" ht="15.75">
      <c r="A17" s="3"/>
      <c r="B17" s="483" t="s">
        <v>124</v>
      </c>
      <c r="C17" s="483"/>
      <c r="D17" s="483"/>
      <c r="E17" s="483"/>
      <c r="F17" s="483"/>
      <c r="G17" s="483"/>
      <c r="H17" s="483"/>
      <c r="I17" s="483"/>
      <c r="J17" s="483"/>
      <c r="K17" s="483"/>
      <c r="L17" s="483"/>
      <c r="M17" s="483"/>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t="s">
        <v>125</v>
      </c>
      <c r="AM17" s="483"/>
      <c r="AN17" s="483"/>
      <c r="AO17" s="483" t="s">
        <v>126</v>
      </c>
      <c r="AP17" s="483"/>
      <c r="AQ17" s="483"/>
      <c r="AR17" s="483" t="s">
        <v>127</v>
      </c>
      <c r="AS17" s="483"/>
      <c r="AT17" s="483"/>
      <c r="AU17" s="483" t="s">
        <v>30</v>
      </c>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483"/>
      <c r="BS17" s="483"/>
      <c r="BT17" s="483"/>
      <c r="BU17" s="483"/>
      <c r="BV17" s="483"/>
      <c r="BW17" s="483"/>
      <c r="BX17" s="483"/>
      <c r="BY17" s="483"/>
      <c r="BZ17" s="483"/>
      <c r="CA17" s="483"/>
      <c r="CB17" s="483"/>
      <c r="CC17" s="483"/>
      <c r="CD17" s="483"/>
      <c r="CE17" s="483"/>
      <c r="CF17" s="483"/>
      <c r="CG17" s="483"/>
      <c r="CH17" s="483"/>
      <c r="CI17" s="483"/>
      <c r="CJ17" s="483"/>
      <c r="CK17" s="483"/>
      <c r="CL17" s="483"/>
      <c r="CM17" s="483"/>
      <c r="CN17" s="483"/>
      <c r="CO17" s="483"/>
      <c r="CP17" s="483"/>
      <c r="CQ17" s="483"/>
      <c r="CR17" s="483"/>
      <c r="CS17" s="483"/>
      <c r="CT17" s="483"/>
      <c r="CU17" s="483"/>
      <c r="CV17" s="483"/>
      <c r="CW17" s="483"/>
      <c r="CX17" s="483"/>
      <c r="CY17" s="483"/>
      <c r="CZ17" s="483"/>
      <c r="DA17" s="483"/>
      <c r="DB17" s="483"/>
      <c r="DC17" s="483"/>
      <c r="DD17" s="483"/>
      <c r="DE17" s="56"/>
      <c r="DF17" s="57"/>
      <c r="DG17" s="27"/>
      <c r="DH17" s="27"/>
      <c r="DI17" s="27"/>
      <c r="DJ17" s="27"/>
      <c r="DK17" s="2"/>
      <c r="DL17" s="2"/>
      <c r="DM17" s="2"/>
      <c r="DN17" s="2"/>
      <c r="DO17" s="2"/>
      <c r="DP17" s="2"/>
      <c r="DQ17" s="2"/>
      <c r="DR17" s="2"/>
      <c r="DS17" s="2"/>
      <c r="DT17" s="2"/>
      <c r="DU17" s="2"/>
      <c r="DV17" s="2"/>
      <c r="DW17" s="2"/>
      <c r="DX17" s="2"/>
      <c r="DY17" s="2"/>
      <c r="DZ17" s="2"/>
      <c r="EA17" s="2"/>
      <c r="EB17" s="2"/>
      <c r="EC17" s="2"/>
      <c r="ED17" s="2"/>
      <c r="EE17" s="2"/>
      <c r="EF17" s="2"/>
      <c r="EG17" s="2"/>
      <c r="EH17" s="2"/>
    </row>
    <row r="18" spans="1:139" ht="15" customHeight="1">
      <c r="A18" s="3"/>
      <c r="B18" s="489" t="s">
        <v>128</v>
      </c>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89"/>
      <c r="AA18" s="489"/>
      <c r="AB18" s="489"/>
      <c r="AC18" s="489"/>
      <c r="AD18" s="489"/>
      <c r="AE18" s="489"/>
      <c r="AF18" s="489"/>
      <c r="AG18" s="489"/>
      <c r="AH18" s="489"/>
      <c r="AI18" s="489"/>
      <c r="AJ18" s="489"/>
      <c r="AK18" s="489"/>
      <c r="AL18" s="371" t="s">
        <v>7</v>
      </c>
      <c r="AM18" s="371"/>
      <c r="AN18" s="371"/>
      <c r="AO18" s="371"/>
      <c r="AP18" s="371"/>
      <c r="AQ18" s="371"/>
      <c r="AR18" s="371"/>
      <c r="AS18" s="371"/>
      <c r="AT18" s="371"/>
      <c r="AU18" s="455" t="s">
        <v>129</v>
      </c>
      <c r="AV18" s="455"/>
      <c r="AW18" s="455"/>
      <c r="AX18" s="455"/>
      <c r="AY18" s="455"/>
      <c r="AZ18" s="455"/>
      <c r="BA18" s="455"/>
      <c r="BB18" s="455"/>
      <c r="BC18" s="455"/>
      <c r="BD18" s="455"/>
      <c r="BE18" s="455"/>
      <c r="BF18" s="455"/>
      <c r="BG18" s="455"/>
      <c r="BH18" s="455"/>
      <c r="BI18" s="455"/>
      <c r="BJ18" s="455"/>
      <c r="BK18" s="455"/>
      <c r="BL18" s="455"/>
      <c r="BM18" s="455"/>
      <c r="BN18" s="455"/>
      <c r="BO18" s="455"/>
      <c r="BP18" s="455"/>
      <c r="BQ18" s="455"/>
      <c r="BR18" s="455"/>
      <c r="BS18" s="455"/>
      <c r="BT18" s="455"/>
      <c r="BU18" s="455"/>
      <c r="BV18" s="455"/>
      <c r="BW18" s="455"/>
      <c r="BX18" s="455"/>
      <c r="BY18" s="455"/>
      <c r="BZ18" s="455"/>
      <c r="CA18" s="455"/>
      <c r="CB18" s="455"/>
      <c r="CC18" s="455"/>
      <c r="CD18" s="455"/>
      <c r="CE18" s="455"/>
      <c r="CF18" s="455"/>
      <c r="CG18" s="455"/>
      <c r="CH18" s="455"/>
      <c r="CI18" s="455"/>
      <c r="CJ18" s="455"/>
      <c r="CK18" s="455"/>
      <c r="CL18" s="455"/>
      <c r="CM18" s="455"/>
      <c r="CN18" s="455"/>
      <c r="CO18" s="455"/>
      <c r="CP18" s="455"/>
      <c r="CQ18" s="455"/>
      <c r="CR18" s="455"/>
      <c r="CS18" s="455"/>
      <c r="CT18" s="455"/>
      <c r="CU18" s="455"/>
      <c r="CV18" s="455"/>
      <c r="CW18" s="455"/>
      <c r="CX18" s="455"/>
      <c r="CY18" s="455"/>
      <c r="CZ18" s="455"/>
      <c r="DA18" s="455"/>
      <c r="DB18" s="455"/>
      <c r="DC18" s="455"/>
      <c r="DD18" s="455"/>
      <c r="DE18" s="56"/>
      <c r="DF18" s="27"/>
      <c r="DG18" s="27"/>
      <c r="DH18" s="27"/>
      <c r="DI18" s="27"/>
      <c r="DJ18" s="27"/>
      <c r="DK18" s="27"/>
      <c r="DL18" s="2"/>
      <c r="DM18" s="2"/>
      <c r="DN18" s="2"/>
      <c r="DO18" s="2"/>
      <c r="DP18" s="2"/>
      <c r="DQ18" s="2"/>
      <c r="DR18" s="2"/>
      <c r="DS18" s="2"/>
      <c r="DT18" s="2"/>
      <c r="DU18" s="2"/>
      <c r="DV18" s="2"/>
      <c r="DW18" s="2"/>
      <c r="DX18" s="2"/>
      <c r="DY18" s="2"/>
      <c r="DZ18" s="2"/>
      <c r="EA18" s="2"/>
      <c r="EB18" s="2"/>
      <c r="EC18" s="2"/>
      <c r="ED18" s="2"/>
      <c r="EE18" s="2"/>
      <c r="EF18" s="2"/>
      <c r="EG18" s="2"/>
      <c r="EH18" s="2"/>
      <c r="EI18" s="2"/>
    </row>
    <row r="19" spans="1:139" ht="15.75">
      <c r="A19" s="3"/>
      <c r="B19" s="489" t="s">
        <v>130</v>
      </c>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c r="AA19" s="489"/>
      <c r="AB19" s="489"/>
      <c r="AC19" s="489"/>
      <c r="AD19" s="489"/>
      <c r="AE19" s="489"/>
      <c r="AF19" s="489"/>
      <c r="AG19" s="489"/>
      <c r="AH19" s="489"/>
      <c r="AI19" s="489"/>
      <c r="AJ19" s="489"/>
      <c r="AK19" s="489"/>
      <c r="AL19" s="371" t="s">
        <v>7</v>
      </c>
      <c r="AM19" s="371"/>
      <c r="AN19" s="371"/>
      <c r="AO19" s="371"/>
      <c r="AP19" s="371"/>
      <c r="AQ19" s="371"/>
      <c r="AR19" s="371"/>
      <c r="AS19" s="371"/>
      <c r="AT19" s="371"/>
      <c r="AU19" s="455" t="s">
        <v>131</v>
      </c>
      <c r="AV19" s="455"/>
      <c r="AW19" s="455"/>
      <c r="AX19" s="455"/>
      <c r="AY19" s="455"/>
      <c r="AZ19" s="455"/>
      <c r="BA19" s="455"/>
      <c r="BB19" s="455"/>
      <c r="BC19" s="455"/>
      <c r="BD19" s="455"/>
      <c r="BE19" s="455"/>
      <c r="BF19" s="455"/>
      <c r="BG19" s="455"/>
      <c r="BH19" s="455"/>
      <c r="BI19" s="455"/>
      <c r="BJ19" s="455"/>
      <c r="BK19" s="455"/>
      <c r="BL19" s="455"/>
      <c r="BM19" s="455"/>
      <c r="BN19" s="455"/>
      <c r="BO19" s="455"/>
      <c r="BP19" s="455"/>
      <c r="BQ19" s="455"/>
      <c r="BR19" s="455"/>
      <c r="BS19" s="455"/>
      <c r="BT19" s="455"/>
      <c r="BU19" s="455"/>
      <c r="BV19" s="455"/>
      <c r="BW19" s="455"/>
      <c r="BX19" s="455"/>
      <c r="BY19" s="455"/>
      <c r="BZ19" s="455"/>
      <c r="CA19" s="455"/>
      <c r="CB19" s="455"/>
      <c r="CC19" s="455"/>
      <c r="CD19" s="455"/>
      <c r="CE19" s="455"/>
      <c r="CF19" s="455"/>
      <c r="CG19" s="455"/>
      <c r="CH19" s="455"/>
      <c r="CI19" s="455"/>
      <c r="CJ19" s="455"/>
      <c r="CK19" s="455"/>
      <c r="CL19" s="455"/>
      <c r="CM19" s="455"/>
      <c r="CN19" s="455"/>
      <c r="CO19" s="455"/>
      <c r="CP19" s="455"/>
      <c r="CQ19" s="455"/>
      <c r="CR19" s="455"/>
      <c r="CS19" s="455"/>
      <c r="CT19" s="455"/>
      <c r="CU19" s="455"/>
      <c r="CV19" s="455"/>
      <c r="CW19" s="455"/>
      <c r="CX19" s="455"/>
      <c r="CY19" s="455"/>
      <c r="CZ19" s="455"/>
      <c r="DA19" s="455"/>
      <c r="DB19" s="455"/>
      <c r="DC19" s="455"/>
      <c r="DD19" s="455"/>
      <c r="DE19" s="56"/>
      <c r="DF19" s="27"/>
      <c r="DG19" s="27"/>
      <c r="DH19" s="27"/>
      <c r="DI19" s="27"/>
      <c r="DJ19" s="27"/>
      <c r="DK19" s="27"/>
      <c r="DL19" s="2"/>
      <c r="DM19" s="2"/>
      <c r="DN19" s="2"/>
      <c r="DO19" s="2"/>
      <c r="DP19" s="2"/>
      <c r="DQ19" s="2"/>
      <c r="DR19" s="2"/>
      <c r="DS19" s="2"/>
      <c r="DT19" s="2"/>
      <c r="DU19" s="2"/>
      <c r="DV19" s="2"/>
      <c r="DW19" s="2"/>
      <c r="DX19" s="2"/>
      <c r="DY19" s="2"/>
      <c r="DZ19" s="2"/>
      <c r="EA19" s="2"/>
      <c r="EB19" s="2"/>
      <c r="EC19" s="2"/>
      <c r="ED19" s="2"/>
      <c r="EE19" s="2"/>
      <c r="EF19" s="2"/>
      <c r="EG19" s="2"/>
      <c r="EH19" s="2"/>
      <c r="EI19" s="2"/>
    </row>
    <row r="20" spans="1:139" ht="15.75">
      <c r="A20" s="3"/>
      <c r="B20" s="489" t="s">
        <v>132</v>
      </c>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c r="AA20" s="489"/>
      <c r="AB20" s="489"/>
      <c r="AC20" s="489"/>
      <c r="AD20" s="489"/>
      <c r="AE20" s="489"/>
      <c r="AF20" s="489"/>
      <c r="AG20" s="489"/>
      <c r="AH20" s="489"/>
      <c r="AI20" s="489"/>
      <c r="AJ20" s="489"/>
      <c r="AK20" s="489"/>
      <c r="AL20" s="371" t="s">
        <v>7</v>
      </c>
      <c r="AM20" s="371"/>
      <c r="AN20" s="371"/>
      <c r="AO20" s="371"/>
      <c r="AP20" s="371"/>
      <c r="AQ20" s="371"/>
      <c r="AR20" s="371"/>
      <c r="AS20" s="371"/>
      <c r="AT20" s="371"/>
      <c r="AU20" s="455" t="s">
        <v>133</v>
      </c>
      <c r="AV20" s="455"/>
      <c r="AW20" s="455"/>
      <c r="AX20" s="455"/>
      <c r="AY20" s="455"/>
      <c r="AZ20" s="455"/>
      <c r="BA20" s="455"/>
      <c r="BB20" s="455"/>
      <c r="BC20" s="455"/>
      <c r="BD20" s="455"/>
      <c r="BE20" s="455"/>
      <c r="BF20" s="455"/>
      <c r="BG20" s="455"/>
      <c r="BH20" s="455"/>
      <c r="BI20" s="455"/>
      <c r="BJ20" s="455"/>
      <c r="BK20" s="455"/>
      <c r="BL20" s="455"/>
      <c r="BM20" s="455"/>
      <c r="BN20" s="455"/>
      <c r="BO20" s="455"/>
      <c r="BP20" s="455"/>
      <c r="BQ20" s="455"/>
      <c r="BR20" s="455"/>
      <c r="BS20" s="455"/>
      <c r="BT20" s="455"/>
      <c r="BU20" s="455"/>
      <c r="BV20" s="455"/>
      <c r="BW20" s="455"/>
      <c r="BX20" s="455"/>
      <c r="BY20" s="455"/>
      <c r="BZ20" s="455"/>
      <c r="CA20" s="455"/>
      <c r="CB20" s="455"/>
      <c r="CC20" s="455"/>
      <c r="CD20" s="455"/>
      <c r="CE20" s="455"/>
      <c r="CF20" s="455"/>
      <c r="CG20" s="455"/>
      <c r="CH20" s="455"/>
      <c r="CI20" s="455"/>
      <c r="CJ20" s="455"/>
      <c r="CK20" s="455"/>
      <c r="CL20" s="455"/>
      <c r="CM20" s="455"/>
      <c r="CN20" s="455"/>
      <c r="CO20" s="455"/>
      <c r="CP20" s="455"/>
      <c r="CQ20" s="455"/>
      <c r="CR20" s="455"/>
      <c r="CS20" s="455"/>
      <c r="CT20" s="455"/>
      <c r="CU20" s="455"/>
      <c r="CV20" s="455"/>
      <c r="CW20" s="455"/>
      <c r="CX20" s="455"/>
      <c r="CY20" s="455"/>
      <c r="CZ20" s="455"/>
      <c r="DA20" s="455"/>
      <c r="DB20" s="455"/>
      <c r="DC20" s="455"/>
      <c r="DD20" s="455"/>
      <c r="DE20" s="56"/>
      <c r="DF20" s="27"/>
      <c r="DG20" s="27"/>
      <c r="DH20" s="27"/>
      <c r="DI20" s="27"/>
      <c r="DJ20" s="27"/>
      <c r="DK20" s="27"/>
      <c r="DL20" s="2"/>
      <c r="DM20" s="2"/>
      <c r="DN20" s="2"/>
      <c r="DO20" s="2"/>
      <c r="DP20" s="2"/>
      <c r="DQ20" s="2"/>
      <c r="DR20" s="2"/>
      <c r="DS20" s="2"/>
      <c r="DT20" s="2"/>
      <c r="DU20" s="2"/>
      <c r="DV20" s="2"/>
      <c r="DW20" s="2"/>
      <c r="DX20" s="2"/>
      <c r="DY20" s="2"/>
      <c r="DZ20" s="2"/>
      <c r="EA20" s="2"/>
      <c r="EB20" s="2"/>
      <c r="EC20" s="2"/>
      <c r="ED20" s="2"/>
      <c r="EE20" s="2"/>
      <c r="EF20" s="2"/>
      <c r="EG20" s="2"/>
      <c r="EH20" s="58"/>
      <c r="EI20" s="58"/>
    </row>
    <row r="21" spans="1:139" ht="15.75">
      <c r="A21" s="3"/>
      <c r="B21" s="489" t="s">
        <v>134</v>
      </c>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c r="AA21" s="489"/>
      <c r="AB21" s="489"/>
      <c r="AC21" s="489"/>
      <c r="AD21" s="489"/>
      <c r="AE21" s="489"/>
      <c r="AF21" s="489"/>
      <c r="AG21" s="489"/>
      <c r="AH21" s="489"/>
      <c r="AI21" s="489"/>
      <c r="AJ21" s="489"/>
      <c r="AK21" s="489"/>
      <c r="AL21" s="371" t="s">
        <v>7</v>
      </c>
      <c r="AM21" s="371"/>
      <c r="AN21" s="371"/>
      <c r="AO21" s="371"/>
      <c r="AP21" s="371"/>
      <c r="AQ21" s="371"/>
      <c r="AR21" s="371"/>
      <c r="AS21" s="371"/>
      <c r="AT21" s="371"/>
      <c r="AU21" s="455" t="s">
        <v>135</v>
      </c>
      <c r="AV21" s="455"/>
      <c r="AW21" s="455"/>
      <c r="AX21" s="455"/>
      <c r="AY21" s="455"/>
      <c r="AZ21" s="455"/>
      <c r="BA21" s="455"/>
      <c r="BB21" s="455"/>
      <c r="BC21" s="455"/>
      <c r="BD21" s="455"/>
      <c r="BE21" s="455"/>
      <c r="BF21" s="455"/>
      <c r="BG21" s="455"/>
      <c r="BH21" s="455"/>
      <c r="BI21" s="455"/>
      <c r="BJ21" s="455"/>
      <c r="BK21" s="455"/>
      <c r="BL21" s="455"/>
      <c r="BM21" s="455"/>
      <c r="BN21" s="455"/>
      <c r="BO21" s="455"/>
      <c r="BP21" s="455"/>
      <c r="BQ21" s="455"/>
      <c r="BR21" s="455"/>
      <c r="BS21" s="455"/>
      <c r="BT21" s="455"/>
      <c r="BU21" s="455"/>
      <c r="BV21" s="455"/>
      <c r="BW21" s="455"/>
      <c r="BX21" s="455"/>
      <c r="BY21" s="455"/>
      <c r="BZ21" s="455"/>
      <c r="CA21" s="455"/>
      <c r="CB21" s="455"/>
      <c r="CC21" s="455"/>
      <c r="CD21" s="455"/>
      <c r="CE21" s="455"/>
      <c r="CF21" s="455"/>
      <c r="CG21" s="455"/>
      <c r="CH21" s="455"/>
      <c r="CI21" s="455"/>
      <c r="CJ21" s="455"/>
      <c r="CK21" s="455"/>
      <c r="CL21" s="455"/>
      <c r="CM21" s="455"/>
      <c r="CN21" s="455"/>
      <c r="CO21" s="455"/>
      <c r="CP21" s="455"/>
      <c r="CQ21" s="455"/>
      <c r="CR21" s="455"/>
      <c r="CS21" s="455"/>
      <c r="CT21" s="455"/>
      <c r="CU21" s="455"/>
      <c r="CV21" s="455"/>
      <c r="CW21" s="455"/>
      <c r="CX21" s="455"/>
      <c r="CY21" s="455"/>
      <c r="CZ21" s="455"/>
      <c r="DA21" s="455"/>
      <c r="DB21" s="455"/>
      <c r="DC21" s="455"/>
      <c r="DD21" s="455"/>
      <c r="DE21" s="56"/>
      <c r="DF21" s="27"/>
      <c r="DG21" s="27"/>
      <c r="DH21" s="27"/>
      <c r="DI21" s="27"/>
      <c r="DJ21" s="27"/>
      <c r="DK21" s="27"/>
      <c r="DL21" s="2"/>
      <c r="DM21" s="2"/>
      <c r="DN21" s="2"/>
      <c r="DO21" s="2"/>
      <c r="DP21" s="2"/>
      <c r="DQ21" s="2"/>
      <c r="DR21" s="2"/>
      <c r="DS21" s="2"/>
      <c r="DT21" s="2"/>
      <c r="DU21" s="2"/>
      <c r="DV21" s="2"/>
      <c r="DW21" s="2"/>
      <c r="DX21" s="2"/>
      <c r="DY21" s="2"/>
      <c r="DZ21" s="2"/>
      <c r="EA21" s="2"/>
      <c r="EB21" s="2"/>
      <c r="EC21" s="2"/>
      <c r="ED21" s="2"/>
      <c r="EE21" s="2"/>
      <c r="EF21" s="2"/>
      <c r="EG21" s="2"/>
    </row>
    <row r="22" spans="1:139" ht="15" customHeight="1">
      <c r="A22" s="59"/>
      <c r="B22" s="483" t="s">
        <v>136</v>
      </c>
      <c r="C22" s="483"/>
      <c r="D22" s="483"/>
      <c r="E22" s="483"/>
      <c r="F22" s="483"/>
      <c r="G22" s="483"/>
      <c r="H22" s="483"/>
      <c r="I22" s="483"/>
      <c r="J22" s="483"/>
      <c r="K22" s="483"/>
      <c r="L22" s="483"/>
      <c r="M22" s="483"/>
      <c r="N22" s="483"/>
      <c r="O22" s="483"/>
      <c r="P22" s="483"/>
      <c r="Q22" s="483"/>
      <c r="R22" s="483"/>
      <c r="S22" s="483"/>
      <c r="T22" s="483"/>
      <c r="U22" s="483"/>
      <c r="V22" s="483"/>
      <c r="W22" s="483"/>
      <c r="X22" s="455"/>
      <c r="Y22" s="455"/>
      <c r="Z22" s="455"/>
      <c r="AA22" s="455"/>
      <c r="AB22" s="455"/>
      <c r="AC22" s="455"/>
      <c r="AD22" s="455"/>
      <c r="AE22" s="455"/>
      <c r="AF22" s="455"/>
      <c r="AG22" s="455"/>
      <c r="AH22" s="455"/>
      <c r="AI22" s="455"/>
      <c r="AJ22" s="455"/>
      <c r="AK22" s="455"/>
      <c r="AL22" s="455"/>
      <c r="AM22" s="455"/>
      <c r="AN22" s="455"/>
      <c r="AO22" s="455"/>
      <c r="AP22" s="455"/>
      <c r="AQ22" s="455"/>
      <c r="AR22" s="483" t="s">
        <v>137</v>
      </c>
      <c r="AS22" s="483"/>
      <c r="AT22" s="483"/>
      <c r="AU22" s="483"/>
      <c r="AV22" s="483"/>
      <c r="AW22" s="483"/>
      <c r="AX22" s="483"/>
      <c r="AY22" s="483"/>
      <c r="AZ22" s="483"/>
      <c r="BA22" s="483"/>
      <c r="BB22" s="483"/>
      <c r="BC22" s="483"/>
      <c r="BD22" s="483"/>
      <c r="BE22" s="483"/>
      <c r="BF22" s="483"/>
      <c r="BG22" s="483"/>
      <c r="BH22" s="455"/>
      <c r="BI22" s="455"/>
      <c r="BJ22" s="455"/>
      <c r="BK22" s="455"/>
      <c r="BL22" s="455"/>
      <c r="BM22" s="455"/>
      <c r="BN22" s="455"/>
      <c r="BO22" s="455"/>
      <c r="BP22" s="455"/>
      <c r="BQ22" s="455"/>
      <c r="BR22" s="455"/>
      <c r="BS22" s="455"/>
      <c r="BT22" s="455"/>
      <c r="BU22" s="455"/>
      <c r="BV22" s="455"/>
      <c r="BW22" s="455"/>
      <c r="BX22" s="455"/>
      <c r="BY22" s="455"/>
      <c r="BZ22" s="455"/>
      <c r="CA22" s="455"/>
      <c r="CB22" s="455"/>
      <c r="CC22" s="455"/>
      <c r="CD22" s="455"/>
      <c r="CE22" s="455"/>
      <c r="CF22" s="455"/>
      <c r="CG22" s="455"/>
      <c r="CH22" s="455"/>
      <c r="CI22" s="455"/>
      <c r="CJ22" s="455"/>
      <c r="CK22" s="455"/>
      <c r="CL22" s="455"/>
      <c r="CM22" s="455"/>
      <c r="CN22" s="455"/>
      <c r="CO22" s="455"/>
      <c r="CP22" s="455"/>
      <c r="CQ22" s="455"/>
      <c r="CR22" s="455"/>
      <c r="CS22" s="455"/>
      <c r="CT22" s="455"/>
      <c r="CU22" s="455"/>
      <c r="CV22" s="455"/>
      <c r="CW22" s="455"/>
      <c r="CX22" s="455"/>
      <c r="CY22" s="455"/>
      <c r="CZ22" s="455"/>
      <c r="DA22" s="455"/>
      <c r="DB22" s="455"/>
      <c r="DC22" s="455"/>
      <c r="DD22" s="455"/>
      <c r="DE22" s="7"/>
    </row>
    <row r="23" spans="1:139" ht="15" customHeight="1">
      <c r="A23" s="8"/>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DE23" s="7"/>
    </row>
    <row r="24" spans="1:139" ht="15" customHeight="1">
      <c r="A24" s="60"/>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2"/>
      <c r="AQ24" s="62"/>
      <c r="AR24" s="62"/>
      <c r="AS24" s="63"/>
      <c r="AT24" s="63"/>
      <c r="AU24" s="63"/>
      <c r="AV24" s="62"/>
      <c r="AW24" s="62"/>
      <c r="AX24" s="62"/>
      <c r="AY24" s="63"/>
      <c r="AZ24" s="63"/>
      <c r="BA24" s="63"/>
      <c r="BB24" s="62"/>
      <c r="BC24" s="62"/>
      <c r="BD24" s="62"/>
      <c r="BE24" s="63"/>
      <c r="BF24" s="63"/>
      <c r="BG24" s="63"/>
      <c r="BH24" s="485"/>
      <c r="BI24" s="485"/>
      <c r="BJ24" s="485"/>
      <c r="BK24" s="485"/>
      <c r="DE24" s="7"/>
    </row>
    <row r="25" spans="1:139" ht="15" customHeight="1">
      <c r="A25" s="486" t="s">
        <v>138</v>
      </c>
      <c r="B25" s="487"/>
      <c r="C25" s="487"/>
      <c r="D25" s="487"/>
      <c r="E25" s="487"/>
      <c r="F25" s="487"/>
      <c r="G25" s="487"/>
      <c r="H25" s="487"/>
      <c r="I25" s="487"/>
      <c r="J25" s="487"/>
      <c r="K25" s="487"/>
      <c r="L25" s="487"/>
      <c r="M25" s="487"/>
      <c r="N25" s="487"/>
      <c r="O25" s="487"/>
      <c r="P25" s="487"/>
      <c r="Q25" s="487"/>
      <c r="R25" s="487"/>
      <c r="S25" s="487"/>
      <c r="T25" s="487"/>
      <c r="U25" s="487"/>
      <c r="V25" s="487"/>
      <c r="W25" s="487"/>
      <c r="X25" s="487"/>
      <c r="Y25" s="487"/>
      <c r="Z25" s="487"/>
      <c r="AA25" s="487"/>
      <c r="AB25" s="487"/>
      <c r="AC25" s="487"/>
      <c r="AD25" s="487"/>
      <c r="AE25" s="487"/>
      <c r="AF25" s="487"/>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7"/>
      <c r="BD25" s="487"/>
      <c r="BE25" s="487"/>
      <c r="BF25" s="487"/>
      <c r="BG25" s="487"/>
      <c r="BH25" s="487"/>
      <c r="BI25" s="487"/>
      <c r="BJ25" s="487"/>
      <c r="BK25" s="487"/>
      <c r="BL25" s="487"/>
      <c r="BM25" s="487"/>
      <c r="BN25" s="487"/>
      <c r="BO25" s="487"/>
      <c r="BP25" s="487"/>
      <c r="BQ25" s="487"/>
      <c r="BR25" s="487"/>
      <c r="BS25" s="487"/>
      <c r="BT25" s="487"/>
      <c r="BU25" s="487"/>
      <c r="BV25" s="487"/>
      <c r="BW25" s="487"/>
      <c r="BX25" s="487"/>
      <c r="BY25" s="487"/>
      <c r="BZ25" s="487"/>
      <c r="CA25" s="487"/>
      <c r="CB25" s="487"/>
      <c r="CC25" s="487"/>
      <c r="CD25" s="487"/>
      <c r="CE25" s="487"/>
      <c r="CF25" s="487"/>
      <c r="CG25" s="487"/>
      <c r="CH25" s="487"/>
      <c r="CI25" s="487"/>
      <c r="CJ25" s="487"/>
      <c r="CK25" s="487"/>
      <c r="CL25" s="487"/>
      <c r="CM25" s="487"/>
      <c r="CN25" s="487"/>
      <c r="CO25" s="487"/>
      <c r="CP25" s="487"/>
      <c r="CQ25" s="487"/>
      <c r="CR25" s="487"/>
      <c r="CS25" s="487"/>
      <c r="CT25" s="487"/>
      <c r="CU25" s="487"/>
      <c r="CV25" s="487"/>
      <c r="CW25" s="487"/>
      <c r="CX25" s="487"/>
      <c r="CY25" s="487"/>
      <c r="CZ25" s="487"/>
      <c r="DA25" s="487"/>
      <c r="DB25" s="487"/>
      <c r="DC25" s="487"/>
      <c r="DD25" s="495"/>
      <c r="DE25" s="7"/>
    </row>
    <row r="26" spans="1:139" ht="15" customHeight="1">
      <c r="A26" s="64"/>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DE26" s="7"/>
    </row>
    <row r="27" spans="1:139" ht="15" customHeight="1">
      <c r="A27" s="59"/>
      <c r="B27" s="483" t="s">
        <v>139</v>
      </c>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c r="AA27" s="483"/>
      <c r="AB27" s="483"/>
      <c r="AC27" s="483"/>
      <c r="AD27" s="483"/>
      <c r="AE27" s="483"/>
      <c r="AF27" s="483"/>
      <c r="AG27" s="483"/>
      <c r="AH27" s="483"/>
      <c r="AI27" s="483"/>
      <c r="AJ27" s="483"/>
      <c r="AK27" s="483"/>
      <c r="AL27" s="483"/>
      <c r="AM27" s="483"/>
      <c r="AN27" s="483"/>
      <c r="AO27" s="483"/>
      <c r="AP27" s="483"/>
      <c r="AQ27" s="483"/>
      <c r="AR27" s="483"/>
      <c r="AS27" s="483"/>
      <c r="AT27" s="483"/>
      <c r="AU27" s="484" t="s">
        <v>140</v>
      </c>
      <c r="AV27" s="484"/>
      <c r="AW27" s="484"/>
      <c r="AX27" s="484"/>
      <c r="AY27" s="484"/>
      <c r="AZ27" s="484"/>
      <c r="BA27" s="484"/>
      <c r="BB27" s="484"/>
      <c r="BC27" s="484"/>
      <c r="BD27" s="484"/>
      <c r="BE27" s="484"/>
      <c r="BF27" s="484"/>
      <c r="BG27" s="484"/>
      <c r="BH27" s="484"/>
      <c r="BI27" s="484"/>
      <c r="BJ27" s="484" t="s">
        <v>141</v>
      </c>
      <c r="BK27" s="484"/>
      <c r="BL27" s="484"/>
      <c r="BM27" s="484"/>
      <c r="BN27" s="484"/>
      <c r="BO27" s="484"/>
      <c r="BP27" s="484"/>
      <c r="BQ27" s="484"/>
      <c r="BR27" s="484"/>
      <c r="BS27" s="484"/>
      <c r="BT27" s="484"/>
      <c r="BU27" s="484"/>
      <c r="BV27" s="484"/>
      <c r="BW27" s="484"/>
      <c r="BX27" s="484"/>
      <c r="BY27" s="484"/>
      <c r="BZ27" s="484"/>
      <c r="CA27" s="484"/>
      <c r="CB27" s="484"/>
      <c r="CC27" s="484"/>
      <c r="CD27" s="484"/>
      <c r="CE27" s="484"/>
      <c r="CF27" s="484"/>
      <c r="CG27" s="484"/>
      <c r="CH27" s="484"/>
      <c r="CI27" s="484"/>
      <c r="CJ27" s="484"/>
      <c r="CK27" s="484"/>
      <c r="CL27" s="484"/>
      <c r="CM27" s="484"/>
      <c r="CN27" s="484"/>
      <c r="CO27" s="484"/>
      <c r="CP27" s="484"/>
      <c r="CQ27" s="484"/>
      <c r="CR27" s="484"/>
      <c r="CS27" s="484"/>
      <c r="CT27" s="484"/>
      <c r="CU27" s="484"/>
      <c r="CV27" s="484"/>
      <c r="CW27" s="484"/>
      <c r="CX27" s="484"/>
      <c r="CY27" s="484"/>
      <c r="CZ27" s="484"/>
      <c r="DA27" s="484"/>
      <c r="DB27" s="484"/>
      <c r="DC27" s="484"/>
      <c r="DD27" s="484"/>
      <c r="DE27" s="7"/>
    </row>
    <row r="28" spans="1:139" ht="15" customHeight="1">
      <c r="A28" s="6"/>
      <c r="B28" s="479" t="s">
        <v>32</v>
      </c>
      <c r="C28" s="479"/>
      <c r="D28" s="479"/>
      <c r="E28" s="479"/>
      <c r="F28" s="479"/>
      <c r="G28" s="479"/>
      <c r="H28" s="479"/>
      <c r="I28" s="479"/>
      <c r="J28" s="479"/>
      <c r="K28" s="479" t="s">
        <v>142</v>
      </c>
      <c r="L28" s="479"/>
      <c r="M28" s="479"/>
      <c r="N28" s="479"/>
      <c r="O28" s="479"/>
      <c r="P28" s="479"/>
      <c r="Q28" s="479"/>
      <c r="R28" s="479"/>
      <c r="S28" s="479" t="s">
        <v>143</v>
      </c>
      <c r="T28" s="479"/>
      <c r="U28" s="479"/>
      <c r="V28" s="479"/>
      <c r="W28" s="479"/>
      <c r="X28" s="479"/>
      <c r="Y28" s="479"/>
      <c r="Z28" s="479" t="s">
        <v>144</v>
      </c>
      <c r="AA28" s="479"/>
      <c r="AB28" s="479"/>
      <c r="AC28" s="479"/>
      <c r="AD28" s="479"/>
      <c r="AE28" s="479"/>
      <c r="AF28" s="479"/>
      <c r="AG28" s="479" t="s">
        <v>145</v>
      </c>
      <c r="AH28" s="479"/>
      <c r="AI28" s="479"/>
      <c r="AJ28" s="479"/>
      <c r="AK28" s="479"/>
      <c r="AL28" s="479"/>
      <c r="AM28" s="479"/>
      <c r="AN28" s="479" t="s">
        <v>37</v>
      </c>
      <c r="AO28" s="479"/>
      <c r="AP28" s="479"/>
      <c r="AQ28" s="479"/>
      <c r="AR28" s="479"/>
      <c r="AS28" s="479"/>
      <c r="AT28" s="479"/>
      <c r="AU28" s="479" t="s">
        <v>146</v>
      </c>
      <c r="AV28" s="479"/>
      <c r="AW28" s="479"/>
      <c r="AX28" s="480" t="s">
        <v>147</v>
      </c>
      <c r="AY28" s="480"/>
      <c r="AZ28" s="480"/>
      <c r="BA28" s="478" t="s">
        <v>82</v>
      </c>
      <c r="BB28" s="478"/>
      <c r="BC28" s="478"/>
      <c r="BD28" s="481" t="s">
        <v>148</v>
      </c>
      <c r="BE28" s="481"/>
      <c r="BF28" s="481"/>
      <c r="BG28" s="482" t="s">
        <v>149</v>
      </c>
      <c r="BH28" s="482"/>
      <c r="BI28" s="482"/>
      <c r="BJ28" s="479" t="s">
        <v>150</v>
      </c>
      <c r="BK28" s="479"/>
      <c r="BL28" s="479"/>
      <c r="BM28" s="479" t="s">
        <v>151</v>
      </c>
      <c r="BN28" s="479"/>
      <c r="BO28" s="479"/>
      <c r="BP28" s="479"/>
      <c r="BQ28" s="479"/>
      <c r="BR28" s="479"/>
      <c r="BS28" s="479"/>
      <c r="BT28" s="479"/>
      <c r="BU28" s="479"/>
      <c r="BV28" s="479"/>
      <c r="BW28" s="479"/>
      <c r="BX28" s="479"/>
      <c r="BY28" s="479"/>
      <c r="BZ28" s="479"/>
      <c r="CA28" s="479"/>
      <c r="CB28" s="479"/>
      <c r="CC28" s="479"/>
      <c r="CD28" s="479"/>
      <c r="CE28" s="479"/>
      <c r="CF28" s="479"/>
      <c r="CG28" s="479"/>
      <c r="CH28" s="479"/>
      <c r="CI28" s="479"/>
      <c r="CJ28" s="478" t="s">
        <v>152</v>
      </c>
      <c r="CK28" s="478"/>
      <c r="CL28" s="478"/>
      <c r="CM28" s="479" t="s">
        <v>153</v>
      </c>
      <c r="CN28" s="479"/>
      <c r="CO28" s="479"/>
      <c r="CP28" s="480" t="s">
        <v>154</v>
      </c>
      <c r="CQ28" s="480"/>
      <c r="CR28" s="480"/>
      <c r="CS28" s="478" t="s">
        <v>155</v>
      </c>
      <c r="CT28" s="478"/>
      <c r="CU28" s="478"/>
      <c r="CV28" s="479" t="s">
        <v>156</v>
      </c>
      <c r="CW28" s="479"/>
      <c r="CX28" s="479"/>
      <c r="CY28" s="480" t="s">
        <v>157</v>
      </c>
      <c r="CZ28" s="480"/>
      <c r="DA28" s="480"/>
      <c r="DB28" s="478" t="s">
        <v>158</v>
      </c>
      <c r="DC28" s="478"/>
      <c r="DD28" s="478"/>
      <c r="DE28" s="7"/>
    </row>
    <row r="29" spans="1:139" ht="15" customHeight="1">
      <c r="A29" s="6"/>
      <c r="B29" s="455"/>
      <c r="C29" s="455"/>
      <c r="D29" s="455"/>
      <c r="E29" s="455"/>
      <c r="F29" s="455"/>
      <c r="G29" s="455"/>
      <c r="H29" s="455"/>
      <c r="I29" s="455"/>
      <c r="J29" s="455"/>
      <c r="K29" s="455"/>
      <c r="L29" s="455"/>
      <c r="M29" s="455"/>
      <c r="N29" s="455"/>
      <c r="O29" s="455"/>
      <c r="P29" s="455"/>
      <c r="Q29" s="455"/>
      <c r="R29" s="455"/>
      <c r="S29" s="455"/>
      <c r="T29" s="455"/>
      <c r="U29" s="455"/>
      <c r="V29" s="455"/>
      <c r="W29" s="455"/>
      <c r="X29" s="455"/>
      <c r="Y29" s="455"/>
      <c r="Z29" s="455"/>
      <c r="AA29" s="455"/>
      <c r="AB29" s="455"/>
      <c r="AC29" s="455"/>
      <c r="AD29" s="455"/>
      <c r="AE29" s="455"/>
      <c r="AF29" s="455"/>
      <c r="AG29" s="455"/>
      <c r="AH29" s="455"/>
      <c r="AI29" s="455"/>
      <c r="AJ29" s="455"/>
      <c r="AK29" s="455"/>
      <c r="AL29" s="455"/>
      <c r="AM29" s="455"/>
      <c r="AN29" s="370"/>
      <c r="AO29" s="455"/>
      <c r="AP29" s="455"/>
      <c r="AQ29" s="455"/>
      <c r="AR29" s="455"/>
      <c r="AS29" s="455"/>
      <c r="AT29" s="455"/>
      <c r="AU29" s="371" t="s">
        <v>7</v>
      </c>
      <c r="AV29" s="371"/>
      <c r="AW29" s="371"/>
      <c r="AX29" s="371" t="s">
        <v>7</v>
      </c>
      <c r="AY29" s="371"/>
      <c r="AZ29" s="371"/>
      <c r="BA29" s="371" t="s">
        <v>7</v>
      </c>
      <c r="BB29" s="371"/>
      <c r="BC29" s="371"/>
      <c r="BD29" s="371" t="s">
        <v>7</v>
      </c>
      <c r="BE29" s="371"/>
      <c r="BF29" s="371"/>
      <c r="BG29" s="455" t="s">
        <v>159</v>
      </c>
      <c r="BH29" s="455"/>
      <c r="BI29" s="455"/>
      <c r="BJ29" s="455" t="s">
        <v>160</v>
      </c>
      <c r="BK29" s="455"/>
      <c r="BL29" s="455"/>
      <c r="BM29" s="455" t="s">
        <v>160</v>
      </c>
      <c r="BN29" s="455"/>
      <c r="BO29" s="455"/>
      <c r="BP29" s="455"/>
      <c r="BQ29" s="455"/>
      <c r="BR29" s="455"/>
      <c r="BS29" s="455"/>
      <c r="BT29" s="455"/>
      <c r="BU29" s="455"/>
      <c r="BV29" s="455"/>
      <c r="BW29" s="455"/>
      <c r="BX29" s="455"/>
      <c r="BY29" s="455"/>
      <c r="BZ29" s="455"/>
      <c r="CA29" s="455"/>
      <c r="CB29" s="455"/>
      <c r="CC29" s="455"/>
      <c r="CD29" s="455"/>
      <c r="CE29" s="455"/>
      <c r="CF29" s="455"/>
      <c r="CG29" s="455"/>
      <c r="CH29" s="455"/>
      <c r="CI29" s="455"/>
      <c r="CJ29" s="455" t="s">
        <v>160</v>
      </c>
      <c r="CK29" s="455"/>
      <c r="CL29" s="455"/>
      <c r="CM29" s="455" t="s">
        <v>159</v>
      </c>
      <c r="CN29" s="455"/>
      <c r="CO29" s="455"/>
      <c r="CP29" s="455" t="s">
        <v>159</v>
      </c>
      <c r="CQ29" s="455"/>
      <c r="CR29" s="455"/>
      <c r="CS29" s="455" t="s">
        <v>159</v>
      </c>
      <c r="CT29" s="455"/>
      <c r="CU29" s="455"/>
      <c r="CV29" s="455" t="s">
        <v>160</v>
      </c>
      <c r="CW29" s="455"/>
      <c r="CX29" s="455"/>
      <c r="CY29" s="455" t="s">
        <v>160</v>
      </c>
      <c r="CZ29" s="455"/>
      <c r="DA29" s="455"/>
      <c r="DB29" s="455" t="s">
        <v>160</v>
      </c>
      <c r="DC29" s="455"/>
      <c r="DD29" s="455"/>
      <c r="DE29" s="7"/>
    </row>
    <row r="30" spans="1:139" ht="15" customHeight="1">
      <c r="A30" s="6"/>
      <c r="B30" s="455"/>
      <c r="C30" s="455"/>
      <c r="D30" s="455"/>
      <c r="E30" s="455"/>
      <c r="F30" s="455"/>
      <c r="G30" s="455"/>
      <c r="H30" s="455"/>
      <c r="I30" s="455"/>
      <c r="J30" s="455"/>
      <c r="K30" s="455"/>
      <c r="L30" s="455"/>
      <c r="M30" s="455"/>
      <c r="N30" s="455"/>
      <c r="O30" s="455"/>
      <c r="P30" s="455"/>
      <c r="Q30" s="455"/>
      <c r="R30" s="455"/>
      <c r="S30" s="455"/>
      <c r="T30" s="455"/>
      <c r="U30" s="455"/>
      <c r="V30" s="455"/>
      <c r="W30" s="455"/>
      <c r="X30" s="455"/>
      <c r="Y30" s="455"/>
      <c r="Z30" s="455"/>
      <c r="AA30" s="455"/>
      <c r="AB30" s="455"/>
      <c r="AC30" s="455"/>
      <c r="AD30" s="455"/>
      <c r="AE30" s="455"/>
      <c r="AF30" s="455"/>
      <c r="AG30" s="455"/>
      <c r="AH30" s="455"/>
      <c r="AI30" s="455"/>
      <c r="AJ30" s="455"/>
      <c r="AK30" s="455"/>
      <c r="AL30" s="455"/>
      <c r="AM30" s="455"/>
      <c r="AN30" s="455"/>
      <c r="AO30" s="455"/>
      <c r="AP30" s="455"/>
      <c r="AQ30" s="455"/>
      <c r="AR30" s="455"/>
      <c r="AS30" s="455"/>
      <c r="AT30" s="455"/>
      <c r="AU30" s="371" t="s">
        <v>7</v>
      </c>
      <c r="AV30" s="371"/>
      <c r="AW30" s="371"/>
      <c r="AX30" s="371" t="s">
        <v>7</v>
      </c>
      <c r="AY30" s="371"/>
      <c r="AZ30" s="371"/>
      <c r="BA30" s="371" t="s">
        <v>7</v>
      </c>
      <c r="BB30" s="371"/>
      <c r="BC30" s="371"/>
      <c r="BD30" s="371" t="s">
        <v>7</v>
      </c>
      <c r="BE30" s="371"/>
      <c r="BF30" s="371"/>
      <c r="BG30" s="455" t="s">
        <v>159</v>
      </c>
      <c r="BH30" s="455"/>
      <c r="BI30" s="455"/>
      <c r="BJ30" s="455" t="s">
        <v>160</v>
      </c>
      <c r="BK30" s="455"/>
      <c r="BL30" s="455"/>
      <c r="BM30" s="455" t="s">
        <v>160</v>
      </c>
      <c r="BN30" s="455"/>
      <c r="BO30" s="455"/>
      <c r="BP30" s="455"/>
      <c r="BQ30" s="455"/>
      <c r="BR30" s="455"/>
      <c r="BS30" s="455"/>
      <c r="BT30" s="455"/>
      <c r="BU30" s="455"/>
      <c r="BV30" s="455"/>
      <c r="BW30" s="455"/>
      <c r="BX30" s="455"/>
      <c r="BY30" s="455"/>
      <c r="BZ30" s="455"/>
      <c r="CA30" s="455"/>
      <c r="CB30" s="455"/>
      <c r="CC30" s="455"/>
      <c r="CD30" s="455"/>
      <c r="CE30" s="455"/>
      <c r="CF30" s="455"/>
      <c r="CG30" s="455"/>
      <c r="CH30" s="455"/>
      <c r="CI30" s="455"/>
      <c r="CJ30" s="455" t="s">
        <v>160</v>
      </c>
      <c r="CK30" s="455"/>
      <c r="CL30" s="455"/>
      <c r="CM30" s="455" t="s">
        <v>159</v>
      </c>
      <c r="CN30" s="455"/>
      <c r="CO30" s="455"/>
      <c r="CP30" s="455" t="s">
        <v>159</v>
      </c>
      <c r="CQ30" s="455"/>
      <c r="CR30" s="455"/>
      <c r="CS30" s="455" t="s">
        <v>159</v>
      </c>
      <c r="CT30" s="455"/>
      <c r="CU30" s="455"/>
      <c r="CV30" s="455" t="s">
        <v>160</v>
      </c>
      <c r="CW30" s="455"/>
      <c r="CX30" s="455"/>
      <c r="CY30" s="455" t="s">
        <v>160</v>
      </c>
      <c r="CZ30" s="455"/>
      <c r="DA30" s="455"/>
      <c r="DB30" s="455" t="s">
        <v>160</v>
      </c>
      <c r="DC30" s="455"/>
      <c r="DD30" s="455"/>
      <c r="DE30" s="7"/>
    </row>
    <row r="31" spans="1:139">
      <c r="A31" s="6"/>
      <c r="B31" s="455"/>
      <c r="C31" s="455"/>
      <c r="D31" s="455"/>
      <c r="E31" s="455"/>
      <c r="F31" s="455"/>
      <c r="G31" s="455"/>
      <c r="H31" s="455"/>
      <c r="I31" s="455"/>
      <c r="J31" s="455"/>
      <c r="K31" s="455"/>
      <c r="L31" s="455"/>
      <c r="M31" s="455"/>
      <c r="N31" s="455"/>
      <c r="O31" s="455"/>
      <c r="P31" s="455"/>
      <c r="Q31" s="455"/>
      <c r="R31" s="455"/>
      <c r="S31" s="455"/>
      <c r="T31" s="455"/>
      <c r="U31" s="455"/>
      <c r="V31" s="455"/>
      <c r="W31" s="455"/>
      <c r="X31" s="455"/>
      <c r="Y31" s="455"/>
      <c r="Z31" s="455"/>
      <c r="AA31" s="455"/>
      <c r="AB31" s="455"/>
      <c r="AC31" s="455"/>
      <c r="AD31" s="455"/>
      <c r="AE31" s="455"/>
      <c r="AF31" s="455"/>
      <c r="AG31" s="455"/>
      <c r="AH31" s="455"/>
      <c r="AI31" s="455"/>
      <c r="AJ31" s="455"/>
      <c r="AK31" s="455"/>
      <c r="AL31" s="455"/>
      <c r="AM31" s="455"/>
      <c r="AN31" s="370"/>
      <c r="AO31" s="455"/>
      <c r="AP31" s="455"/>
      <c r="AQ31" s="455"/>
      <c r="AR31" s="455"/>
      <c r="AS31" s="455"/>
      <c r="AT31" s="455"/>
      <c r="AU31" s="371" t="s">
        <v>7</v>
      </c>
      <c r="AV31" s="371"/>
      <c r="AW31" s="371"/>
      <c r="AX31" s="371" t="s">
        <v>7</v>
      </c>
      <c r="AY31" s="371"/>
      <c r="AZ31" s="371"/>
      <c r="BA31" s="371" t="s">
        <v>7</v>
      </c>
      <c r="BB31" s="371"/>
      <c r="BC31" s="371"/>
      <c r="BD31" s="371" t="s">
        <v>7</v>
      </c>
      <c r="BE31" s="371"/>
      <c r="BF31" s="371"/>
      <c r="BG31" s="455" t="s">
        <v>159</v>
      </c>
      <c r="BH31" s="455"/>
      <c r="BI31" s="455"/>
      <c r="BJ31" s="455" t="s">
        <v>160</v>
      </c>
      <c r="BK31" s="455"/>
      <c r="BL31" s="455"/>
      <c r="BM31" s="455" t="s">
        <v>160</v>
      </c>
      <c r="BN31" s="455"/>
      <c r="BO31" s="455"/>
      <c r="BP31" s="455"/>
      <c r="BQ31" s="455"/>
      <c r="BR31" s="455"/>
      <c r="BS31" s="455"/>
      <c r="BT31" s="455"/>
      <c r="BU31" s="455"/>
      <c r="BV31" s="455"/>
      <c r="BW31" s="455"/>
      <c r="BX31" s="455"/>
      <c r="BY31" s="455"/>
      <c r="BZ31" s="455"/>
      <c r="CA31" s="455"/>
      <c r="CB31" s="455"/>
      <c r="CC31" s="455"/>
      <c r="CD31" s="455"/>
      <c r="CE31" s="455"/>
      <c r="CF31" s="455"/>
      <c r="CG31" s="455"/>
      <c r="CH31" s="455"/>
      <c r="CI31" s="455"/>
      <c r="CJ31" s="455" t="s">
        <v>160</v>
      </c>
      <c r="CK31" s="455"/>
      <c r="CL31" s="455"/>
      <c r="CM31" s="455" t="s">
        <v>159</v>
      </c>
      <c r="CN31" s="455"/>
      <c r="CO31" s="455"/>
      <c r="CP31" s="455" t="s">
        <v>159</v>
      </c>
      <c r="CQ31" s="455"/>
      <c r="CR31" s="455"/>
      <c r="CS31" s="455" t="s">
        <v>159</v>
      </c>
      <c r="CT31" s="455"/>
      <c r="CU31" s="455"/>
      <c r="CV31" s="455" t="s">
        <v>160</v>
      </c>
      <c r="CW31" s="455"/>
      <c r="CX31" s="455"/>
      <c r="CY31" s="455" t="s">
        <v>160</v>
      </c>
      <c r="CZ31" s="455"/>
      <c r="DA31" s="455"/>
      <c r="DB31" s="455" t="s">
        <v>160</v>
      </c>
      <c r="DC31" s="455"/>
      <c r="DD31" s="455"/>
      <c r="DE31" s="7"/>
    </row>
    <row r="32" spans="1:139" ht="15" customHeight="1">
      <c r="A32" s="3"/>
      <c r="B32" s="455"/>
      <c r="C32" s="455"/>
      <c r="D32" s="455"/>
      <c r="E32" s="455"/>
      <c r="F32" s="455"/>
      <c r="G32" s="455"/>
      <c r="H32" s="455"/>
      <c r="I32" s="455"/>
      <c r="J32" s="455"/>
      <c r="K32" s="455"/>
      <c r="L32" s="455"/>
      <c r="M32" s="455"/>
      <c r="N32" s="455"/>
      <c r="O32" s="455"/>
      <c r="P32" s="455"/>
      <c r="Q32" s="455"/>
      <c r="R32" s="455"/>
      <c r="S32" s="455"/>
      <c r="T32" s="455"/>
      <c r="U32" s="455"/>
      <c r="V32" s="455"/>
      <c r="W32" s="455"/>
      <c r="X32" s="455"/>
      <c r="Y32" s="455"/>
      <c r="Z32" s="455"/>
      <c r="AA32" s="455"/>
      <c r="AB32" s="455"/>
      <c r="AC32" s="455"/>
      <c r="AD32" s="455"/>
      <c r="AE32" s="455"/>
      <c r="AF32" s="455"/>
      <c r="AG32" s="455"/>
      <c r="AH32" s="455"/>
      <c r="AI32" s="455"/>
      <c r="AJ32" s="455"/>
      <c r="AK32" s="455"/>
      <c r="AL32" s="455"/>
      <c r="AM32" s="455"/>
      <c r="AN32" s="370"/>
      <c r="AO32" s="455"/>
      <c r="AP32" s="455"/>
      <c r="AQ32" s="455"/>
      <c r="AR32" s="455"/>
      <c r="AS32" s="455"/>
      <c r="AT32" s="455"/>
      <c r="AU32" s="371" t="s">
        <v>7</v>
      </c>
      <c r="AV32" s="371"/>
      <c r="AW32" s="371"/>
      <c r="AX32" s="371" t="s">
        <v>7</v>
      </c>
      <c r="AY32" s="371"/>
      <c r="AZ32" s="371"/>
      <c r="BA32" s="371" t="s">
        <v>7</v>
      </c>
      <c r="BB32" s="371"/>
      <c r="BC32" s="371"/>
      <c r="BD32" s="371" t="s">
        <v>7</v>
      </c>
      <c r="BE32" s="371"/>
      <c r="BF32" s="371"/>
      <c r="BG32" s="455" t="s">
        <v>159</v>
      </c>
      <c r="BH32" s="455"/>
      <c r="BI32" s="455"/>
      <c r="BJ32" s="455" t="s">
        <v>160</v>
      </c>
      <c r="BK32" s="455"/>
      <c r="BL32" s="455"/>
      <c r="BM32" s="455" t="s">
        <v>160</v>
      </c>
      <c r="BN32" s="455"/>
      <c r="BO32" s="455"/>
      <c r="BP32" s="455"/>
      <c r="BQ32" s="455"/>
      <c r="BR32" s="455"/>
      <c r="BS32" s="455"/>
      <c r="BT32" s="455"/>
      <c r="BU32" s="455"/>
      <c r="BV32" s="455"/>
      <c r="BW32" s="455"/>
      <c r="BX32" s="455"/>
      <c r="BY32" s="455"/>
      <c r="BZ32" s="455"/>
      <c r="CA32" s="455"/>
      <c r="CB32" s="455"/>
      <c r="CC32" s="455"/>
      <c r="CD32" s="455"/>
      <c r="CE32" s="455"/>
      <c r="CF32" s="455"/>
      <c r="CG32" s="455"/>
      <c r="CH32" s="455"/>
      <c r="CI32" s="455"/>
      <c r="CJ32" s="455" t="s">
        <v>160</v>
      </c>
      <c r="CK32" s="455"/>
      <c r="CL32" s="455"/>
      <c r="CM32" s="455" t="s">
        <v>159</v>
      </c>
      <c r="CN32" s="455"/>
      <c r="CO32" s="455"/>
      <c r="CP32" s="455" t="s">
        <v>159</v>
      </c>
      <c r="CQ32" s="455"/>
      <c r="CR32" s="455"/>
      <c r="CS32" s="455" t="s">
        <v>159</v>
      </c>
      <c r="CT32" s="455"/>
      <c r="CU32" s="455"/>
      <c r="CV32" s="455" t="s">
        <v>160</v>
      </c>
      <c r="CW32" s="455"/>
      <c r="CX32" s="455"/>
      <c r="CY32" s="455" t="s">
        <v>160</v>
      </c>
      <c r="CZ32" s="455"/>
      <c r="DA32" s="455"/>
      <c r="DB32" s="455" t="s">
        <v>160</v>
      </c>
      <c r="DC32" s="455"/>
      <c r="DD32" s="455"/>
      <c r="DE32" s="7"/>
    </row>
    <row r="33" spans="1:133" ht="15" customHeight="1">
      <c r="A33" s="6"/>
      <c r="B33" s="455"/>
      <c r="C33" s="455"/>
      <c r="D33" s="455"/>
      <c r="E33" s="455"/>
      <c r="F33" s="455"/>
      <c r="G33" s="455"/>
      <c r="H33" s="455"/>
      <c r="I33" s="455"/>
      <c r="J33" s="455"/>
      <c r="K33" s="455"/>
      <c r="L33" s="455"/>
      <c r="M33" s="455"/>
      <c r="N33" s="455"/>
      <c r="O33" s="455"/>
      <c r="P33" s="455"/>
      <c r="Q33" s="455"/>
      <c r="R33" s="455"/>
      <c r="S33" s="455"/>
      <c r="T33" s="455"/>
      <c r="U33" s="455"/>
      <c r="V33" s="455"/>
      <c r="W33" s="455"/>
      <c r="X33" s="455"/>
      <c r="Y33" s="455"/>
      <c r="Z33" s="455"/>
      <c r="AA33" s="455"/>
      <c r="AB33" s="455"/>
      <c r="AC33" s="455"/>
      <c r="AD33" s="455"/>
      <c r="AE33" s="455"/>
      <c r="AF33" s="455"/>
      <c r="AG33" s="455"/>
      <c r="AH33" s="455"/>
      <c r="AI33" s="455"/>
      <c r="AJ33" s="455"/>
      <c r="AK33" s="455"/>
      <c r="AL33" s="455"/>
      <c r="AM33" s="455"/>
      <c r="AN33" s="370"/>
      <c r="AO33" s="455"/>
      <c r="AP33" s="455"/>
      <c r="AQ33" s="455"/>
      <c r="AR33" s="455"/>
      <c r="AS33" s="455"/>
      <c r="AT33" s="455"/>
      <c r="AU33" s="371" t="s">
        <v>7</v>
      </c>
      <c r="AV33" s="371"/>
      <c r="AW33" s="371"/>
      <c r="AX33" s="371" t="s">
        <v>7</v>
      </c>
      <c r="AY33" s="371"/>
      <c r="AZ33" s="371"/>
      <c r="BA33" s="371" t="s">
        <v>7</v>
      </c>
      <c r="BB33" s="371"/>
      <c r="BC33" s="371"/>
      <c r="BD33" s="371" t="s">
        <v>7</v>
      </c>
      <c r="BE33" s="371"/>
      <c r="BF33" s="371"/>
      <c r="BG33" s="455" t="s">
        <v>159</v>
      </c>
      <c r="BH33" s="455"/>
      <c r="BI33" s="455"/>
      <c r="BJ33" s="455" t="s">
        <v>160</v>
      </c>
      <c r="BK33" s="455"/>
      <c r="BL33" s="455"/>
      <c r="BM33" s="455" t="s">
        <v>160</v>
      </c>
      <c r="BN33" s="455"/>
      <c r="BO33" s="455"/>
      <c r="BP33" s="455"/>
      <c r="BQ33" s="455"/>
      <c r="BR33" s="455"/>
      <c r="BS33" s="455"/>
      <c r="BT33" s="455"/>
      <c r="BU33" s="455"/>
      <c r="BV33" s="455"/>
      <c r="BW33" s="455"/>
      <c r="BX33" s="455"/>
      <c r="BY33" s="455"/>
      <c r="BZ33" s="455"/>
      <c r="CA33" s="455"/>
      <c r="CB33" s="455"/>
      <c r="CC33" s="455"/>
      <c r="CD33" s="455"/>
      <c r="CE33" s="455"/>
      <c r="CF33" s="455"/>
      <c r="CG33" s="455"/>
      <c r="CH33" s="455"/>
      <c r="CI33" s="455"/>
      <c r="CJ33" s="455" t="s">
        <v>160</v>
      </c>
      <c r="CK33" s="455"/>
      <c r="CL33" s="455"/>
      <c r="CM33" s="455" t="s">
        <v>159</v>
      </c>
      <c r="CN33" s="455"/>
      <c r="CO33" s="455"/>
      <c r="CP33" s="455" t="s">
        <v>159</v>
      </c>
      <c r="CQ33" s="455"/>
      <c r="CR33" s="455"/>
      <c r="CS33" s="455" t="s">
        <v>159</v>
      </c>
      <c r="CT33" s="455"/>
      <c r="CU33" s="455"/>
      <c r="CV33" s="455" t="s">
        <v>160</v>
      </c>
      <c r="CW33" s="455"/>
      <c r="CX33" s="455"/>
      <c r="CY33" s="455" t="s">
        <v>160</v>
      </c>
      <c r="CZ33" s="455"/>
      <c r="DA33" s="455"/>
      <c r="DB33" s="455" t="s">
        <v>160</v>
      </c>
      <c r="DC33" s="455"/>
      <c r="DD33" s="455"/>
      <c r="DE33" s="7"/>
    </row>
    <row r="34" spans="1:133" ht="15" customHeight="1">
      <c r="A34" s="8"/>
      <c r="B34" s="455"/>
      <c r="C34" s="455"/>
      <c r="D34" s="455"/>
      <c r="E34" s="455"/>
      <c r="F34" s="455"/>
      <c r="G34" s="455"/>
      <c r="H34" s="455"/>
      <c r="I34" s="455"/>
      <c r="J34" s="455"/>
      <c r="K34" s="455"/>
      <c r="L34" s="455"/>
      <c r="M34" s="455"/>
      <c r="N34" s="455"/>
      <c r="O34" s="455"/>
      <c r="P34" s="455"/>
      <c r="Q34" s="455"/>
      <c r="R34" s="455"/>
      <c r="S34" s="455"/>
      <c r="T34" s="455"/>
      <c r="U34" s="455"/>
      <c r="V34" s="455"/>
      <c r="W34" s="455"/>
      <c r="X34" s="455"/>
      <c r="Y34" s="455"/>
      <c r="Z34" s="455"/>
      <c r="AA34" s="455"/>
      <c r="AB34" s="455"/>
      <c r="AC34" s="455"/>
      <c r="AD34" s="455"/>
      <c r="AE34" s="455"/>
      <c r="AF34" s="455"/>
      <c r="AG34" s="455"/>
      <c r="AH34" s="455"/>
      <c r="AI34" s="455"/>
      <c r="AJ34" s="455"/>
      <c r="AK34" s="455"/>
      <c r="AL34" s="455"/>
      <c r="AM34" s="455"/>
      <c r="AN34" s="370"/>
      <c r="AO34" s="455"/>
      <c r="AP34" s="455"/>
      <c r="AQ34" s="455"/>
      <c r="AR34" s="455"/>
      <c r="AS34" s="455"/>
      <c r="AT34" s="455"/>
      <c r="AU34" s="371" t="s">
        <v>7</v>
      </c>
      <c r="AV34" s="371"/>
      <c r="AW34" s="371"/>
      <c r="AX34" s="371" t="s">
        <v>7</v>
      </c>
      <c r="AY34" s="371"/>
      <c r="AZ34" s="371"/>
      <c r="BA34" s="371" t="s">
        <v>7</v>
      </c>
      <c r="BB34" s="371"/>
      <c r="BC34" s="371"/>
      <c r="BD34" s="371" t="s">
        <v>7</v>
      </c>
      <c r="BE34" s="371"/>
      <c r="BF34" s="371"/>
      <c r="BG34" s="455" t="s">
        <v>159</v>
      </c>
      <c r="BH34" s="455"/>
      <c r="BI34" s="455"/>
      <c r="BJ34" s="455" t="s">
        <v>160</v>
      </c>
      <c r="BK34" s="455"/>
      <c r="BL34" s="455"/>
      <c r="BM34" s="455" t="s">
        <v>160</v>
      </c>
      <c r="BN34" s="455"/>
      <c r="BO34" s="455"/>
      <c r="BP34" s="455"/>
      <c r="BQ34" s="455"/>
      <c r="BR34" s="455"/>
      <c r="BS34" s="455"/>
      <c r="BT34" s="455"/>
      <c r="BU34" s="455"/>
      <c r="BV34" s="455"/>
      <c r="BW34" s="455"/>
      <c r="BX34" s="455"/>
      <c r="BY34" s="455"/>
      <c r="BZ34" s="455"/>
      <c r="CA34" s="455"/>
      <c r="CB34" s="455"/>
      <c r="CC34" s="455"/>
      <c r="CD34" s="455"/>
      <c r="CE34" s="455"/>
      <c r="CF34" s="455"/>
      <c r="CG34" s="455"/>
      <c r="CH34" s="455"/>
      <c r="CI34" s="455"/>
      <c r="CJ34" s="455" t="s">
        <v>160</v>
      </c>
      <c r="CK34" s="455"/>
      <c r="CL34" s="455"/>
      <c r="CM34" s="455" t="s">
        <v>159</v>
      </c>
      <c r="CN34" s="455"/>
      <c r="CO34" s="455"/>
      <c r="CP34" s="455" t="s">
        <v>159</v>
      </c>
      <c r="CQ34" s="455"/>
      <c r="CR34" s="455"/>
      <c r="CS34" s="455" t="s">
        <v>159</v>
      </c>
      <c r="CT34" s="455"/>
      <c r="CU34" s="455"/>
      <c r="CV34" s="455" t="s">
        <v>160</v>
      </c>
      <c r="CW34" s="455"/>
      <c r="CX34" s="455"/>
      <c r="CY34" s="455" t="s">
        <v>160</v>
      </c>
      <c r="CZ34" s="455"/>
      <c r="DA34" s="455"/>
      <c r="DB34" s="455" t="s">
        <v>160</v>
      </c>
      <c r="DC34" s="455"/>
      <c r="DD34" s="455"/>
      <c r="DE34" s="7"/>
    </row>
    <row r="35" spans="1:133" ht="15" customHeight="1">
      <c r="A35" s="8"/>
      <c r="B35" s="455"/>
      <c r="C35" s="455"/>
      <c r="D35" s="455"/>
      <c r="E35" s="455"/>
      <c r="F35" s="455"/>
      <c r="G35" s="455"/>
      <c r="H35" s="455"/>
      <c r="I35" s="455"/>
      <c r="J35" s="455"/>
      <c r="K35" s="455"/>
      <c r="L35" s="455"/>
      <c r="M35" s="455"/>
      <c r="N35" s="455"/>
      <c r="O35" s="455"/>
      <c r="P35" s="455"/>
      <c r="Q35" s="455"/>
      <c r="R35" s="455"/>
      <c r="S35" s="455"/>
      <c r="T35" s="455"/>
      <c r="U35" s="455"/>
      <c r="V35" s="455"/>
      <c r="W35" s="455"/>
      <c r="X35" s="455"/>
      <c r="Y35" s="455"/>
      <c r="Z35" s="455"/>
      <c r="AA35" s="455"/>
      <c r="AB35" s="455"/>
      <c r="AC35" s="455"/>
      <c r="AD35" s="455"/>
      <c r="AE35" s="455"/>
      <c r="AF35" s="455"/>
      <c r="AG35" s="455"/>
      <c r="AH35" s="455"/>
      <c r="AI35" s="455"/>
      <c r="AJ35" s="455"/>
      <c r="AK35" s="455"/>
      <c r="AL35" s="455"/>
      <c r="AM35" s="455"/>
      <c r="AN35" s="370"/>
      <c r="AO35" s="455"/>
      <c r="AP35" s="455"/>
      <c r="AQ35" s="455"/>
      <c r="AR35" s="455"/>
      <c r="AS35" s="455"/>
      <c r="AT35" s="455"/>
      <c r="AU35" s="371" t="s">
        <v>7</v>
      </c>
      <c r="AV35" s="371"/>
      <c r="AW35" s="371"/>
      <c r="AX35" s="371" t="s">
        <v>7</v>
      </c>
      <c r="AY35" s="371"/>
      <c r="AZ35" s="371"/>
      <c r="BA35" s="371" t="s">
        <v>7</v>
      </c>
      <c r="BB35" s="371"/>
      <c r="BC35" s="371"/>
      <c r="BD35" s="371" t="s">
        <v>7</v>
      </c>
      <c r="BE35" s="371"/>
      <c r="BF35" s="371"/>
      <c r="BG35" s="455" t="s">
        <v>159</v>
      </c>
      <c r="BH35" s="455"/>
      <c r="BI35" s="455"/>
      <c r="BJ35" s="455" t="s">
        <v>160</v>
      </c>
      <c r="BK35" s="455"/>
      <c r="BL35" s="455"/>
      <c r="BM35" s="455" t="s">
        <v>160</v>
      </c>
      <c r="BN35" s="455"/>
      <c r="BO35" s="455"/>
      <c r="BP35" s="455"/>
      <c r="BQ35" s="455"/>
      <c r="BR35" s="455"/>
      <c r="BS35" s="455"/>
      <c r="BT35" s="455"/>
      <c r="BU35" s="455"/>
      <c r="BV35" s="455"/>
      <c r="BW35" s="455"/>
      <c r="BX35" s="455"/>
      <c r="BY35" s="455"/>
      <c r="BZ35" s="455"/>
      <c r="CA35" s="455"/>
      <c r="CB35" s="455"/>
      <c r="CC35" s="455"/>
      <c r="CD35" s="455"/>
      <c r="CE35" s="455"/>
      <c r="CF35" s="455"/>
      <c r="CG35" s="455"/>
      <c r="CH35" s="455"/>
      <c r="CI35" s="455"/>
      <c r="CJ35" s="455" t="s">
        <v>160</v>
      </c>
      <c r="CK35" s="455"/>
      <c r="CL35" s="455"/>
      <c r="CM35" s="455" t="s">
        <v>159</v>
      </c>
      <c r="CN35" s="455"/>
      <c r="CO35" s="455"/>
      <c r="CP35" s="455" t="s">
        <v>159</v>
      </c>
      <c r="CQ35" s="455"/>
      <c r="CR35" s="455"/>
      <c r="CS35" s="455" t="s">
        <v>159</v>
      </c>
      <c r="CT35" s="455"/>
      <c r="CU35" s="455"/>
      <c r="CV35" s="455" t="s">
        <v>160</v>
      </c>
      <c r="CW35" s="455"/>
      <c r="CX35" s="455"/>
      <c r="CY35" s="455" t="s">
        <v>160</v>
      </c>
      <c r="CZ35" s="455"/>
      <c r="DA35" s="455"/>
      <c r="DB35" s="455" t="s">
        <v>160</v>
      </c>
      <c r="DC35" s="455"/>
      <c r="DD35" s="455"/>
      <c r="DE35" s="7"/>
    </row>
    <row r="36" spans="1:133" ht="15" customHeight="1">
      <c r="A36" s="3"/>
      <c r="B36" s="455"/>
      <c r="C36" s="455"/>
      <c r="D36" s="455"/>
      <c r="E36" s="455"/>
      <c r="F36" s="455"/>
      <c r="G36" s="455"/>
      <c r="H36" s="455"/>
      <c r="I36" s="455"/>
      <c r="J36" s="455"/>
      <c r="K36" s="455"/>
      <c r="L36" s="455"/>
      <c r="M36" s="455"/>
      <c r="N36" s="455"/>
      <c r="O36" s="455"/>
      <c r="P36" s="455"/>
      <c r="Q36" s="455"/>
      <c r="R36" s="455"/>
      <c r="S36" s="455"/>
      <c r="T36" s="455"/>
      <c r="U36" s="455"/>
      <c r="V36" s="455"/>
      <c r="W36" s="455"/>
      <c r="X36" s="455"/>
      <c r="Y36" s="455"/>
      <c r="Z36" s="455"/>
      <c r="AA36" s="455"/>
      <c r="AB36" s="455"/>
      <c r="AC36" s="455"/>
      <c r="AD36" s="455"/>
      <c r="AE36" s="455"/>
      <c r="AF36" s="455"/>
      <c r="AG36" s="455"/>
      <c r="AH36" s="455"/>
      <c r="AI36" s="455"/>
      <c r="AJ36" s="455"/>
      <c r="AK36" s="455"/>
      <c r="AL36" s="455"/>
      <c r="AM36" s="455"/>
      <c r="AN36" s="370"/>
      <c r="AO36" s="455"/>
      <c r="AP36" s="455"/>
      <c r="AQ36" s="455"/>
      <c r="AR36" s="455"/>
      <c r="AS36" s="455"/>
      <c r="AT36" s="455"/>
      <c r="AU36" s="371" t="s">
        <v>7</v>
      </c>
      <c r="AV36" s="371"/>
      <c r="AW36" s="371"/>
      <c r="AX36" s="371" t="s">
        <v>7</v>
      </c>
      <c r="AY36" s="371"/>
      <c r="AZ36" s="371"/>
      <c r="BA36" s="371" t="s">
        <v>7</v>
      </c>
      <c r="BB36" s="371"/>
      <c r="BC36" s="371"/>
      <c r="BD36" s="371" t="s">
        <v>7</v>
      </c>
      <c r="BE36" s="371"/>
      <c r="BF36" s="371"/>
      <c r="BG36" s="455" t="s">
        <v>159</v>
      </c>
      <c r="BH36" s="455"/>
      <c r="BI36" s="455"/>
      <c r="BJ36" s="455" t="s">
        <v>160</v>
      </c>
      <c r="BK36" s="455"/>
      <c r="BL36" s="455"/>
      <c r="BM36" s="455" t="s">
        <v>160</v>
      </c>
      <c r="BN36" s="455"/>
      <c r="BO36" s="455"/>
      <c r="BP36" s="455"/>
      <c r="BQ36" s="455"/>
      <c r="BR36" s="455"/>
      <c r="BS36" s="455"/>
      <c r="BT36" s="455"/>
      <c r="BU36" s="455"/>
      <c r="BV36" s="455"/>
      <c r="BW36" s="455"/>
      <c r="BX36" s="455"/>
      <c r="BY36" s="455"/>
      <c r="BZ36" s="455"/>
      <c r="CA36" s="455"/>
      <c r="CB36" s="455"/>
      <c r="CC36" s="455"/>
      <c r="CD36" s="455"/>
      <c r="CE36" s="455"/>
      <c r="CF36" s="455"/>
      <c r="CG36" s="455"/>
      <c r="CH36" s="455"/>
      <c r="CI36" s="455"/>
      <c r="CJ36" s="455" t="s">
        <v>160</v>
      </c>
      <c r="CK36" s="455"/>
      <c r="CL36" s="455"/>
      <c r="CM36" s="455" t="s">
        <v>159</v>
      </c>
      <c r="CN36" s="455"/>
      <c r="CO36" s="455"/>
      <c r="CP36" s="455" t="s">
        <v>159</v>
      </c>
      <c r="CQ36" s="455"/>
      <c r="CR36" s="455"/>
      <c r="CS36" s="455" t="s">
        <v>159</v>
      </c>
      <c r="CT36" s="455"/>
      <c r="CU36" s="455"/>
      <c r="CV36" s="455" t="s">
        <v>160</v>
      </c>
      <c r="CW36" s="455"/>
      <c r="CX36" s="455"/>
      <c r="CY36" s="455" t="s">
        <v>160</v>
      </c>
      <c r="CZ36" s="455"/>
      <c r="DA36" s="455"/>
      <c r="DB36" s="455" t="s">
        <v>160</v>
      </c>
      <c r="DC36" s="455"/>
      <c r="DD36" s="455"/>
      <c r="DE36" s="7"/>
    </row>
    <row r="37" spans="1:133" ht="15" customHeight="1">
      <c r="A37" s="3"/>
      <c r="B37" s="455"/>
      <c r="C37" s="455"/>
      <c r="D37" s="455"/>
      <c r="E37" s="455"/>
      <c r="F37" s="455"/>
      <c r="G37" s="455"/>
      <c r="H37" s="455"/>
      <c r="I37" s="455"/>
      <c r="J37" s="455"/>
      <c r="K37" s="455"/>
      <c r="L37" s="455"/>
      <c r="M37" s="455"/>
      <c r="N37" s="455"/>
      <c r="O37" s="455"/>
      <c r="P37" s="455"/>
      <c r="Q37" s="455"/>
      <c r="R37" s="455"/>
      <c r="S37" s="455"/>
      <c r="T37" s="455"/>
      <c r="U37" s="455"/>
      <c r="V37" s="455"/>
      <c r="W37" s="455"/>
      <c r="X37" s="455"/>
      <c r="Y37" s="455"/>
      <c r="Z37" s="455"/>
      <c r="AA37" s="455"/>
      <c r="AB37" s="455"/>
      <c r="AC37" s="455"/>
      <c r="AD37" s="455"/>
      <c r="AE37" s="455"/>
      <c r="AF37" s="455"/>
      <c r="AG37" s="455"/>
      <c r="AH37" s="455"/>
      <c r="AI37" s="455"/>
      <c r="AJ37" s="455"/>
      <c r="AK37" s="455"/>
      <c r="AL37" s="455"/>
      <c r="AM37" s="455"/>
      <c r="AN37" s="370"/>
      <c r="AO37" s="455"/>
      <c r="AP37" s="455"/>
      <c r="AQ37" s="455"/>
      <c r="AR37" s="455"/>
      <c r="AS37" s="455"/>
      <c r="AT37" s="455"/>
      <c r="AU37" s="371" t="s">
        <v>7</v>
      </c>
      <c r="AV37" s="371"/>
      <c r="AW37" s="371"/>
      <c r="AX37" s="371" t="s">
        <v>7</v>
      </c>
      <c r="AY37" s="371"/>
      <c r="AZ37" s="371"/>
      <c r="BA37" s="371" t="s">
        <v>7</v>
      </c>
      <c r="BB37" s="371"/>
      <c r="BC37" s="371"/>
      <c r="BD37" s="371" t="s">
        <v>7</v>
      </c>
      <c r="BE37" s="371"/>
      <c r="BF37" s="371"/>
      <c r="BG37" s="455" t="s">
        <v>159</v>
      </c>
      <c r="BH37" s="455"/>
      <c r="BI37" s="455"/>
      <c r="BJ37" s="455" t="s">
        <v>160</v>
      </c>
      <c r="BK37" s="455"/>
      <c r="BL37" s="455"/>
      <c r="BM37" s="455" t="s">
        <v>160</v>
      </c>
      <c r="BN37" s="455"/>
      <c r="BO37" s="455"/>
      <c r="BP37" s="455"/>
      <c r="BQ37" s="455"/>
      <c r="BR37" s="455"/>
      <c r="BS37" s="455"/>
      <c r="BT37" s="455"/>
      <c r="BU37" s="455"/>
      <c r="BV37" s="455"/>
      <c r="BW37" s="455"/>
      <c r="BX37" s="455"/>
      <c r="BY37" s="455"/>
      <c r="BZ37" s="455"/>
      <c r="CA37" s="455"/>
      <c r="CB37" s="455"/>
      <c r="CC37" s="455"/>
      <c r="CD37" s="455"/>
      <c r="CE37" s="455"/>
      <c r="CF37" s="455"/>
      <c r="CG37" s="455"/>
      <c r="CH37" s="455"/>
      <c r="CI37" s="455"/>
      <c r="CJ37" s="455" t="s">
        <v>160</v>
      </c>
      <c r="CK37" s="455"/>
      <c r="CL37" s="455"/>
      <c r="CM37" s="455" t="s">
        <v>159</v>
      </c>
      <c r="CN37" s="455"/>
      <c r="CO37" s="455"/>
      <c r="CP37" s="455" t="s">
        <v>159</v>
      </c>
      <c r="CQ37" s="455"/>
      <c r="CR37" s="455"/>
      <c r="CS37" s="455" t="s">
        <v>159</v>
      </c>
      <c r="CT37" s="455"/>
      <c r="CU37" s="455"/>
      <c r="CV37" s="455" t="s">
        <v>160</v>
      </c>
      <c r="CW37" s="455"/>
      <c r="CX37" s="455"/>
      <c r="CY37" s="455" t="s">
        <v>160</v>
      </c>
      <c r="CZ37" s="455"/>
      <c r="DA37" s="455"/>
      <c r="DB37" s="455" t="s">
        <v>160</v>
      </c>
      <c r="DC37" s="455"/>
      <c r="DD37" s="455"/>
      <c r="DE37" s="7"/>
    </row>
    <row r="38" spans="1:133" ht="15" customHeight="1">
      <c r="A38" s="3"/>
      <c r="B38" s="455"/>
      <c r="C38" s="455"/>
      <c r="D38" s="455"/>
      <c r="E38" s="455"/>
      <c r="F38" s="455"/>
      <c r="G38" s="455"/>
      <c r="H38" s="455"/>
      <c r="I38" s="455"/>
      <c r="J38" s="455"/>
      <c r="K38" s="455"/>
      <c r="L38" s="455"/>
      <c r="M38" s="455"/>
      <c r="N38" s="455"/>
      <c r="O38" s="455"/>
      <c r="P38" s="455"/>
      <c r="Q38" s="455"/>
      <c r="R38" s="455"/>
      <c r="S38" s="455"/>
      <c r="T38" s="455"/>
      <c r="U38" s="455"/>
      <c r="V38" s="455"/>
      <c r="W38" s="455"/>
      <c r="X38" s="455"/>
      <c r="Y38" s="455"/>
      <c r="Z38" s="455"/>
      <c r="AA38" s="455"/>
      <c r="AB38" s="455"/>
      <c r="AC38" s="455"/>
      <c r="AD38" s="455"/>
      <c r="AE38" s="455"/>
      <c r="AF38" s="455"/>
      <c r="AG38" s="455"/>
      <c r="AH38" s="455"/>
      <c r="AI38" s="455"/>
      <c r="AJ38" s="455"/>
      <c r="AK38" s="455"/>
      <c r="AL38" s="455"/>
      <c r="AM38" s="455"/>
      <c r="AN38" s="455"/>
      <c r="AO38" s="455"/>
      <c r="AP38" s="455"/>
      <c r="AQ38" s="455"/>
      <c r="AR38" s="455"/>
      <c r="AS38" s="455"/>
      <c r="AT38" s="455"/>
      <c r="AU38" s="371" t="s">
        <v>7</v>
      </c>
      <c r="AV38" s="371"/>
      <c r="AW38" s="371"/>
      <c r="AX38" s="371" t="s">
        <v>7</v>
      </c>
      <c r="AY38" s="371"/>
      <c r="AZ38" s="371"/>
      <c r="BA38" s="371" t="s">
        <v>7</v>
      </c>
      <c r="BB38" s="371"/>
      <c r="BC38" s="371"/>
      <c r="BD38" s="371" t="s">
        <v>7</v>
      </c>
      <c r="BE38" s="371"/>
      <c r="BF38" s="371"/>
      <c r="BG38" s="455" t="s">
        <v>159</v>
      </c>
      <c r="BH38" s="455"/>
      <c r="BI38" s="455"/>
      <c r="BJ38" s="455" t="s">
        <v>160</v>
      </c>
      <c r="BK38" s="455"/>
      <c r="BL38" s="455"/>
      <c r="BM38" s="455" t="s">
        <v>160</v>
      </c>
      <c r="BN38" s="455"/>
      <c r="BO38" s="455"/>
      <c r="BP38" s="455"/>
      <c r="BQ38" s="455"/>
      <c r="BR38" s="455"/>
      <c r="BS38" s="455"/>
      <c r="BT38" s="455"/>
      <c r="BU38" s="455"/>
      <c r="BV38" s="455"/>
      <c r="BW38" s="455"/>
      <c r="BX38" s="455"/>
      <c r="BY38" s="455"/>
      <c r="BZ38" s="455"/>
      <c r="CA38" s="455"/>
      <c r="CB38" s="455"/>
      <c r="CC38" s="455"/>
      <c r="CD38" s="455"/>
      <c r="CE38" s="455"/>
      <c r="CF38" s="455"/>
      <c r="CG38" s="455"/>
      <c r="CH38" s="455"/>
      <c r="CI38" s="455"/>
      <c r="CJ38" s="455" t="s">
        <v>160</v>
      </c>
      <c r="CK38" s="455"/>
      <c r="CL38" s="455"/>
      <c r="CM38" s="455" t="s">
        <v>159</v>
      </c>
      <c r="CN38" s="455"/>
      <c r="CO38" s="455"/>
      <c r="CP38" s="455" t="s">
        <v>159</v>
      </c>
      <c r="CQ38" s="455"/>
      <c r="CR38" s="455"/>
      <c r="CS38" s="455" t="s">
        <v>159</v>
      </c>
      <c r="CT38" s="455"/>
      <c r="CU38" s="455"/>
      <c r="CV38" s="455" t="s">
        <v>160</v>
      </c>
      <c r="CW38" s="455"/>
      <c r="CX38" s="455"/>
      <c r="CY38" s="455" t="s">
        <v>160</v>
      </c>
      <c r="CZ38" s="455"/>
      <c r="DA38" s="455"/>
      <c r="DB38" s="455" t="s">
        <v>160</v>
      </c>
      <c r="DC38" s="455"/>
      <c r="DD38" s="455"/>
      <c r="DE38" s="24"/>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row>
    <row r="39" spans="1:133" ht="15" customHeight="1">
      <c r="A39" s="3"/>
      <c r="B39" s="455"/>
      <c r="C39" s="455"/>
      <c r="D39" s="455"/>
      <c r="E39" s="455"/>
      <c r="F39" s="455"/>
      <c r="G39" s="455"/>
      <c r="H39" s="455"/>
      <c r="I39" s="455"/>
      <c r="J39" s="455"/>
      <c r="K39" s="455"/>
      <c r="L39" s="455"/>
      <c r="M39" s="455"/>
      <c r="N39" s="455"/>
      <c r="O39" s="455"/>
      <c r="P39" s="455"/>
      <c r="Q39" s="455"/>
      <c r="R39" s="455"/>
      <c r="S39" s="455"/>
      <c r="T39" s="455"/>
      <c r="U39" s="455"/>
      <c r="V39" s="455"/>
      <c r="W39" s="455"/>
      <c r="X39" s="455"/>
      <c r="Y39" s="455"/>
      <c r="Z39" s="455"/>
      <c r="AA39" s="455"/>
      <c r="AB39" s="455"/>
      <c r="AC39" s="455"/>
      <c r="AD39" s="455"/>
      <c r="AE39" s="455"/>
      <c r="AF39" s="455"/>
      <c r="AG39" s="455"/>
      <c r="AH39" s="455"/>
      <c r="AI39" s="455"/>
      <c r="AJ39" s="455"/>
      <c r="AK39" s="455"/>
      <c r="AL39" s="455"/>
      <c r="AM39" s="455"/>
      <c r="AN39" s="455"/>
      <c r="AO39" s="455"/>
      <c r="AP39" s="455"/>
      <c r="AQ39" s="455"/>
      <c r="AR39" s="455"/>
      <c r="AS39" s="455"/>
      <c r="AT39" s="455"/>
      <c r="AU39" s="371" t="s">
        <v>7</v>
      </c>
      <c r="AV39" s="371"/>
      <c r="AW39" s="371"/>
      <c r="AX39" s="371" t="s">
        <v>7</v>
      </c>
      <c r="AY39" s="371"/>
      <c r="AZ39" s="371"/>
      <c r="BA39" s="371" t="s">
        <v>7</v>
      </c>
      <c r="BB39" s="371"/>
      <c r="BC39" s="371"/>
      <c r="BD39" s="371" t="s">
        <v>7</v>
      </c>
      <c r="BE39" s="371"/>
      <c r="BF39" s="371"/>
      <c r="BG39" s="455" t="s">
        <v>159</v>
      </c>
      <c r="BH39" s="455"/>
      <c r="BI39" s="455"/>
      <c r="BJ39" s="455" t="s">
        <v>160</v>
      </c>
      <c r="BK39" s="455"/>
      <c r="BL39" s="455"/>
      <c r="BM39" s="455" t="s">
        <v>160</v>
      </c>
      <c r="BN39" s="455"/>
      <c r="BO39" s="455"/>
      <c r="BP39" s="455"/>
      <c r="BQ39" s="455"/>
      <c r="BR39" s="455"/>
      <c r="BS39" s="455"/>
      <c r="BT39" s="455"/>
      <c r="BU39" s="455"/>
      <c r="BV39" s="455"/>
      <c r="BW39" s="455"/>
      <c r="BX39" s="455"/>
      <c r="BY39" s="455"/>
      <c r="BZ39" s="455"/>
      <c r="CA39" s="455"/>
      <c r="CB39" s="455"/>
      <c r="CC39" s="455"/>
      <c r="CD39" s="455"/>
      <c r="CE39" s="455"/>
      <c r="CF39" s="455"/>
      <c r="CG39" s="455"/>
      <c r="CH39" s="455"/>
      <c r="CI39" s="455"/>
      <c r="CJ39" s="455" t="s">
        <v>160</v>
      </c>
      <c r="CK39" s="455"/>
      <c r="CL39" s="455"/>
      <c r="CM39" s="455" t="s">
        <v>159</v>
      </c>
      <c r="CN39" s="455"/>
      <c r="CO39" s="455"/>
      <c r="CP39" s="455" t="s">
        <v>159</v>
      </c>
      <c r="CQ39" s="455"/>
      <c r="CR39" s="455"/>
      <c r="CS39" s="455" t="s">
        <v>159</v>
      </c>
      <c r="CT39" s="455"/>
      <c r="CU39" s="455"/>
      <c r="CV39" s="455" t="s">
        <v>160</v>
      </c>
      <c r="CW39" s="455"/>
      <c r="CX39" s="455"/>
      <c r="CY39" s="455" t="s">
        <v>160</v>
      </c>
      <c r="CZ39" s="455"/>
      <c r="DA39" s="455"/>
      <c r="DB39" s="455" t="s">
        <v>160</v>
      </c>
      <c r="DC39" s="455"/>
      <c r="DD39" s="455"/>
      <c r="DE39" s="7"/>
    </row>
    <row r="40" spans="1:133" ht="15" customHeight="1">
      <c r="A40" s="8"/>
      <c r="B40" s="455"/>
      <c r="C40" s="455"/>
      <c r="D40" s="455"/>
      <c r="E40" s="455"/>
      <c r="F40" s="455"/>
      <c r="G40" s="455"/>
      <c r="H40" s="455"/>
      <c r="I40" s="455"/>
      <c r="J40" s="455"/>
      <c r="K40" s="455"/>
      <c r="L40" s="455"/>
      <c r="M40" s="455"/>
      <c r="N40" s="455"/>
      <c r="O40" s="455"/>
      <c r="P40" s="455"/>
      <c r="Q40" s="455"/>
      <c r="R40" s="455"/>
      <c r="S40" s="455"/>
      <c r="T40" s="455"/>
      <c r="U40" s="455"/>
      <c r="V40" s="455"/>
      <c r="W40" s="455"/>
      <c r="X40" s="455"/>
      <c r="Y40" s="455"/>
      <c r="Z40" s="455"/>
      <c r="AA40" s="455"/>
      <c r="AB40" s="455"/>
      <c r="AC40" s="455"/>
      <c r="AD40" s="455"/>
      <c r="AE40" s="455"/>
      <c r="AF40" s="455"/>
      <c r="AG40" s="455"/>
      <c r="AH40" s="455"/>
      <c r="AI40" s="455"/>
      <c r="AJ40" s="455"/>
      <c r="AK40" s="455"/>
      <c r="AL40" s="455"/>
      <c r="AM40" s="455"/>
      <c r="AN40" s="455"/>
      <c r="AO40" s="455"/>
      <c r="AP40" s="455"/>
      <c r="AQ40" s="455"/>
      <c r="AR40" s="455"/>
      <c r="AS40" s="455"/>
      <c r="AT40" s="455"/>
      <c r="AU40" s="371" t="s">
        <v>7</v>
      </c>
      <c r="AV40" s="371"/>
      <c r="AW40" s="371"/>
      <c r="AX40" s="371" t="s">
        <v>7</v>
      </c>
      <c r="AY40" s="371"/>
      <c r="AZ40" s="371"/>
      <c r="BA40" s="371" t="s">
        <v>7</v>
      </c>
      <c r="BB40" s="371"/>
      <c r="BC40" s="371"/>
      <c r="BD40" s="371" t="s">
        <v>7</v>
      </c>
      <c r="BE40" s="371"/>
      <c r="BF40" s="371"/>
      <c r="BG40" s="455" t="s">
        <v>159</v>
      </c>
      <c r="BH40" s="455"/>
      <c r="BI40" s="455"/>
      <c r="BJ40" s="455" t="s">
        <v>160</v>
      </c>
      <c r="BK40" s="455"/>
      <c r="BL40" s="455"/>
      <c r="BM40" s="455" t="s">
        <v>160</v>
      </c>
      <c r="BN40" s="455"/>
      <c r="BO40" s="455"/>
      <c r="BP40" s="455"/>
      <c r="BQ40" s="455"/>
      <c r="BR40" s="455"/>
      <c r="BS40" s="455"/>
      <c r="BT40" s="455"/>
      <c r="BU40" s="455"/>
      <c r="BV40" s="455"/>
      <c r="BW40" s="455"/>
      <c r="BX40" s="455"/>
      <c r="BY40" s="455"/>
      <c r="BZ40" s="455"/>
      <c r="CA40" s="455"/>
      <c r="CB40" s="455"/>
      <c r="CC40" s="455"/>
      <c r="CD40" s="455"/>
      <c r="CE40" s="455"/>
      <c r="CF40" s="455"/>
      <c r="CG40" s="455"/>
      <c r="CH40" s="455"/>
      <c r="CI40" s="455"/>
      <c r="CJ40" s="455" t="s">
        <v>160</v>
      </c>
      <c r="CK40" s="455"/>
      <c r="CL40" s="455"/>
      <c r="CM40" s="455" t="s">
        <v>159</v>
      </c>
      <c r="CN40" s="455"/>
      <c r="CO40" s="455"/>
      <c r="CP40" s="455" t="s">
        <v>159</v>
      </c>
      <c r="CQ40" s="455"/>
      <c r="CR40" s="455"/>
      <c r="CS40" s="455" t="s">
        <v>159</v>
      </c>
      <c r="CT40" s="455"/>
      <c r="CU40" s="455"/>
      <c r="CV40" s="455" t="s">
        <v>160</v>
      </c>
      <c r="CW40" s="455"/>
      <c r="CX40" s="455"/>
      <c r="CY40" s="455" t="s">
        <v>160</v>
      </c>
      <c r="CZ40" s="455"/>
      <c r="DA40" s="455"/>
      <c r="DB40" s="455" t="s">
        <v>160</v>
      </c>
      <c r="DC40" s="455"/>
      <c r="DD40" s="455"/>
      <c r="DE40" s="7"/>
    </row>
    <row r="41" spans="1:133" ht="15" customHeight="1">
      <c r="A41" s="6"/>
      <c r="B41" s="455"/>
      <c r="C41" s="455"/>
      <c r="D41" s="455"/>
      <c r="E41" s="455"/>
      <c r="F41" s="455"/>
      <c r="G41" s="455"/>
      <c r="H41" s="455"/>
      <c r="I41" s="455"/>
      <c r="J41" s="455"/>
      <c r="K41" s="455"/>
      <c r="L41" s="455"/>
      <c r="M41" s="455"/>
      <c r="N41" s="455"/>
      <c r="O41" s="455"/>
      <c r="P41" s="455"/>
      <c r="Q41" s="455"/>
      <c r="R41" s="455"/>
      <c r="S41" s="455"/>
      <c r="T41" s="455"/>
      <c r="U41" s="455"/>
      <c r="V41" s="455"/>
      <c r="W41" s="455"/>
      <c r="X41" s="455"/>
      <c r="Y41" s="455"/>
      <c r="Z41" s="455"/>
      <c r="AA41" s="455"/>
      <c r="AB41" s="455"/>
      <c r="AC41" s="455"/>
      <c r="AD41" s="455"/>
      <c r="AE41" s="455"/>
      <c r="AF41" s="455"/>
      <c r="AG41" s="455"/>
      <c r="AH41" s="455"/>
      <c r="AI41" s="455"/>
      <c r="AJ41" s="455"/>
      <c r="AK41" s="455"/>
      <c r="AL41" s="455"/>
      <c r="AM41" s="455"/>
      <c r="AN41" s="455"/>
      <c r="AO41" s="455"/>
      <c r="AP41" s="455"/>
      <c r="AQ41" s="455"/>
      <c r="AR41" s="455"/>
      <c r="AS41" s="455"/>
      <c r="AT41" s="455"/>
      <c r="AU41" s="371" t="s">
        <v>7</v>
      </c>
      <c r="AV41" s="371"/>
      <c r="AW41" s="371"/>
      <c r="AX41" s="371" t="s">
        <v>7</v>
      </c>
      <c r="AY41" s="371"/>
      <c r="AZ41" s="371"/>
      <c r="BA41" s="371" t="s">
        <v>7</v>
      </c>
      <c r="BB41" s="371"/>
      <c r="BC41" s="371"/>
      <c r="BD41" s="371" t="s">
        <v>7</v>
      </c>
      <c r="BE41" s="371"/>
      <c r="BF41" s="371"/>
      <c r="BG41" s="455" t="s">
        <v>159</v>
      </c>
      <c r="BH41" s="455"/>
      <c r="BI41" s="455"/>
      <c r="BJ41" s="455" t="s">
        <v>160</v>
      </c>
      <c r="BK41" s="455"/>
      <c r="BL41" s="455"/>
      <c r="BM41" s="455" t="s">
        <v>160</v>
      </c>
      <c r="BN41" s="455"/>
      <c r="BO41" s="455"/>
      <c r="BP41" s="455"/>
      <c r="BQ41" s="455"/>
      <c r="BR41" s="455"/>
      <c r="BS41" s="455"/>
      <c r="BT41" s="455"/>
      <c r="BU41" s="455"/>
      <c r="BV41" s="455"/>
      <c r="BW41" s="455"/>
      <c r="BX41" s="455"/>
      <c r="BY41" s="455"/>
      <c r="BZ41" s="455"/>
      <c r="CA41" s="455"/>
      <c r="CB41" s="455"/>
      <c r="CC41" s="455"/>
      <c r="CD41" s="455"/>
      <c r="CE41" s="455"/>
      <c r="CF41" s="455"/>
      <c r="CG41" s="455"/>
      <c r="CH41" s="455"/>
      <c r="CI41" s="455"/>
      <c r="CJ41" s="455" t="s">
        <v>160</v>
      </c>
      <c r="CK41" s="455"/>
      <c r="CL41" s="455"/>
      <c r="CM41" s="455" t="s">
        <v>159</v>
      </c>
      <c r="CN41" s="455"/>
      <c r="CO41" s="455"/>
      <c r="CP41" s="455" t="s">
        <v>159</v>
      </c>
      <c r="CQ41" s="455"/>
      <c r="CR41" s="455"/>
      <c r="CS41" s="455" t="s">
        <v>159</v>
      </c>
      <c r="CT41" s="455"/>
      <c r="CU41" s="455"/>
      <c r="CV41" s="455" t="s">
        <v>160</v>
      </c>
      <c r="CW41" s="455"/>
      <c r="CX41" s="455"/>
      <c r="CY41" s="455" t="s">
        <v>160</v>
      </c>
      <c r="CZ41" s="455"/>
      <c r="DA41" s="455"/>
      <c r="DB41" s="455" t="s">
        <v>160</v>
      </c>
      <c r="DC41" s="455"/>
      <c r="DD41" s="455"/>
      <c r="DE41" s="7"/>
    </row>
    <row r="42" spans="1:133" ht="15" customHeight="1">
      <c r="A42" s="3"/>
      <c r="B42" s="455"/>
      <c r="C42" s="455"/>
      <c r="D42" s="455"/>
      <c r="E42" s="455"/>
      <c r="F42" s="455"/>
      <c r="G42" s="455"/>
      <c r="H42" s="455"/>
      <c r="I42" s="455"/>
      <c r="J42" s="455"/>
      <c r="K42" s="455"/>
      <c r="L42" s="455"/>
      <c r="M42" s="455"/>
      <c r="N42" s="455"/>
      <c r="O42" s="455"/>
      <c r="P42" s="455"/>
      <c r="Q42" s="455"/>
      <c r="R42" s="455"/>
      <c r="S42" s="455"/>
      <c r="T42" s="455"/>
      <c r="U42" s="455"/>
      <c r="V42" s="455"/>
      <c r="W42" s="455"/>
      <c r="X42" s="455"/>
      <c r="Y42" s="455"/>
      <c r="Z42" s="455"/>
      <c r="AA42" s="455"/>
      <c r="AB42" s="455"/>
      <c r="AC42" s="455"/>
      <c r="AD42" s="455"/>
      <c r="AE42" s="455"/>
      <c r="AF42" s="455"/>
      <c r="AG42" s="455"/>
      <c r="AH42" s="455"/>
      <c r="AI42" s="455"/>
      <c r="AJ42" s="455"/>
      <c r="AK42" s="455"/>
      <c r="AL42" s="455"/>
      <c r="AM42" s="455"/>
      <c r="AN42" s="455"/>
      <c r="AO42" s="455"/>
      <c r="AP42" s="455"/>
      <c r="AQ42" s="455"/>
      <c r="AR42" s="455"/>
      <c r="AS42" s="455"/>
      <c r="AT42" s="455"/>
      <c r="AU42" s="371" t="s">
        <v>7</v>
      </c>
      <c r="AV42" s="371"/>
      <c r="AW42" s="371"/>
      <c r="AX42" s="371" t="s">
        <v>7</v>
      </c>
      <c r="AY42" s="371"/>
      <c r="AZ42" s="371"/>
      <c r="BA42" s="371" t="s">
        <v>7</v>
      </c>
      <c r="BB42" s="371"/>
      <c r="BC42" s="371"/>
      <c r="BD42" s="371" t="s">
        <v>7</v>
      </c>
      <c r="BE42" s="371"/>
      <c r="BF42" s="371"/>
      <c r="BG42" s="455" t="s">
        <v>159</v>
      </c>
      <c r="BH42" s="455"/>
      <c r="BI42" s="455"/>
      <c r="BJ42" s="455" t="s">
        <v>160</v>
      </c>
      <c r="BK42" s="455"/>
      <c r="BL42" s="455"/>
      <c r="BM42" s="455" t="s">
        <v>160</v>
      </c>
      <c r="BN42" s="455"/>
      <c r="BO42" s="455"/>
      <c r="BP42" s="455"/>
      <c r="BQ42" s="455"/>
      <c r="BR42" s="455"/>
      <c r="BS42" s="455"/>
      <c r="BT42" s="455"/>
      <c r="BU42" s="455"/>
      <c r="BV42" s="455"/>
      <c r="BW42" s="455"/>
      <c r="BX42" s="455"/>
      <c r="BY42" s="455"/>
      <c r="BZ42" s="455"/>
      <c r="CA42" s="455"/>
      <c r="CB42" s="455"/>
      <c r="CC42" s="455"/>
      <c r="CD42" s="455"/>
      <c r="CE42" s="455"/>
      <c r="CF42" s="455"/>
      <c r="CG42" s="455"/>
      <c r="CH42" s="455"/>
      <c r="CI42" s="455"/>
      <c r="CJ42" s="455" t="s">
        <v>160</v>
      </c>
      <c r="CK42" s="455"/>
      <c r="CL42" s="455"/>
      <c r="CM42" s="455" t="s">
        <v>159</v>
      </c>
      <c r="CN42" s="455"/>
      <c r="CO42" s="455"/>
      <c r="CP42" s="455" t="s">
        <v>159</v>
      </c>
      <c r="CQ42" s="455"/>
      <c r="CR42" s="455"/>
      <c r="CS42" s="455" t="s">
        <v>159</v>
      </c>
      <c r="CT42" s="455"/>
      <c r="CU42" s="455"/>
      <c r="CV42" s="455" t="s">
        <v>160</v>
      </c>
      <c r="CW42" s="455"/>
      <c r="CX42" s="455"/>
      <c r="CY42" s="455" t="s">
        <v>160</v>
      </c>
      <c r="CZ42" s="455"/>
      <c r="DA42" s="455"/>
      <c r="DB42" s="455" t="s">
        <v>160</v>
      </c>
      <c r="DC42" s="455"/>
      <c r="DD42" s="455"/>
      <c r="DE42" s="7"/>
    </row>
    <row r="43" spans="1:133" ht="15" customHeight="1">
      <c r="A43" s="6"/>
      <c r="B43" s="455"/>
      <c r="C43" s="455"/>
      <c r="D43" s="455"/>
      <c r="E43" s="455"/>
      <c r="F43" s="455"/>
      <c r="G43" s="455"/>
      <c r="H43" s="455"/>
      <c r="I43" s="455"/>
      <c r="J43" s="455"/>
      <c r="K43" s="455"/>
      <c r="L43" s="455"/>
      <c r="M43" s="455"/>
      <c r="N43" s="455"/>
      <c r="O43" s="455"/>
      <c r="P43" s="455"/>
      <c r="Q43" s="455"/>
      <c r="R43" s="455"/>
      <c r="S43" s="455"/>
      <c r="T43" s="455"/>
      <c r="U43" s="455"/>
      <c r="V43" s="455"/>
      <c r="W43" s="455"/>
      <c r="X43" s="455"/>
      <c r="Y43" s="455"/>
      <c r="Z43" s="455"/>
      <c r="AA43" s="455"/>
      <c r="AB43" s="455"/>
      <c r="AC43" s="455"/>
      <c r="AD43" s="455"/>
      <c r="AE43" s="455"/>
      <c r="AF43" s="455"/>
      <c r="AG43" s="455"/>
      <c r="AH43" s="455"/>
      <c r="AI43" s="455"/>
      <c r="AJ43" s="455"/>
      <c r="AK43" s="455"/>
      <c r="AL43" s="455"/>
      <c r="AM43" s="455"/>
      <c r="AN43" s="455"/>
      <c r="AO43" s="455"/>
      <c r="AP43" s="455"/>
      <c r="AQ43" s="455"/>
      <c r="AR43" s="455"/>
      <c r="AS43" s="455"/>
      <c r="AT43" s="455"/>
      <c r="AU43" s="371" t="s">
        <v>7</v>
      </c>
      <c r="AV43" s="371"/>
      <c r="AW43" s="371"/>
      <c r="AX43" s="371" t="s">
        <v>7</v>
      </c>
      <c r="AY43" s="371"/>
      <c r="AZ43" s="371"/>
      <c r="BA43" s="371" t="s">
        <v>7</v>
      </c>
      <c r="BB43" s="371"/>
      <c r="BC43" s="371"/>
      <c r="BD43" s="371" t="s">
        <v>7</v>
      </c>
      <c r="BE43" s="371"/>
      <c r="BF43" s="371"/>
      <c r="BG43" s="455" t="s">
        <v>159</v>
      </c>
      <c r="BH43" s="455"/>
      <c r="BI43" s="455"/>
      <c r="BJ43" s="455" t="s">
        <v>160</v>
      </c>
      <c r="BK43" s="455"/>
      <c r="BL43" s="455"/>
      <c r="BM43" s="455" t="s">
        <v>160</v>
      </c>
      <c r="BN43" s="455"/>
      <c r="BO43" s="455"/>
      <c r="BP43" s="455"/>
      <c r="BQ43" s="455"/>
      <c r="BR43" s="455"/>
      <c r="BS43" s="455"/>
      <c r="BT43" s="455"/>
      <c r="BU43" s="455"/>
      <c r="BV43" s="455"/>
      <c r="BW43" s="455"/>
      <c r="BX43" s="455"/>
      <c r="BY43" s="455"/>
      <c r="BZ43" s="455"/>
      <c r="CA43" s="455"/>
      <c r="CB43" s="455"/>
      <c r="CC43" s="455"/>
      <c r="CD43" s="455"/>
      <c r="CE43" s="455"/>
      <c r="CF43" s="455"/>
      <c r="CG43" s="455"/>
      <c r="CH43" s="455"/>
      <c r="CI43" s="455"/>
      <c r="CJ43" s="455" t="s">
        <v>160</v>
      </c>
      <c r="CK43" s="455"/>
      <c r="CL43" s="455"/>
      <c r="CM43" s="455" t="s">
        <v>159</v>
      </c>
      <c r="CN43" s="455"/>
      <c r="CO43" s="455"/>
      <c r="CP43" s="455" t="s">
        <v>159</v>
      </c>
      <c r="CQ43" s="455"/>
      <c r="CR43" s="455"/>
      <c r="CS43" s="455" t="s">
        <v>159</v>
      </c>
      <c r="CT43" s="455"/>
      <c r="CU43" s="455"/>
      <c r="CV43" s="455" t="s">
        <v>160</v>
      </c>
      <c r="CW43" s="455"/>
      <c r="CX43" s="455"/>
      <c r="CY43" s="455" t="s">
        <v>160</v>
      </c>
      <c r="CZ43" s="455"/>
      <c r="DA43" s="455"/>
      <c r="DB43" s="455" t="s">
        <v>160</v>
      </c>
      <c r="DC43" s="455"/>
      <c r="DD43" s="455"/>
      <c r="DE43" s="7"/>
    </row>
    <row r="44" spans="1:133">
      <c r="A44" s="6"/>
      <c r="B44" s="455"/>
      <c r="C44" s="455"/>
      <c r="D44" s="455"/>
      <c r="E44" s="455"/>
      <c r="F44" s="455"/>
      <c r="G44" s="455"/>
      <c r="H44" s="455"/>
      <c r="I44" s="455"/>
      <c r="J44" s="455"/>
      <c r="K44" s="455"/>
      <c r="L44" s="455"/>
      <c r="M44" s="455"/>
      <c r="N44" s="455"/>
      <c r="O44" s="455"/>
      <c r="P44" s="455"/>
      <c r="Q44" s="455"/>
      <c r="R44" s="455"/>
      <c r="S44" s="455"/>
      <c r="T44" s="455"/>
      <c r="U44" s="455"/>
      <c r="V44" s="455"/>
      <c r="W44" s="455"/>
      <c r="X44" s="455"/>
      <c r="Y44" s="455"/>
      <c r="Z44" s="455"/>
      <c r="AA44" s="455"/>
      <c r="AB44" s="455"/>
      <c r="AC44" s="455"/>
      <c r="AD44" s="455"/>
      <c r="AE44" s="455"/>
      <c r="AF44" s="455"/>
      <c r="AG44" s="455"/>
      <c r="AH44" s="455"/>
      <c r="AI44" s="455"/>
      <c r="AJ44" s="455"/>
      <c r="AK44" s="455"/>
      <c r="AL44" s="455"/>
      <c r="AM44" s="455"/>
      <c r="AN44" s="455"/>
      <c r="AO44" s="455"/>
      <c r="AP44" s="455"/>
      <c r="AQ44" s="455"/>
      <c r="AR44" s="455"/>
      <c r="AS44" s="455"/>
      <c r="AT44" s="455"/>
      <c r="AU44" s="371" t="s">
        <v>7</v>
      </c>
      <c r="AV44" s="371"/>
      <c r="AW44" s="371"/>
      <c r="AX44" s="371" t="s">
        <v>7</v>
      </c>
      <c r="AY44" s="371"/>
      <c r="AZ44" s="371"/>
      <c r="BA44" s="371" t="s">
        <v>7</v>
      </c>
      <c r="BB44" s="371"/>
      <c r="BC44" s="371"/>
      <c r="BD44" s="371" t="s">
        <v>7</v>
      </c>
      <c r="BE44" s="371"/>
      <c r="BF44" s="371"/>
      <c r="BG44" s="455" t="s">
        <v>159</v>
      </c>
      <c r="BH44" s="455"/>
      <c r="BI44" s="455"/>
      <c r="BJ44" s="455" t="s">
        <v>160</v>
      </c>
      <c r="BK44" s="455"/>
      <c r="BL44" s="455"/>
      <c r="BM44" s="455" t="s">
        <v>160</v>
      </c>
      <c r="BN44" s="455"/>
      <c r="BO44" s="455"/>
      <c r="BP44" s="455"/>
      <c r="BQ44" s="455"/>
      <c r="BR44" s="455"/>
      <c r="BS44" s="455"/>
      <c r="BT44" s="455"/>
      <c r="BU44" s="455"/>
      <c r="BV44" s="455"/>
      <c r="BW44" s="455"/>
      <c r="BX44" s="455"/>
      <c r="BY44" s="455"/>
      <c r="BZ44" s="455"/>
      <c r="CA44" s="455"/>
      <c r="CB44" s="455"/>
      <c r="CC44" s="455"/>
      <c r="CD44" s="455"/>
      <c r="CE44" s="455"/>
      <c r="CF44" s="455"/>
      <c r="CG44" s="455"/>
      <c r="CH44" s="455"/>
      <c r="CI44" s="455"/>
      <c r="CJ44" s="455" t="s">
        <v>160</v>
      </c>
      <c r="CK44" s="455"/>
      <c r="CL44" s="455"/>
      <c r="CM44" s="455" t="s">
        <v>159</v>
      </c>
      <c r="CN44" s="455"/>
      <c r="CO44" s="455"/>
      <c r="CP44" s="455" t="s">
        <v>159</v>
      </c>
      <c r="CQ44" s="455"/>
      <c r="CR44" s="455"/>
      <c r="CS44" s="455" t="s">
        <v>159</v>
      </c>
      <c r="CT44" s="455"/>
      <c r="CU44" s="455"/>
      <c r="CV44" s="455" t="s">
        <v>160</v>
      </c>
      <c r="CW44" s="455"/>
      <c r="CX44" s="455"/>
      <c r="CY44" s="455" t="s">
        <v>160</v>
      </c>
      <c r="CZ44" s="455"/>
      <c r="DA44" s="455"/>
      <c r="DB44" s="455" t="s">
        <v>160</v>
      </c>
      <c r="DC44" s="455"/>
      <c r="DD44" s="455"/>
      <c r="DE44" s="7"/>
    </row>
    <row r="45" spans="1:133" ht="15" customHeight="1">
      <c r="A45" s="3"/>
      <c r="B45" s="455"/>
      <c r="C45" s="455"/>
      <c r="D45" s="455"/>
      <c r="E45" s="455"/>
      <c r="F45" s="455"/>
      <c r="G45" s="455"/>
      <c r="H45" s="455"/>
      <c r="I45" s="455"/>
      <c r="J45" s="455"/>
      <c r="K45" s="455"/>
      <c r="L45" s="455"/>
      <c r="M45" s="455"/>
      <c r="N45" s="455"/>
      <c r="O45" s="455"/>
      <c r="P45" s="455"/>
      <c r="Q45" s="455"/>
      <c r="R45" s="455"/>
      <c r="S45" s="455"/>
      <c r="T45" s="455"/>
      <c r="U45" s="455"/>
      <c r="V45" s="455"/>
      <c r="W45" s="455"/>
      <c r="X45" s="455"/>
      <c r="Y45" s="455"/>
      <c r="Z45" s="455"/>
      <c r="AA45" s="455"/>
      <c r="AB45" s="455"/>
      <c r="AC45" s="455"/>
      <c r="AD45" s="455"/>
      <c r="AE45" s="455"/>
      <c r="AF45" s="455"/>
      <c r="AG45" s="455"/>
      <c r="AH45" s="455"/>
      <c r="AI45" s="455"/>
      <c r="AJ45" s="455"/>
      <c r="AK45" s="455"/>
      <c r="AL45" s="455"/>
      <c r="AM45" s="455"/>
      <c r="AN45" s="455"/>
      <c r="AO45" s="455"/>
      <c r="AP45" s="455"/>
      <c r="AQ45" s="455"/>
      <c r="AR45" s="455"/>
      <c r="AS45" s="455"/>
      <c r="AT45" s="455"/>
      <c r="AU45" s="371" t="s">
        <v>7</v>
      </c>
      <c r="AV45" s="371"/>
      <c r="AW45" s="371"/>
      <c r="AX45" s="371" t="s">
        <v>7</v>
      </c>
      <c r="AY45" s="371"/>
      <c r="AZ45" s="371"/>
      <c r="BA45" s="371" t="s">
        <v>7</v>
      </c>
      <c r="BB45" s="371"/>
      <c r="BC45" s="371"/>
      <c r="BD45" s="371" t="s">
        <v>7</v>
      </c>
      <c r="BE45" s="371"/>
      <c r="BF45" s="371"/>
      <c r="BG45" s="455" t="s">
        <v>159</v>
      </c>
      <c r="BH45" s="455"/>
      <c r="BI45" s="455"/>
      <c r="BJ45" s="455" t="s">
        <v>160</v>
      </c>
      <c r="BK45" s="455"/>
      <c r="BL45" s="455"/>
      <c r="BM45" s="455" t="s">
        <v>160</v>
      </c>
      <c r="BN45" s="455"/>
      <c r="BO45" s="455"/>
      <c r="BP45" s="455"/>
      <c r="BQ45" s="455"/>
      <c r="BR45" s="455"/>
      <c r="BS45" s="455"/>
      <c r="BT45" s="455"/>
      <c r="BU45" s="455"/>
      <c r="BV45" s="455"/>
      <c r="BW45" s="455"/>
      <c r="BX45" s="455"/>
      <c r="BY45" s="455"/>
      <c r="BZ45" s="455"/>
      <c r="CA45" s="455"/>
      <c r="CB45" s="455"/>
      <c r="CC45" s="455"/>
      <c r="CD45" s="455"/>
      <c r="CE45" s="455"/>
      <c r="CF45" s="455"/>
      <c r="CG45" s="455"/>
      <c r="CH45" s="455"/>
      <c r="CI45" s="455"/>
      <c r="CJ45" s="455" t="s">
        <v>160</v>
      </c>
      <c r="CK45" s="455"/>
      <c r="CL45" s="455"/>
      <c r="CM45" s="455" t="s">
        <v>159</v>
      </c>
      <c r="CN45" s="455"/>
      <c r="CO45" s="455"/>
      <c r="CP45" s="455" t="s">
        <v>159</v>
      </c>
      <c r="CQ45" s="455"/>
      <c r="CR45" s="455"/>
      <c r="CS45" s="455" t="s">
        <v>159</v>
      </c>
      <c r="CT45" s="455"/>
      <c r="CU45" s="455"/>
      <c r="CV45" s="455" t="s">
        <v>160</v>
      </c>
      <c r="CW45" s="455"/>
      <c r="CX45" s="455"/>
      <c r="CY45" s="455" t="s">
        <v>160</v>
      </c>
      <c r="CZ45" s="455"/>
      <c r="DA45" s="455"/>
      <c r="DB45" s="455" t="s">
        <v>160</v>
      </c>
      <c r="DC45" s="455"/>
      <c r="DD45" s="455"/>
      <c r="DE45" s="7"/>
    </row>
    <row r="46" spans="1:133" ht="15" customHeight="1">
      <c r="A46" s="6"/>
      <c r="B46" s="455"/>
      <c r="C46" s="455"/>
      <c r="D46" s="455"/>
      <c r="E46" s="455"/>
      <c r="F46" s="455"/>
      <c r="G46" s="455"/>
      <c r="H46" s="455"/>
      <c r="I46" s="455"/>
      <c r="J46" s="455"/>
      <c r="K46" s="455"/>
      <c r="L46" s="455"/>
      <c r="M46" s="455"/>
      <c r="N46" s="455"/>
      <c r="O46" s="455"/>
      <c r="P46" s="455"/>
      <c r="Q46" s="455"/>
      <c r="R46" s="455"/>
      <c r="S46" s="455"/>
      <c r="T46" s="455"/>
      <c r="U46" s="455"/>
      <c r="V46" s="455"/>
      <c r="W46" s="455"/>
      <c r="X46" s="455"/>
      <c r="Y46" s="455"/>
      <c r="Z46" s="455"/>
      <c r="AA46" s="455"/>
      <c r="AB46" s="455"/>
      <c r="AC46" s="455"/>
      <c r="AD46" s="455"/>
      <c r="AE46" s="455"/>
      <c r="AF46" s="455"/>
      <c r="AG46" s="455"/>
      <c r="AH46" s="455"/>
      <c r="AI46" s="455"/>
      <c r="AJ46" s="455"/>
      <c r="AK46" s="455"/>
      <c r="AL46" s="455"/>
      <c r="AM46" s="455"/>
      <c r="AN46" s="455"/>
      <c r="AO46" s="455"/>
      <c r="AP46" s="455"/>
      <c r="AQ46" s="455"/>
      <c r="AR46" s="455"/>
      <c r="AS46" s="455"/>
      <c r="AT46" s="455"/>
      <c r="AU46" s="371" t="s">
        <v>7</v>
      </c>
      <c r="AV46" s="371"/>
      <c r="AW46" s="371"/>
      <c r="AX46" s="371" t="s">
        <v>7</v>
      </c>
      <c r="AY46" s="371"/>
      <c r="AZ46" s="371"/>
      <c r="BA46" s="371" t="s">
        <v>7</v>
      </c>
      <c r="BB46" s="371"/>
      <c r="BC46" s="371"/>
      <c r="BD46" s="371" t="s">
        <v>7</v>
      </c>
      <c r="BE46" s="371"/>
      <c r="BF46" s="371"/>
      <c r="BG46" s="455" t="s">
        <v>159</v>
      </c>
      <c r="BH46" s="455"/>
      <c r="BI46" s="455"/>
      <c r="BJ46" s="455" t="s">
        <v>160</v>
      </c>
      <c r="BK46" s="455"/>
      <c r="BL46" s="455"/>
      <c r="BM46" s="455" t="s">
        <v>160</v>
      </c>
      <c r="BN46" s="455"/>
      <c r="BO46" s="455"/>
      <c r="BP46" s="455"/>
      <c r="BQ46" s="455"/>
      <c r="BR46" s="455"/>
      <c r="BS46" s="455"/>
      <c r="BT46" s="455"/>
      <c r="BU46" s="455"/>
      <c r="BV46" s="455"/>
      <c r="BW46" s="455"/>
      <c r="BX46" s="455"/>
      <c r="BY46" s="455"/>
      <c r="BZ46" s="455"/>
      <c r="CA46" s="455"/>
      <c r="CB46" s="455"/>
      <c r="CC46" s="455"/>
      <c r="CD46" s="455"/>
      <c r="CE46" s="455"/>
      <c r="CF46" s="455"/>
      <c r="CG46" s="455"/>
      <c r="CH46" s="455"/>
      <c r="CI46" s="455"/>
      <c r="CJ46" s="455" t="s">
        <v>160</v>
      </c>
      <c r="CK46" s="455"/>
      <c r="CL46" s="455"/>
      <c r="CM46" s="455" t="s">
        <v>159</v>
      </c>
      <c r="CN46" s="455"/>
      <c r="CO46" s="455"/>
      <c r="CP46" s="455" t="s">
        <v>159</v>
      </c>
      <c r="CQ46" s="455"/>
      <c r="CR46" s="455"/>
      <c r="CS46" s="455" t="s">
        <v>159</v>
      </c>
      <c r="CT46" s="455"/>
      <c r="CU46" s="455"/>
      <c r="CV46" s="455" t="s">
        <v>160</v>
      </c>
      <c r="CW46" s="455"/>
      <c r="CX46" s="455"/>
      <c r="CY46" s="455" t="s">
        <v>160</v>
      </c>
      <c r="CZ46" s="455"/>
      <c r="DA46" s="455"/>
      <c r="DB46" s="455" t="s">
        <v>160</v>
      </c>
      <c r="DC46" s="455"/>
      <c r="DD46" s="455"/>
      <c r="DE46" s="7"/>
    </row>
    <row r="47" spans="1:133" ht="15" customHeight="1">
      <c r="A47" s="8"/>
      <c r="B47" s="455"/>
      <c r="C47" s="455"/>
      <c r="D47" s="455"/>
      <c r="E47" s="455"/>
      <c r="F47" s="455"/>
      <c r="G47" s="455"/>
      <c r="H47" s="455"/>
      <c r="I47" s="455"/>
      <c r="J47" s="455"/>
      <c r="K47" s="455"/>
      <c r="L47" s="455"/>
      <c r="M47" s="455"/>
      <c r="N47" s="455"/>
      <c r="O47" s="455"/>
      <c r="P47" s="455"/>
      <c r="Q47" s="455"/>
      <c r="R47" s="455"/>
      <c r="S47" s="455"/>
      <c r="T47" s="455"/>
      <c r="U47" s="455"/>
      <c r="V47" s="455"/>
      <c r="W47" s="455"/>
      <c r="X47" s="455"/>
      <c r="Y47" s="455"/>
      <c r="Z47" s="455"/>
      <c r="AA47" s="455"/>
      <c r="AB47" s="455"/>
      <c r="AC47" s="455"/>
      <c r="AD47" s="455"/>
      <c r="AE47" s="455"/>
      <c r="AF47" s="455"/>
      <c r="AG47" s="455"/>
      <c r="AH47" s="455"/>
      <c r="AI47" s="455"/>
      <c r="AJ47" s="455"/>
      <c r="AK47" s="455"/>
      <c r="AL47" s="455"/>
      <c r="AM47" s="455"/>
      <c r="AN47" s="455"/>
      <c r="AO47" s="455"/>
      <c r="AP47" s="455"/>
      <c r="AQ47" s="455"/>
      <c r="AR47" s="455"/>
      <c r="AS47" s="455"/>
      <c r="AT47" s="455"/>
      <c r="AU47" s="371" t="s">
        <v>7</v>
      </c>
      <c r="AV47" s="371"/>
      <c r="AW47" s="371"/>
      <c r="AX47" s="371" t="s">
        <v>7</v>
      </c>
      <c r="AY47" s="371"/>
      <c r="AZ47" s="371"/>
      <c r="BA47" s="371" t="s">
        <v>7</v>
      </c>
      <c r="BB47" s="371"/>
      <c r="BC47" s="371"/>
      <c r="BD47" s="371" t="s">
        <v>7</v>
      </c>
      <c r="BE47" s="371"/>
      <c r="BF47" s="371"/>
      <c r="BG47" s="455" t="s">
        <v>159</v>
      </c>
      <c r="BH47" s="455"/>
      <c r="BI47" s="455"/>
      <c r="BJ47" s="455" t="s">
        <v>160</v>
      </c>
      <c r="BK47" s="455"/>
      <c r="BL47" s="455"/>
      <c r="BM47" s="455" t="s">
        <v>160</v>
      </c>
      <c r="BN47" s="455"/>
      <c r="BO47" s="455"/>
      <c r="BP47" s="455"/>
      <c r="BQ47" s="455"/>
      <c r="BR47" s="455"/>
      <c r="BS47" s="455"/>
      <c r="BT47" s="455"/>
      <c r="BU47" s="455"/>
      <c r="BV47" s="455"/>
      <c r="BW47" s="455"/>
      <c r="BX47" s="455"/>
      <c r="BY47" s="455"/>
      <c r="BZ47" s="455"/>
      <c r="CA47" s="455"/>
      <c r="CB47" s="455"/>
      <c r="CC47" s="455"/>
      <c r="CD47" s="455"/>
      <c r="CE47" s="455"/>
      <c r="CF47" s="455"/>
      <c r="CG47" s="455"/>
      <c r="CH47" s="455"/>
      <c r="CI47" s="455"/>
      <c r="CJ47" s="455" t="s">
        <v>160</v>
      </c>
      <c r="CK47" s="455"/>
      <c r="CL47" s="455"/>
      <c r="CM47" s="455" t="s">
        <v>159</v>
      </c>
      <c r="CN47" s="455"/>
      <c r="CO47" s="455"/>
      <c r="CP47" s="455" t="s">
        <v>159</v>
      </c>
      <c r="CQ47" s="455"/>
      <c r="CR47" s="455"/>
      <c r="CS47" s="455" t="s">
        <v>159</v>
      </c>
      <c r="CT47" s="455"/>
      <c r="CU47" s="455"/>
      <c r="CV47" s="455" t="s">
        <v>160</v>
      </c>
      <c r="CW47" s="455"/>
      <c r="CX47" s="455"/>
      <c r="CY47" s="455" t="s">
        <v>160</v>
      </c>
      <c r="CZ47" s="455"/>
      <c r="DA47" s="455"/>
      <c r="DB47" s="455" t="s">
        <v>160</v>
      </c>
      <c r="DC47" s="455"/>
      <c r="DD47" s="455"/>
      <c r="DE47" s="7"/>
    </row>
    <row r="48" spans="1:133" ht="15" customHeight="1">
      <c r="A48" s="8"/>
      <c r="B48" s="455"/>
      <c r="C48" s="455"/>
      <c r="D48" s="455"/>
      <c r="E48" s="455"/>
      <c r="F48" s="455"/>
      <c r="G48" s="455"/>
      <c r="H48" s="455"/>
      <c r="I48" s="455"/>
      <c r="J48" s="455"/>
      <c r="K48" s="455"/>
      <c r="L48" s="455"/>
      <c r="M48" s="455"/>
      <c r="N48" s="455"/>
      <c r="O48" s="455"/>
      <c r="P48" s="455"/>
      <c r="Q48" s="455"/>
      <c r="R48" s="455"/>
      <c r="S48" s="455"/>
      <c r="T48" s="455"/>
      <c r="U48" s="455"/>
      <c r="V48" s="455"/>
      <c r="W48" s="455"/>
      <c r="X48" s="455"/>
      <c r="Y48" s="455"/>
      <c r="Z48" s="455"/>
      <c r="AA48" s="455"/>
      <c r="AB48" s="455"/>
      <c r="AC48" s="455"/>
      <c r="AD48" s="455"/>
      <c r="AE48" s="455"/>
      <c r="AF48" s="455"/>
      <c r="AG48" s="455"/>
      <c r="AH48" s="455"/>
      <c r="AI48" s="455"/>
      <c r="AJ48" s="455"/>
      <c r="AK48" s="455"/>
      <c r="AL48" s="455"/>
      <c r="AM48" s="455"/>
      <c r="AN48" s="455"/>
      <c r="AO48" s="455"/>
      <c r="AP48" s="455"/>
      <c r="AQ48" s="455"/>
      <c r="AR48" s="455"/>
      <c r="AS48" s="455"/>
      <c r="AT48" s="455"/>
      <c r="AU48" s="371" t="s">
        <v>7</v>
      </c>
      <c r="AV48" s="371"/>
      <c r="AW48" s="371"/>
      <c r="AX48" s="371" t="s">
        <v>7</v>
      </c>
      <c r="AY48" s="371"/>
      <c r="AZ48" s="371"/>
      <c r="BA48" s="371" t="s">
        <v>7</v>
      </c>
      <c r="BB48" s="371"/>
      <c r="BC48" s="371"/>
      <c r="BD48" s="371" t="s">
        <v>7</v>
      </c>
      <c r="BE48" s="371"/>
      <c r="BF48" s="371"/>
      <c r="BG48" s="455" t="s">
        <v>159</v>
      </c>
      <c r="BH48" s="455"/>
      <c r="BI48" s="455"/>
      <c r="BJ48" s="455" t="s">
        <v>160</v>
      </c>
      <c r="BK48" s="455"/>
      <c r="BL48" s="455"/>
      <c r="BM48" s="455" t="s">
        <v>160</v>
      </c>
      <c r="BN48" s="455"/>
      <c r="BO48" s="455"/>
      <c r="BP48" s="455"/>
      <c r="BQ48" s="455"/>
      <c r="BR48" s="455"/>
      <c r="BS48" s="455"/>
      <c r="BT48" s="455"/>
      <c r="BU48" s="455"/>
      <c r="BV48" s="455"/>
      <c r="BW48" s="455"/>
      <c r="BX48" s="455"/>
      <c r="BY48" s="455"/>
      <c r="BZ48" s="455"/>
      <c r="CA48" s="455"/>
      <c r="CB48" s="455"/>
      <c r="CC48" s="455"/>
      <c r="CD48" s="455"/>
      <c r="CE48" s="455"/>
      <c r="CF48" s="455"/>
      <c r="CG48" s="455"/>
      <c r="CH48" s="455"/>
      <c r="CI48" s="455"/>
      <c r="CJ48" s="455" t="s">
        <v>160</v>
      </c>
      <c r="CK48" s="455"/>
      <c r="CL48" s="455"/>
      <c r="CM48" s="455" t="s">
        <v>159</v>
      </c>
      <c r="CN48" s="455"/>
      <c r="CO48" s="455"/>
      <c r="CP48" s="455" t="s">
        <v>159</v>
      </c>
      <c r="CQ48" s="455"/>
      <c r="CR48" s="455"/>
      <c r="CS48" s="455" t="s">
        <v>159</v>
      </c>
      <c r="CT48" s="455"/>
      <c r="CU48" s="455"/>
      <c r="CV48" s="455" t="s">
        <v>160</v>
      </c>
      <c r="CW48" s="455"/>
      <c r="CX48" s="455"/>
      <c r="CY48" s="455" t="s">
        <v>160</v>
      </c>
      <c r="CZ48" s="455"/>
      <c r="DA48" s="455"/>
      <c r="DB48" s="455" t="s">
        <v>160</v>
      </c>
      <c r="DC48" s="455"/>
      <c r="DD48" s="455"/>
      <c r="DE48" s="7"/>
    </row>
    <row r="49" spans="1:133" ht="15" customHeight="1">
      <c r="A49" s="3"/>
      <c r="B49" s="455"/>
      <c r="C49" s="455"/>
      <c r="D49" s="455"/>
      <c r="E49" s="455"/>
      <c r="F49" s="455"/>
      <c r="G49" s="455"/>
      <c r="H49" s="455"/>
      <c r="I49" s="455"/>
      <c r="J49" s="455"/>
      <c r="K49" s="455"/>
      <c r="L49" s="455"/>
      <c r="M49" s="455"/>
      <c r="N49" s="455"/>
      <c r="O49" s="455"/>
      <c r="P49" s="455"/>
      <c r="Q49" s="455"/>
      <c r="R49" s="455"/>
      <c r="S49" s="455"/>
      <c r="T49" s="455"/>
      <c r="U49" s="455"/>
      <c r="V49" s="455"/>
      <c r="W49" s="455"/>
      <c r="X49" s="455"/>
      <c r="Y49" s="455"/>
      <c r="Z49" s="455"/>
      <c r="AA49" s="455"/>
      <c r="AB49" s="455"/>
      <c r="AC49" s="455"/>
      <c r="AD49" s="455"/>
      <c r="AE49" s="455"/>
      <c r="AF49" s="455"/>
      <c r="AG49" s="455"/>
      <c r="AH49" s="455"/>
      <c r="AI49" s="455"/>
      <c r="AJ49" s="455"/>
      <c r="AK49" s="455"/>
      <c r="AL49" s="455"/>
      <c r="AM49" s="455"/>
      <c r="AN49" s="455"/>
      <c r="AO49" s="455"/>
      <c r="AP49" s="455"/>
      <c r="AQ49" s="455"/>
      <c r="AR49" s="455"/>
      <c r="AS49" s="455"/>
      <c r="AT49" s="455"/>
      <c r="AU49" s="371" t="s">
        <v>7</v>
      </c>
      <c r="AV49" s="371"/>
      <c r="AW49" s="371"/>
      <c r="AX49" s="371" t="s">
        <v>7</v>
      </c>
      <c r="AY49" s="371"/>
      <c r="AZ49" s="371"/>
      <c r="BA49" s="371" t="s">
        <v>7</v>
      </c>
      <c r="BB49" s="371"/>
      <c r="BC49" s="371"/>
      <c r="BD49" s="371" t="s">
        <v>7</v>
      </c>
      <c r="BE49" s="371"/>
      <c r="BF49" s="371"/>
      <c r="BG49" s="455" t="s">
        <v>159</v>
      </c>
      <c r="BH49" s="455"/>
      <c r="BI49" s="455"/>
      <c r="BJ49" s="455" t="s">
        <v>160</v>
      </c>
      <c r="BK49" s="455"/>
      <c r="BL49" s="455"/>
      <c r="BM49" s="455" t="s">
        <v>160</v>
      </c>
      <c r="BN49" s="455"/>
      <c r="BO49" s="455"/>
      <c r="BP49" s="455"/>
      <c r="BQ49" s="455"/>
      <c r="BR49" s="455"/>
      <c r="BS49" s="455"/>
      <c r="BT49" s="455"/>
      <c r="BU49" s="455"/>
      <c r="BV49" s="455"/>
      <c r="BW49" s="455"/>
      <c r="BX49" s="455"/>
      <c r="BY49" s="455"/>
      <c r="BZ49" s="455"/>
      <c r="CA49" s="455"/>
      <c r="CB49" s="455"/>
      <c r="CC49" s="455"/>
      <c r="CD49" s="455"/>
      <c r="CE49" s="455"/>
      <c r="CF49" s="455"/>
      <c r="CG49" s="455"/>
      <c r="CH49" s="455"/>
      <c r="CI49" s="455"/>
      <c r="CJ49" s="455" t="s">
        <v>160</v>
      </c>
      <c r="CK49" s="455"/>
      <c r="CL49" s="455"/>
      <c r="CM49" s="455" t="s">
        <v>159</v>
      </c>
      <c r="CN49" s="455"/>
      <c r="CO49" s="455"/>
      <c r="CP49" s="455" t="s">
        <v>159</v>
      </c>
      <c r="CQ49" s="455"/>
      <c r="CR49" s="455"/>
      <c r="CS49" s="455" t="s">
        <v>159</v>
      </c>
      <c r="CT49" s="455"/>
      <c r="CU49" s="455"/>
      <c r="CV49" s="455" t="s">
        <v>160</v>
      </c>
      <c r="CW49" s="455"/>
      <c r="CX49" s="455"/>
      <c r="CY49" s="455" t="s">
        <v>160</v>
      </c>
      <c r="CZ49" s="455"/>
      <c r="DA49" s="455"/>
      <c r="DB49" s="455" t="s">
        <v>160</v>
      </c>
      <c r="DC49" s="455"/>
      <c r="DD49" s="455"/>
      <c r="DE49" s="7"/>
    </row>
    <row r="50" spans="1:133" ht="15" customHeight="1">
      <c r="A50" s="3"/>
      <c r="B50" s="455"/>
      <c r="C50" s="455"/>
      <c r="D50" s="455"/>
      <c r="E50" s="455"/>
      <c r="F50" s="455"/>
      <c r="G50" s="455"/>
      <c r="H50" s="455"/>
      <c r="I50" s="455"/>
      <c r="J50" s="455"/>
      <c r="K50" s="455"/>
      <c r="L50" s="455"/>
      <c r="M50" s="455"/>
      <c r="N50" s="455"/>
      <c r="O50" s="455"/>
      <c r="P50" s="455"/>
      <c r="Q50" s="455"/>
      <c r="R50" s="455"/>
      <c r="S50" s="455"/>
      <c r="T50" s="455"/>
      <c r="U50" s="455"/>
      <c r="V50" s="455"/>
      <c r="W50" s="455"/>
      <c r="X50" s="455"/>
      <c r="Y50" s="455"/>
      <c r="Z50" s="455"/>
      <c r="AA50" s="455"/>
      <c r="AB50" s="455"/>
      <c r="AC50" s="455"/>
      <c r="AD50" s="455"/>
      <c r="AE50" s="455"/>
      <c r="AF50" s="455"/>
      <c r="AG50" s="455"/>
      <c r="AH50" s="455"/>
      <c r="AI50" s="455"/>
      <c r="AJ50" s="455"/>
      <c r="AK50" s="455"/>
      <c r="AL50" s="455"/>
      <c r="AM50" s="455"/>
      <c r="AN50" s="455"/>
      <c r="AO50" s="455"/>
      <c r="AP50" s="455"/>
      <c r="AQ50" s="455"/>
      <c r="AR50" s="455"/>
      <c r="AS50" s="455"/>
      <c r="AT50" s="455"/>
      <c r="AU50" s="371" t="s">
        <v>7</v>
      </c>
      <c r="AV50" s="371"/>
      <c r="AW50" s="371"/>
      <c r="AX50" s="371" t="s">
        <v>7</v>
      </c>
      <c r="AY50" s="371"/>
      <c r="AZ50" s="371"/>
      <c r="BA50" s="371" t="s">
        <v>7</v>
      </c>
      <c r="BB50" s="371"/>
      <c r="BC50" s="371"/>
      <c r="BD50" s="371" t="s">
        <v>7</v>
      </c>
      <c r="BE50" s="371"/>
      <c r="BF50" s="371"/>
      <c r="BG50" s="455" t="s">
        <v>159</v>
      </c>
      <c r="BH50" s="455"/>
      <c r="BI50" s="455"/>
      <c r="BJ50" s="455" t="s">
        <v>160</v>
      </c>
      <c r="BK50" s="455"/>
      <c r="BL50" s="455"/>
      <c r="BM50" s="455" t="s">
        <v>160</v>
      </c>
      <c r="BN50" s="455"/>
      <c r="BO50" s="455"/>
      <c r="BP50" s="455"/>
      <c r="BQ50" s="455"/>
      <c r="BR50" s="455"/>
      <c r="BS50" s="455"/>
      <c r="BT50" s="455"/>
      <c r="BU50" s="455"/>
      <c r="BV50" s="455"/>
      <c r="BW50" s="455"/>
      <c r="BX50" s="455"/>
      <c r="BY50" s="455"/>
      <c r="BZ50" s="455"/>
      <c r="CA50" s="455"/>
      <c r="CB50" s="455"/>
      <c r="CC50" s="455"/>
      <c r="CD50" s="455"/>
      <c r="CE50" s="455"/>
      <c r="CF50" s="455"/>
      <c r="CG50" s="455"/>
      <c r="CH50" s="455"/>
      <c r="CI50" s="455"/>
      <c r="CJ50" s="455" t="s">
        <v>160</v>
      </c>
      <c r="CK50" s="455"/>
      <c r="CL50" s="455"/>
      <c r="CM50" s="455" t="s">
        <v>159</v>
      </c>
      <c r="CN50" s="455"/>
      <c r="CO50" s="455"/>
      <c r="CP50" s="455" t="s">
        <v>159</v>
      </c>
      <c r="CQ50" s="455"/>
      <c r="CR50" s="455"/>
      <c r="CS50" s="455" t="s">
        <v>159</v>
      </c>
      <c r="CT50" s="455"/>
      <c r="CU50" s="455"/>
      <c r="CV50" s="455" t="s">
        <v>160</v>
      </c>
      <c r="CW50" s="455"/>
      <c r="CX50" s="455"/>
      <c r="CY50" s="455" t="s">
        <v>160</v>
      </c>
      <c r="CZ50" s="455"/>
      <c r="DA50" s="455"/>
      <c r="DB50" s="455" t="s">
        <v>160</v>
      </c>
      <c r="DC50" s="455"/>
      <c r="DD50" s="455"/>
      <c r="DE50" s="7"/>
    </row>
    <row r="51" spans="1:133" ht="15" customHeight="1">
      <c r="A51" s="3"/>
      <c r="B51" s="455"/>
      <c r="C51" s="455"/>
      <c r="D51" s="455"/>
      <c r="E51" s="455"/>
      <c r="F51" s="455"/>
      <c r="G51" s="455"/>
      <c r="H51" s="455"/>
      <c r="I51" s="455"/>
      <c r="J51" s="455"/>
      <c r="K51" s="455"/>
      <c r="L51" s="455"/>
      <c r="M51" s="455"/>
      <c r="N51" s="455"/>
      <c r="O51" s="455"/>
      <c r="P51" s="455"/>
      <c r="Q51" s="455"/>
      <c r="R51" s="455"/>
      <c r="S51" s="455"/>
      <c r="T51" s="455"/>
      <c r="U51" s="455"/>
      <c r="V51" s="455"/>
      <c r="W51" s="455"/>
      <c r="X51" s="455"/>
      <c r="Y51" s="455"/>
      <c r="Z51" s="455"/>
      <c r="AA51" s="455"/>
      <c r="AB51" s="455"/>
      <c r="AC51" s="455"/>
      <c r="AD51" s="455"/>
      <c r="AE51" s="455"/>
      <c r="AF51" s="455"/>
      <c r="AG51" s="455"/>
      <c r="AH51" s="455"/>
      <c r="AI51" s="455"/>
      <c r="AJ51" s="455"/>
      <c r="AK51" s="455"/>
      <c r="AL51" s="455"/>
      <c r="AM51" s="455"/>
      <c r="AN51" s="455"/>
      <c r="AO51" s="455"/>
      <c r="AP51" s="455"/>
      <c r="AQ51" s="455"/>
      <c r="AR51" s="455"/>
      <c r="AS51" s="455"/>
      <c r="AT51" s="455"/>
      <c r="AU51" s="371" t="s">
        <v>7</v>
      </c>
      <c r="AV51" s="371"/>
      <c r="AW51" s="371"/>
      <c r="AX51" s="371" t="s">
        <v>7</v>
      </c>
      <c r="AY51" s="371"/>
      <c r="AZ51" s="371"/>
      <c r="BA51" s="371" t="s">
        <v>7</v>
      </c>
      <c r="BB51" s="371"/>
      <c r="BC51" s="371"/>
      <c r="BD51" s="371" t="s">
        <v>7</v>
      </c>
      <c r="BE51" s="371"/>
      <c r="BF51" s="371"/>
      <c r="BG51" s="455" t="s">
        <v>159</v>
      </c>
      <c r="BH51" s="455"/>
      <c r="BI51" s="455"/>
      <c r="BJ51" s="455" t="s">
        <v>160</v>
      </c>
      <c r="BK51" s="455"/>
      <c r="BL51" s="455"/>
      <c r="BM51" s="455" t="s">
        <v>160</v>
      </c>
      <c r="BN51" s="455"/>
      <c r="BO51" s="455"/>
      <c r="BP51" s="455"/>
      <c r="BQ51" s="455"/>
      <c r="BR51" s="455"/>
      <c r="BS51" s="455"/>
      <c r="BT51" s="455"/>
      <c r="BU51" s="455"/>
      <c r="BV51" s="455"/>
      <c r="BW51" s="455"/>
      <c r="BX51" s="455"/>
      <c r="BY51" s="455"/>
      <c r="BZ51" s="455"/>
      <c r="CA51" s="455"/>
      <c r="CB51" s="455"/>
      <c r="CC51" s="455"/>
      <c r="CD51" s="455"/>
      <c r="CE51" s="455"/>
      <c r="CF51" s="455"/>
      <c r="CG51" s="455"/>
      <c r="CH51" s="455"/>
      <c r="CI51" s="455"/>
      <c r="CJ51" s="455" t="s">
        <v>160</v>
      </c>
      <c r="CK51" s="455"/>
      <c r="CL51" s="455"/>
      <c r="CM51" s="455" t="s">
        <v>159</v>
      </c>
      <c r="CN51" s="455"/>
      <c r="CO51" s="455"/>
      <c r="CP51" s="455" t="s">
        <v>159</v>
      </c>
      <c r="CQ51" s="455"/>
      <c r="CR51" s="455"/>
      <c r="CS51" s="455" t="s">
        <v>159</v>
      </c>
      <c r="CT51" s="455"/>
      <c r="CU51" s="455"/>
      <c r="CV51" s="455" t="s">
        <v>160</v>
      </c>
      <c r="CW51" s="455"/>
      <c r="CX51" s="455"/>
      <c r="CY51" s="455" t="s">
        <v>160</v>
      </c>
      <c r="CZ51" s="455"/>
      <c r="DA51" s="455"/>
      <c r="DB51" s="455" t="s">
        <v>160</v>
      </c>
      <c r="DC51" s="455"/>
      <c r="DD51" s="455"/>
      <c r="DE51" s="24"/>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row>
    <row r="52" spans="1:133" ht="15" customHeight="1">
      <c r="A52" s="66"/>
      <c r="B52" s="471" t="s">
        <v>161</v>
      </c>
      <c r="C52" s="471"/>
      <c r="D52" s="471"/>
      <c r="E52" s="471"/>
      <c r="F52" s="471"/>
      <c r="G52" s="471"/>
      <c r="H52" s="471"/>
      <c r="I52" s="471"/>
      <c r="J52" s="471"/>
      <c r="K52" s="471"/>
      <c r="L52" s="471"/>
      <c r="M52" s="471"/>
      <c r="N52" s="471"/>
      <c r="O52" s="471"/>
      <c r="P52" s="471"/>
      <c r="Q52" s="475" t="s">
        <v>162</v>
      </c>
      <c r="R52" s="475"/>
      <c r="S52" s="475"/>
      <c r="T52" s="475"/>
      <c r="U52" s="475"/>
      <c r="V52" s="475"/>
      <c r="W52" s="475"/>
      <c r="X52" s="475"/>
      <c r="Y52" s="475"/>
      <c r="Z52" s="475"/>
      <c r="AA52" s="475"/>
      <c r="AB52" s="475"/>
      <c r="AC52" s="475"/>
      <c r="AD52" s="475"/>
      <c r="AE52" s="475"/>
      <c r="AF52" s="475"/>
      <c r="AG52" s="475"/>
      <c r="AH52" s="475"/>
      <c r="AI52" s="471" t="s">
        <v>163</v>
      </c>
      <c r="AJ52" s="471"/>
      <c r="AK52" s="471"/>
      <c r="AL52" s="471"/>
      <c r="AM52" s="471"/>
      <c r="AN52" s="471"/>
      <c r="AO52" s="471"/>
      <c r="AP52" s="471"/>
      <c r="AQ52" s="471"/>
      <c r="AR52" s="471"/>
      <c r="AS52" s="471"/>
      <c r="AT52" s="476">
        <v>25</v>
      </c>
      <c r="AU52" s="476"/>
      <c r="AV52" s="476"/>
      <c r="AW52" s="476"/>
      <c r="AX52" s="455" t="s">
        <v>164</v>
      </c>
      <c r="AY52" s="455"/>
      <c r="AZ52" s="455"/>
      <c r="BA52" s="477" t="s">
        <v>165</v>
      </c>
      <c r="BB52" s="477"/>
      <c r="BC52" s="477"/>
      <c r="BD52" s="477"/>
      <c r="BE52" s="477"/>
      <c r="BF52" s="477"/>
      <c r="BG52" s="477"/>
      <c r="BH52" s="477"/>
      <c r="BI52" s="477"/>
      <c r="BJ52" s="455">
        <v>22</v>
      </c>
      <c r="BK52" s="455"/>
      <c r="BL52" s="455"/>
      <c r="BM52" s="455"/>
      <c r="BN52" s="455" t="s">
        <v>166</v>
      </c>
      <c r="BO52" s="455"/>
      <c r="BP52" s="455"/>
      <c r="BQ52" s="455"/>
      <c r="BR52" s="455"/>
      <c r="BS52" s="455"/>
      <c r="BT52" s="455"/>
      <c r="BU52" s="455"/>
      <c r="BV52" s="455"/>
      <c r="BW52" s="455"/>
      <c r="BX52" s="455"/>
      <c r="BY52" s="455"/>
      <c r="BZ52" s="455"/>
      <c r="CA52" s="455"/>
      <c r="CB52" s="455"/>
      <c r="CC52" s="455"/>
      <c r="CD52" s="455"/>
      <c r="CE52" s="455"/>
      <c r="CF52" s="455"/>
      <c r="CG52" s="455"/>
      <c r="CH52" s="455"/>
      <c r="CI52" s="455"/>
      <c r="CJ52" s="455"/>
      <c r="CK52" s="471" t="s">
        <v>167</v>
      </c>
      <c r="CL52" s="471"/>
      <c r="CM52" s="471"/>
      <c r="CN52" s="471"/>
      <c r="CO52" s="471"/>
      <c r="CP52" s="471"/>
      <c r="CQ52" s="471"/>
      <c r="CR52" s="471"/>
      <c r="CS52" s="471"/>
      <c r="CT52" s="471"/>
      <c r="CU52" s="471"/>
      <c r="CV52" s="471"/>
      <c r="CW52" s="471"/>
      <c r="CX52" s="471"/>
      <c r="CY52" s="471"/>
      <c r="CZ52" s="471"/>
      <c r="DA52" s="471"/>
      <c r="DB52" s="471"/>
      <c r="DC52" s="471"/>
      <c r="DD52" s="471"/>
      <c r="DE52" s="7"/>
    </row>
    <row r="53" spans="1:133" ht="15" customHeight="1">
      <c r="A53" s="59"/>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9"/>
      <c r="CK53" s="9"/>
      <c r="CL53" s="9"/>
      <c r="CM53" s="9"/>
      <c r="CN53" s="10"/>
      <c r="CO53" s="10"/>
      <c r="CP53" s="10"/>
      <c r="CQ53" s="10"/>
      <c r="CR53" s="10"/>
      <c r="CS53" s="10"/>
      <c r="CT53" s="10"/>
      <c r="CU53" s="10"/>
      <c r="CV53" s="10"/>
      <c r="CW53" s="10"/>
      <c r="CX53" s="10"/>
      <c r="CY53" s="10"/>
      <c r="CZ53" s="10"/>
      <c r="DA53" s="10"/>
      <c r="DB53" s="10"/>
      <c r="DC53" s="10"/>
      <c r="DD53" s="10"/>
      <c r="DE53" s="24"/>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row>
    <row r="54" spans="1:133" ht="15" customHeight="1">
      <c r="A54" s="59"/>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471" t="s">
        <v>168</v>
      </c>
      <c r="CK54" s="471"/>
      <c r="CL54" s="471"/>
      <c r="CM54" s="471"/>
      <c r="CN54" s="471"/>
      <c r="CO54" s="472" t="s">
        <v>7</v>
      </c>
      <c r="CP54" s="473"/>
      <c r="CQ54" s="474"/>
      <c r="CR54" s="475" t="s">
        <v>125</v>
      </c>
      <c r="CS54" s="475"/>
      <c r="CT54" s="472"/>
      <c r="CU54" s="473"/>
      <c r="CV54" s="474"/>
      <c r="CW54" s="475" t="s">
        <v>126</v>
      </c>
      <c r="CX54" s="475"/>
      <c r="DE54" s="7"/>
    </row>
    <row r="55" spans="1:133" ht="15" customHeight="1">
      <c r="A55" s="3"/>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DE55" s="7"/>
    </row>
    <row r="56" spans="1:133" ht="15" customHeight="1" thickBot="1">
      <c r="A56" s="25"/>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4"/>
    </row>
    <row r="57" spans="1:133" ht="15" customHeight="1">
      <c r="A57" s="388" t="e" vm="1">
        <v>#VALUE!</v>
      </c>
      <c r="B57" s="389"/>
      <c r="C57" s="389"/>
      <c r="D57" s="389"/>
      <c r="E57" s="389"/>
      <c r="F57" s="389"/>
      <c r="G57" s="389"/>
      <c r="H57" s="389"/>
      <c r="I57" s="389"/>
      <c r="J57" s="389"/>
      <c r="K57" s="389"/>
      <c r="L57" s="389"/>
      <c r="M57" s="389"/>
      <c r="N57" s="389"/>
      <c r="O57" s="389"/>
      <c r="P57" s="389"/>
      <c r="Q57" s="389"/>
      <c r="R57" s="389"/>
      <c r="S57" s="389"/>
      <c r="T57" s="389"/>
      <c r="U57" s="389"/>
      <c r="V57" s="389"/>
      <c r="W57" s="389"/>
      <c r="X57" s="389"/>
      <c r="Y57" s="389"/>
      <c r="Z57" s="389"/>
      <c r="AA57" s="389"/>
      <c r="AB57" s="389"/>
      <c r="AC57" s="389"/>
      <c r="AD57" s="389"/>
      <c r="AE57" s="389"/>
      <c r="AF57" s="389"/>
      <c r="AG57" s="389"/>
      <c r="AH57" s="389"/>
      <c r="AI57" s="389"/>
      <c r="AJ57" s="389"/>
      <c r="AK57" s="389"/>
      <c r="AL57" s="389"/>
      <c r="AM57" s="389"/>
      <c r="AN57" s="389"/>
      <c r="AO57" s="389"/>
      <c r="AP57" s="389"/>
      <c r="AQ57" s="389"/>
      <c r="AR57" s="389"/>
      <c r="AS57" s="389"/>
      <c r="AT57" s="389"/>
      <c r="AU57" s="389"/>
      <c r="AV57" s="389"/>
      <c r="AW57" s="389"/>
      <c r="AX57" s="389"/>
      <c r="AY57" s="389"/>
      <c r="AZ57" s="389"/>
      <c r="BA57" s="389"/>
      <c r="BB57" s="389"/>
      <c r="BC57" s="389"/>
      <c r="BD57" s="389"/>
      <c r="BE57" s="389"/>
      <c r="BF57" s="389"/>
      <c r="BG57" s="389"/>
      <c r="BH57" s="389"/>
      <c r="BI57" s="389"/>
      <c r="BJ57" s="389"/>
      <c r="BK57" s="389"/>
      <c r="BL57" s="389"/>
      <c r="BM57" s="389"/>
      <c r="BN57" s="389"/>
      <c r="BO57" s="389"/>
      <c r="BP57" s="389"/>
      <c r="BQ57" s="389"/>
      <c r="BR57" s="389"/>
      <c r="BS57" s="389"/>
      <c r="BT57" s="389"/>
      <c r="BU57" s="389"/>
      <c r="BV57" s="389"/>
      <c r="BW57" s="389"/>
      <c r="BX57" s="389"/>
      <c r="BY57" s="389"/>
      <c r="BZ57" s="389"/>
      <c r="CA57" s="389"/>
      <c r="CB57" s="389"/>
      <c r="CC57" s="389"/>
      <c r="CD57" s="389"/>
      <c r="CE57" s="389"/>
      <c r="CF57" s="389"/>
      <c r="CG57" s="389"/>
      <c r="CH57" s="389"/>
      <c r="CI57" s="389"/>
      <c r="CJ57" s="389"/>
      <c r="CK57" s="389"/>
      <c r="CL57" s="389"/>
      <c r="CM57" s="389"/>
      <c r="CN57" s="389"/>
      <c r="CO57" s="389"/>
      <c r="CP57" s="389"/>
      <c r="CQ57" s="389"/>
      <c r="CR57" s="389"/>
      <c r="CS57" s="389"/>
      <c r="CT57" s="389"/>
      <c r="CU57" s="389"/>
      <c r="CV57" s="361" t="s">
        <v>1</v>
      </c>
      <c r="CW57" s="361"/>
      <c r="CX57" s="361"/>
      <c r="CY57" s="361"/>
      <c r="CZ57" s="361"/>
      <c r="DA57" s="361"/>
      <c r="DB57" s="361"/>
      <c r="DC57" s="361"/>
      <c r="DD57" s="361"/>
      <c r="DE57" s="362"/>
    </row>
    <row r="58" spans="1:133" ht="15" customHeight="1">
      <c r="A58" s="390"/>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1"/>
      <c r="CG58" s="391"/>
      <c r="CH58" s="391"/>
      <c r="CI58" s="391"/>
      <c r="CJ58" s="391"/>
      <c r="CK58" s="391"/>
      <c r="CL58" s="391"/>
      <c r="CM58" s="391"/>
      <c r="CN58" s="391"/>
      <c r="CO58" s="391"/>
      <c r="CP58" s="391"/>
      <c r="CQ58" s="391"/>
      <c r="CR58" s="391"/>
      <c r="CS58" s="391"/>
      <c r="CT58" s="391"/>
      <c r="CU58" s="391"/>
      <c r="CV58" s="363"/>
      <c r="CW58" s="363"/>
      <c r="CX58" s="363"/>
      <c r="CY58" s="363"/>
      <c r="CZ58" s="363"/>
      <c r="DA58" s="363"/>
      <c r="DB58" s="363"/>
      <c r="DC58" s="363"/>
      <c r="DD58" s="363"/>
      <c r="DE58" s="364"/>
    </row>
    <row r="59" spans="1:133" ht="15" customHeight="1">
      <c r="A59" s="390"/>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391"/>
      <c r="BP59" s="391"/>
      <c r="BQ59" s="391"/>
      <c r="BR59" s="391"/>
      <c r="BS59" s="391"/>
      <c r="BT59" s="391"/>
      <c r="BU59" s="391"/>
      <c r="BV59" s="391"/>
      <c r="BW59" s="391"/>
      <c r="BX59" s="391"/>
      <c r="BY59" s="391"/>
      <c r="BZ59" s="391"/>
      <c r="CA59" s="391"/>
      <c r="CB59" s="391"/>
      <c r="CC59" s="391"/>
      <c r="CD59" s="391"/>
      <c r="CE59" s="391"/>
      <c r="CF59" s="391"/>
      <c r="CG59" s="391"/>
      <c r="CH59" s="391"/>
      <c r="CI59" s="391"/>
      <c r="CJ59" s="391"/>
      <c r="CK59" s="391"/>
      <c r="CL59" s="391"/>
      <c r="CM59" s="391"/>
      <c r="CN59" s="391"/>
      <c r="CO59" s="391"/>
      <c r="CP59" s="391"/>
      <c r="CQ59" s="391"/>
      <c r="CR59" s="391"/>
      <c r="CS59" s="391"/>
      <c r="CT59" s="391"/>
      <c r="CU59" s="391"/>
      <c r="CV59" s="363"/>
      <c r="CW59" s="363"/>
      <c r="CX59" s="363"/>
      <c r="CY59" s="363"/>
      <c r="CZ59" s="363"/>
      <c r="DA59" s="363"/>
      <c r="DB59" s="363"/>
      <c r="DC59" s="363"/>
      <c r="DD59" s="363"/>
      <c r="DE59" s="364"/>
    </row>
    <row r="60" spans="1:133" ht="15" customHeight="1">
      <c r="A60" s="390"/>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391"/>
      <c r="BC60" s="391"/>
      <c r="BD60" s="391"/>
      <c r="BE60" s="391"/>
      <c r="BF60" s="391"/>
      <c r="BG60" s="391"/>
      <c r="BH60" s="391"/>
      <c r="BI60" s="391"/>
      <c r="BJ60" s="391"/>
      <c r="BK60" s="391"/>
      <c r="BL60" s="391"/>
      <c r="BM60" s="391"/>
      <c r="BN60" s="391"/>
      <c r="BO60" s="391"/>
      <c r="BP60" s="391"/>
      <c r="BQ60" s="391"/>
      <c r="BR60" s="391"/>
      <c r="BS60" s="391"/>
      <c r="BT60" s="391"/>
      <c r="BU60" s="391"/>
      <c r="BV60" s="391"/>
      <c r="BW60" s="391"/>
      <c r="BX60" s="391"/>
      <c r="BY60" s="391"/>
      <c r="BZ60" s="391"/>
      <c r="CA60" s="391"/>
      <c r="CB60" s="391"/>
      <c r="CC60" s="391"/>
      <c r="CD60" s="391"/>
      <c r="CE60" s="391"/>
      <c r="CF60" s="391"/>
      <c r="CG60" s="391"/>
      <c r="CH60" s="391"/>
      <c r="CI60" s="391"/>
      <c r="CJ60" s="391"/>
      <c r="CK60" s="391"/>
      <c r="CL60" s="391"/>
      <c r="CM60" s="391"/>
      <c r="CN60" s="391"/>
      <c r="CO60" s="391"/>
      <c r="CP60" s="391"/>
      <c r="CQ60" s="391"/>
      <c r="CR60" s="391"/>
      <c r="CS60" s="391"/>
      <c r="CT60" s="391"/>
      <c r="CU60" s="391"/>
      <c r="CV60" s="363"/>
      <c r="CW60" s="363"/>
      <c r="CX60" s="363"/>
      <c r="CY60" s="363"/>
      <c r="CZ60" s="363"/>
      <c r="DA60" s="363"/>
      <c r="DB60" s="363"/>
      <c r="DC60" s="363"/>
      <c r="DD60" s="363"/>
      <c r="DE60" s="364"/>
    </row>
    <row r="61" spans="1:133" ht="15" customHeight="1">
      <c r="A61" s="390"/>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1"/>
      <c r="CG61" s="391"/>
      <c r="CH61" s="391"/>
      <c r="CI61" s="391"/>
      <c r="CJ61" s="391"/>
      <c r="CK61" s="391"/>
      <c r="CL61" s="391"/>
      <c r="CM61" s="391"/>
      <c r="CN61" s="391"/>
      <c r="CO61" s="391"/>
      <c r="CP61" s="391"/>
      <c r="CQ61" s="391"/>
      <c r="CR61" s="391"/>
      <c r="CS61" s="391"/>
      <c r="CT61" s="391"/>
      <c r="CU61" s="391"/>
      <c r="CV61" s="363"/>
      <c r="CW61" s="363"/>
      <c r="CX61" s="363"/>
      <c r="CY61" s="363"/>
      <c r="CZ61" s="363"/>
      <c r="DA61" s="363"/>
      <c r="DB61" s="363"/>
      <c r="DC61" s="363"/>
      <c r="DD61" s="363"/>
      <c r="DE61" s="364"/>
    </row>
    <row r="62" spans="1:133" ht="15" customHeight="1" thickBot="1">
      <c r="A62" s="390"/>
      <c r="B62" s="391"/>
      <c r="C62" s="391"/>
      <c r="D62" s="391"/>
      <c r="E62" s="391"/>
      <c r="F62" s="391"/>
      <c r="G62" s="391"/>
      <c r="H62" s="391"/>
      <c r="I62" s="391"/>
      <c r="J62" s="391"/>
      <c r="K62" s="391"/>
      <c r="L62" s="391"/>
      <c r="M62" s="391"/>
      <c r="N62" s="391"/>
      <c r="O62" s="391"/>
      <c r="P62" s="391"/>
      <c r="Q62" s="391"/>
      <c r="R62" s="391"/>
      <c r="S62" s="391"/>
      <c r="T62" s="391"/>
      <c r="U62" s="391"/>
      <c r="V62" s="391"/>
      <c r="W62" s="391"/>
      <c r="X62" s="391"/>
      <c r="Y62" s="391"/>
      <c r="Z62" s="391"/>
      <c r="AA62" s="391"/>
      <c r="AB62" s="391"/>
      <c r="AC62" s="391"/>
      <c r="AD62" s="391"/>
      <c r="AE62" s="391"/>
      <c r="AF62" s="391"/>
      <c r="AG62" s="391"/>
      <c r="AH62" s="391"/>
      <c r="AI62" s="391"/>
      <c r="AJ62" s="391"/>
      <c r="AK62" s="391"/>
      <c r="AL62" s="391"/>
      <c r="AM62" s="391"/>
      <c r="AN62" s="391"/>
      <c r="AO62" s="391"/>
      <c r="AP62" s="391"/>
      <c r="AQ62" s="391"/>
      <c r="AR62" s="391"/>
      <c r="AS62" s="391"/>
      <c r="AT62" s="391"/>
      <c r="AU62" s="391"/>
      <c r="AV62" s="391"/>
      <c r="AW62" s="391"/>
      <c r="AX62" s="391"/>
      <c r="AY62" s="391"/>
      <c r="AZ62" s="391"/>
      <c r="BA62" s="391"/>
      <c r="BB62" s="391"/>
      <c r="BC62" s="391"/>
      <c r="BD62" s="391"/>
      <c r="BE62" s="391"/>
      <c r="BF62" s="391"/>
      <c r="BG62" s="391"/>
      <c r="BH62" s="391"/>
      <c r="BI62" s="391"/>
      <c r="BJ62" s="391"/>
      <c r="BK62" s="391"/>
      <c r="BL62" s="391"/>
      <c r="BM62" s="391"/>
      <c r="BN62" s="391"/>
      <c r="BO62" s="391"/>
      <c r="BP62" s="391"/>
      <c r="BQ62" s="391"/>
      <c r="BR62" s="391"/>
      <c r="BS62" s="391"/>
      <c r="BT62" s="391"/>
      <c r="BU62" s="391"/>
      <c r="BV62" s="391"/>
      <c r="BW62" s="391"/>
      <c r="BX62" s="391"/>
      <c r="BY62" s="391"/>
      <c r="BZ62" s="391"/>
      <c r="CA62" s="391"/>
      <c r="CB62" s="391"/>
      <c r="CC62" s="391"/>
      <c r="CD62" s="391"/>
      <c r="CE62" s="391"/>
      <c r="CF62" s="391"/>
      <c r="CG62" s="391"/>
      <c r="CH62" s="391"/>
      <c r="CI62" s="391"/>
      <c r="CJ62" s="391"/>
      <c r="CK62" s="391"/>
      <c r="CL62" s="391"/>
      <c r="CM62" s="391"/>
      <c r="CN62" s="391"/>
      <c r="CO62" s="391"/>
      <c r="CP62" s="391"/>
      <c r="CQ62" s="391"/>
      <c r="CR62" s="391"/>
      <c r="CS62" s="391"/>
      <c r="CT62" s="391"/>
      <c r="CU62" s="391"/>
      <c r="CV62" s="365"/>
      <c r="CW62" s="365"/>
      <c r="CX62" s="365"/>
      <c r="CY62" s="365"/>
      <c r="CZ62" s="365"/>
      <c r="DA62" s="365"/>
      <c r="DB62" s="365"/>
      <c r="DC62" s="365"/>
      <c r="DD62" s="365"/>
      <c r="DE62" s="366"/>
    </row>
    <row r="63" spans="1:133" ht="15" customHeight="1">
      <c r="A63" s="392" t="s">
        <v>113</v>
      </c>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c r="BL63" s="393"/>
      <c r="BM63" s="393"/>
      <c r="BN63" s="393"/>
      <c r="BO63" s="393"/>
      <c r="BP63" s="393"/>
      <c r="BQ63" s="393"/>
      <c r="BR63" s="393"/>
      <c r="BS63" s="393"/>
      <c r="BT63" s="393"/>
      <c r="BU63" s="393"/>
      <c r="BV63" s="393"/>
      <c r="BW63" s="393"/>
      <c r="BX63" s="393"/>
      <c r="BY63" s="393"/>
      <c r="BZ63" s="393"/>
      <c r="CA63" s="393"/>
      <c r="CB63" s="393"/>
      <c r="CC63" s="393"/>
      <c r="CD63" s="393"/>
      <c r="CE63" s="393"/>
      <c r="CF63" s="393"/>
      <c r="CG63" s="393"/>
      <c r="CH63" s="393"/>
      <c r="CI63" s="393"/>
      <c r="CJ63" s="393"/>
      <c r="CK63" s="393"/>
      <c r="CL63" s="393"/>
      <c r="CM63" s="393"/>
      <c r="CN63" s="393"/>
      <c r="CO63" s="393"/>
      <c r="CP63" s="367" t="s">
        <v>3</v>
      </c>
      <c r="CQ63" s="367"/>
      <c r="CR63" s="367"/>
      <c r="CS63" s="367"/>
      <c r="CT63" s="367"/>
      <c r="CU63" s="367"/>
      <c r="CV63" s="367"/>
      <c r="CW63" s="367"/>
      <c r="CX63" s="367"/>
      <c r="CY63" s="367"/>
      <c r="CZ63" s="367"/>
      <c r="DA63" s="367"/>
      <c r="DB63" s="367"/>
      <c r="DC63" s="367"/>
      <c r="DD63" s="367"/>
      <c r="DE63" s="368"/>
    </row>
    <row r="64" spans="1:133" ht="15" customHeight="1">
      <c r="A64" s="392"/>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3"/>
      <c r="BK64" s="393"/>
      <c r="BL64" s="393"/>
      <c r="BM64" s="393"/>
      <c r="BN64" s="393"/>
      <c r="BO64" s="393"/>
      <c r="BP64" s="393"/>
      <c r="BQ64" s="393"/>
      <c r="BR64" s="393"/>
      <c r="BS64" s="393"/>
      <c r="BT64" s="393"/>
      <c r="BU64" s="393"/>
      <c r="BV64" s="393"/>
      <c r="BW64" s="393"/>
      <c r="BX64" s="393"/>
      <c r="BY64" s="393"/>
      <c r="BZ64" s="393"/>
      <c r="CA64" s="393"/>
      <c r="CB64" s="393"/>
      <c r="CC64" s="393"/>
      <c r="CD64" s="393"/>
      <c r="CE64" s="393"/>
      <c r="CF64" s="393"/>
      <c r="CG64" s="393"/>
      <c r="CH64" s="393"/>
      <c r="CI64" s="393"/>
      <c r="CJ64" s="393"/>
      <c r="CK64" s="393"/>
      <c r="CL64" s="393"/>
      <c r="CM64" s="393"/>
      <c r="CN64" s="393"/>
      <c r="CO64" s="393"/>
      <c r="CP64" s="367"/>
      <c r="CQ64" s="367"/>
      <c r="CR64" s="367"/>
      <c r="CS64" s="367"/>
      <c r="CT64" s="367"/>
      <c r="CU64" s="367"/>
      <c r="CV64" s="367"/>
      <c r="CW64" s="367"/>
      <c r="CX64" s="367"/>
      <c r="CY64" s="367"/>
      <c r="CZ64" s="367"/>
      <c r="DA64" s="367"/>
      <c r="DB64" s="367"/>
      <c r="DC64" s="367"/>
      <c r="DD64" s="367"/>
      <c r="DE64" s="368"/>
    </row>
    <row r="65" spans="1:139" ht="15" customHeight="1">
      <c r="A65" s="375" t="s">
        <v>4</v>
      </c>
      <c r="B65" s="369"/>
      <c r="C65" s="369"/>
      <c r="D65" s="369"/>
      <c r="E65" s="369"/>
      <c r="F65" s="369"/>
      <c r="G65" s="369"/>
      <c r="H65" s="369"/>
      <c r="I65" s="369"/>
      <c r="J65" s="369"/>
      <c r="K65" s="369"/>
      <c r="L65" s="369"/>
      <c r="M65" s="369"/>
      <c r="N65" s="369"/>
      <c r="O65" s="369"/>
      <c r="P65" s="369"/>
      <c r="Q65" s="369"/>
      <c r="R65" s="369"/>
      <c r="S65" s="370">
        <v>559082</v>
      </c>
      <c r="T65" s="370"/>
      <c r="U65" s="370"/>
      <c r="V65" s="370"/>
      <c r="W65" s="370"/>
      <c r="X65" s="370"/>
      <c r="Y65" s="370"/>
      <c r="Z65" s="370"/>
      <c r="AA65" s="370"/>
      <c r="AB65" s="370"/>
      <c r="AC65" s="370"/>
      <c r="AD65" s="370"/>
      <c r="AE65" s="369" t="s">
        <v>5</v>
      </c>
      <c r="AF65" s="369"/>
      <c r="AG65" s="369"/>
      <c r="AH65" s="369"/>
      <c r="AI65" s="369"/>
      <c r="AJ65" s="369"/>
      <c r="AK65" s="369"/>
      <c r="AL65" s="369"/>
      <c r="AM65" s="369"/>
      <c r="AN65" s="369"/>
      <c r="AO65" s="369"/>
      <c r="AP65" s="369"/>
      <c r="AQ65" s="369"/>
      <c r="AR65" s="369"/>
      <c r="AS65" s="394">
        <v>45668</v>
      </c>
      <c r="AT65" s="394"/>
      <c r="AU65" s="394"/>
      <c r="AV65" s="394"/>
      <c r="AW65" s="394"/>
      <c r="AX65" s="394"/>
      <c r="AY65" s="394"/>
      <c r="AZ65" s="394"/>
      <c r="BA65" s="394"/>
      <c r="BB65" s="394"/>
      <c r="BC65" s="394"/>
      <c r="BD65" s="394"/>
      <c r="BE65" s="394"/>
      <c r="BF65" s="394"/>
      <c r="BG65" s="370" t="s">
        <v>6</v>
      </c>
      <c r="BH65" s="370"/>
      <c r="BI65" s="370"/>
      <c r="BJ65" s="370"/>
      <c r="BK65" s="370"/>
      <c r="BL65" s="370"/>
      <c r="BM65" s="370"/>
      <c r="BN65" s="370"/>
      <c r="BO65" s="370"/>
      <c r="BP65" s="370"/>
      <c r="BQ65" s="370"/>
      <c r="BR65" s="370"/>
      <c r="BS65" s="370"/>
      <c r="BT65" s="370"/>
      <c r="BU65" s="370"/>
      <c r="BV65" s="370"/>
      <c r="BW65" s="370"/>
      <c r="BX65" s="370"/>
      <c r="BY65" s="370"/>
      <c r="BZ65" s="370"/>
      <c r="CA65" s="370"/>
      <c r="CB65" s="370"/>
      <c r="CC65" s="370"/>
      <c r="CD65" s="370"/>
      <c r="CE65" s="370"/>
      <c r="CF65" s="370"/>
      <c r="CG65" s="370"/>
      <c r="CH65" s="370"/>
      <c r="CI65" s="370"/>
      <c r="CJ65" s="370"/>
      <c r="CK65" s="370"/>
      <c r="CL65" s="370"/>
      <c r="CM65" s="370"/>
      <c r="CN65" s="371" t="s">
        <v>7</v>
      </c>
      <c r="CO65" s="371"/>
      <c r="CP65" s="371"/>
      <c r="CQ65" s="372" t="s">
        <v>8</v>
      </c>
      <c r="CR65" s="372"/>
      <c r="CS65" s="372"/>
      <c r="CT65" s="372"/>
      <c r="CU65" s="372"/>
      <c r="CV65" s="372"/>
      <c r="CW65" s="372"/>
      <c r="CX65" s="372"/>
      <c r="CY65" s="372"/>
      <c r="CZ65" s="372"/>
      <c r="DA65" s="372"/>
      <c r="DB65" s="372"/>
      <c r="DC65" s="372"/>
      <c r="DD65" s="372"/>
      <c r="DE65" s="373"/>
    </row>
    <row r="66" spans="1:139" ht="15" customHeight="1">
      <c r="A66" s="375" t="s">
        <v>9</v>
      </c>
      <c r="B66" s="369"/>
      <c r="C66" s="369"/>
      <c r="D66" s="369"/>
      <c r="E66" s="369"/>
      <c r="F66" s="369"/>
      <c r="G66" s="369"/>
      <c r="H66" s="369"/>
      <c r="I66" s="369"/>
      <c r="J66" s="369"/>
      <c r="K66" s="369"/>
      <c r="L66" s="369"/>
      <c r="M66" s="369"/>
      <c r="N66" s="369"/>
      <c r="O66" s="369"/>
      <c r="P66" s="369"/>
      <c r="Q66" s="369"/>
      <c r="R66" s="369"/>
      <c r="S66" s="370" t="s">
        <v>10</v>
      </c>
      <c r="T66" s="370"/>
      <c r="U66" s="370"/>
      <c r="V66" s="370"/>
      <c r="W66" s="370"/>
      <c r="X66" s="370"/>
      <c r="Y66" s="370"/>
      <c r="Z66" s="370"/>
      <c r="AA66" s="370"/>
      <c r="AB66" s="370"/>
      <c r="AC66" s="370"/>
      <c r="AD66" s="370"/>
      <c r="AE66" s="369" t="s">
        <v>11</v>
      </c>
      <c r="AF66" s="369"/>
      <c r="AG66" s="369"/>
      <c r="AH66" s="369"/>
      <c r="AI66" s="369"/>
      <c r="AJ66" s="369"/>
      <c r="AK66" s="369"/>
      <c r="AL66" s="369"/>
      <c r="AM66" s="369"/>
      <c r="AN66" s="369"/>
      <c r="AO66" s="369"/>
      <c r="AP66" s="369"/>
      <c r="AQ66" s="369"/>
      <c r="AR66" s="369"/>
      <c r="AS66" s="370" t="s">
        <v>12</v>
      </c>
      <c r="AT66" s="370"/>
      <c r="AU66" s="370"/>
      <c r="AV66" s="370"/>
      <c r="AW66" s="370"/>
      <c r="AX66" s="370"/>
      <c r="AY66" s="370"/>
      <c r="AZ66" s="370"/>
      <c r="BA66" s="370"/>
      <c r="BB66" s="370"/>
      <c r="BC66" s="370"/>
      <c r="BD66" s="370"/>
      <c r="BE66" s="370"/>
      <c r="BF66" s="370"/>
      <c r="BG66" s="370"/>
      <c r="BH66" s="370"/>
      <c r="BI66" s="370"/>
      <c r="BJ66" s="370"/>
      <c r="BK66" s="370"/>
      <c r="BL66" s="370"/>
      <c r="BM66" s="370"/>
      <c r="BN66" s="370"/>
      <c r="BO66" s="370"/>
      <c r="BP66" s="370"/>
      <c r="BQ66" s="370"/>
      <c r="BR66" s="370"/>
      <c r="BS66" s="370"/>
      <c r="BT66" s="370"/>
      <c r="BU66" s="370"/>
      <c r="BV66" s="370"/>
      <c r="BW66" s="370"/>
      <c r="BX66" s="370"/>
      <c r="BY66" s="370"/>
      <c r="BZ66" s="370"/>
      <c r="CA66" s="370"/>
      <c r="CB66" s="370"/>
      <c r="CC66" s="370"/>
      <c r="CD66" s="370"/>
      <c r="CE66" s="370"/>
      <c r="CF66" s="370"/>
      <c r="CG66" s="370"/>
      <c r="CH66" s="370"/>
      <c r="CI66" s="370"/>
      <c r="CJ66" s="370"/>
      <c r="CK66" s="370"/>
      <c r="CL66" s="370"/>
      <c r="CM66" s="370"/>
      <c r="CN66" s="371"/>
      <c r="CO66" s="371"/>
      <c r="CP66" s="371"/>
      <c r="CQ66" s="372" t="s">
        <v>13</v>
      </c>
      <c r="CR66" s="372"/>
      <c r="CS66" s="372"/>
      <c r="CT66" s="372"/>
      <c r="CU66" s="372"/>
      <c r="CV66" s="372"/>
      <c r="CW66" s="372"/>
      <c r="CX66" s="372"/>
      <c r="CY66" s="372"/>
      <c r="CZ66" s="372"/>
      <c r="DA66" s="372"/>
      <c r="DB66" s="372"/>
      <c r="DC66" s="372"/>
      <c r="DD66" s="372"/>
      <c r="DE66" s="373"/>
    </row>
    <row r="67" spans="1:139" ht="15" customHeight="1">
      <c r="A67" s="375" t="s">
        <v>14</v>
      </c>
      <c r="B67" s="369"/>
      <c r="C67" s="369"/>
      <c r="D67" s="369"/>
      <c r="E67" s="369"/>
      <c r="F67" s="369"/>
      <c r="G67" s="369"/>
      <c r="H67" s="369"/>
      <c r="I67" s="369"/>
      <c r="J67" s="369"/>
      <c r="K67" s="369"/>
      <c r="L67" s="369"/>
      <c r="M67" s="369"/>
      <c r="N67" s="369"/>
      <c r="O67" s="369"/>
      <c r="P67" s="369"/>
      <c r="Q67" s="369"/>
      <c r="R67" s="369"/>
      <c r="S67" s="370" t="s">
        <v>15</v>
      </c>
      <c r="T67" s="370"/>
      <c r="U67" s="370"/>
      <c r="V67" s="370"/>
      <c r="W67" s="370"/>
      <c r="X67" s="370"/>
      <c r="Y67" s="370"/>
      <c r="Z67" s="370"/>
      <c r="AA67" s="370"/>
      <c r="AB67" s="370"/>
      <c r="AC67" s="370"/>
      <c r="AD67" s="370"/>
      <c r="AE67" s="369" t="s">
        <v>16</v>
      </c>
      <c r="AF67" s="369"/>
      <c r="AG67" s="369"/>
      <c r="AH67" s="369"/>
      <c r="AI67" s="369"/>
      <c r="AJ67" s="369"/>
      <c r="AK67" s="369"/>
      <c r="AL67" s="369"/>
      <c r="AM67" s="369"/>
      <c r="AN67" s="369"/>
      <c r="AO67" s="369"/>
      <c r="AP67" s="369"/>
      <c r="AQ67" s="369"/>
      <c r="AR67" s="369"/>
      <c r="AS67" s="370" t="s">
        <v>17</v>
      </c>
      <c r="AT67" s="370"/>
      <c r="AU67" s="370"/>
      <c r="AV67" s="370"/>
      <c r="AW67" s="370"/>
      <c r="AX67" s="370"/>
      <c r="AY67" s="370"/>
      <c r="AZ67" s="370"/>
      <c r="BA67" s="370"/>
      <c r="BB67" s="370"/>
      <c r="BC67" s="370"/>
      <c r="BD67" s="370"/>
      <c r="BE67" s="370"/>
      <c r="BF67" s="370"/>
      <c r="BG67" s="370"/>
      <c r="BH67" s="370"/>
      <c r="BI67" s="370"/>
      <c r="BJ67" s="370"/>
      <c r="BK67" s="370"/>
      <c r="BL67" s="370"/>
      <c r="BM67" s="370"/>
      <c r="BN67" s="370"/>
      <c r="BO67" s="370"/>
      <c r="BP67" s="370"/>
      <c r="BQ67" s="370"/>
      <c r="BR67" s="370"/>
      <c r="BS67" s="370"/>
      <c r="BT67" s="370"/>
      <c r="BU67" s="370"/>
      <c r="BV67" s="370"/>
      <c r="BW67" s="370"/>
      <c r="BX67" s="370"/>
      <c r="BY67" s="370"/>
      <c r="BZ67" s="370"/>
      <c r="CA67" s="370"/>
      <c r="CB67" s="370"/>
      <c r="CC67" s="370"/>
      <c r="CD67" s="370"/>
      <c r="CE67" s="370"/>
      <c r="CF67" s="370"/>
      <c r="CG67" s="370"/>
      <c r="CH67" s="370"/>
      <c r="CI67" s="370"/>
      <c r="CJ67" s="370"/>
      <c r="CK67" s="370"/>
      <c r="CL67" s="370"/>
      <c r="CM67" s="370"/>
      <c r="CN67" s="371"/>
      <c r="CO67" s="371"/>
      <c r="CP67" s="371"/>
      <c r="CQ67" s="372" t="s">
        <v>18</v>
      </c>
      <c r="CR67" s="372"/>
      <c r="CS67" s="372"/>
      <c r="CT67" s="372"/>
      <c r="CU67" s="372"/>
      <c r="CV67" s="372"/>
      <c r="CW67" s="372"/>
      <c r="CX67" s="372"/>
      <c r="CY67" s="372"/>
      <c r="CZ67" s="372"/>
      <c r="DA67" s="372"/>
      <c r="DB67" s="372"/>
      <c r="DC67" s="372"/>
      <c r="DD67" s="372"/>
      <c r="DE67" s="373"/>
    </row>
    <row r="68" spans="1:139" ht="15" customHeight="1">
      <c r="A68" s="446" t="s">
        <v>114</v>
      </c>
      <c r="B68" s="447"/>
      <c r="C68" s="447"/>
      <c r="D68" s="447"/>
      <c r="E68" s="447"/>
      <c r="F68" s="447"/>
      <c r="G68" s="447"/>
      <c r="H68" s="447"/>
      <c r="I68" s="447"/>
      <c r="J68" s="447"/>
      <c r="K68" s="447"/>
      <c r="L68" s="447"/>
      <c r="M68" s="447"/>
      <c r="N68" s="447"/>
      <c r="O68" s="447"/>
      <c r="P68" s="447"/>
      <c r="Q68" s="447"/>
      <c r="R68" s="447"/>
      <c r="S68" s="447"/>
      <c r="T68" s="447"/>
      <c r="U68" s="447"/>
      <c r="V68" s="447"/>
      <c r="W68" s="447"/>
      <c r="X68" s="447"/>
      <c r="Y68" s="447"/>
      <c r="Z68" s="447"/>
      <c r="AA68" s="447"/>
      <c r="AB68" s="447"/>
      <c r="AC68" s="447"/>
      <c r="AD68" s="447"/>
      <c r="AE68" s="447"/>
      <c r="AF68" s="447"/>
      <c r="AG68" s="447"/>
      <c r="AH68" s="447"/>
      <c r="AI68" s="447"/>
      <c r="AJ68" s="447"/>
      <c r="AK68" s="447"/>
      <c r="AL68" s="447"/>
      <c r="AM68" s="447"/>
      <c r="AN68" s="447"/>
      <c r="AO68" s="447"/>
      <c r="AP68" s="447"/>
      <c r="AQ68" s="447"/>
      <c r="AR68" s="447"/>
      <c r="AS68" s="447"/>
      <c r="AT68" s="447"/>
      <c r="AU68" s="447"/>
      <c r="AV68" s="447"/>
      <c r="AW68" s="447"/>
      <c r="AX68" s="447"/>
      <c r="AY68" s="447"/>
      <c r="AZ68" s="447"/>
      <c r="BA68" s="447"/>
      <c r="BB68" s="447"/>
      <c r="BC68" s="447"/>
      <c r="BD68" s="447"/>
      <c r="BE68" s="447"/>
      <c r="BF68" s="447"/>
      <c r="BG68" s="447"/>
      <c r="BH68" s="447"/>
      <c r="BI68" s="447"/>
      <c r="BJ68" s="447"/>
      <c r="BK68" s="447"/>
      <c r="BL68" s="447"/>
      <c r="BM68" s="447"/>
      <c r="BN68" s="447"/>
      <c r="BO68" s="447"/>
      <c r="BP68" s="447"/>
      <c r="BQ68" s="447"/>
      <c r="BR68" s="447"/>
      <c r="BS68" s="447"/>
      <c r="BT68" s="447"/>
      <c r="BU68" s="447"/>
      <c r="BV68" s="447"/>
      <c r="BW68" s="447"/>
      <c r="BX68" s="447"/>
      <c r="BY68" s="447"/>
      <c r="BZ68" s="447"/>
      <c r="CA68" s="447"/>
      <c r="CB68" s="447"/>
      <c r="CC68" s="447"/>
      <c r="CD68" s="447"/>
      <c r="CE68" s="447"/>
      <c r="CF68" s="447"/>
      <c r="CG68" s="447"/>
      <c r="CH68" s="447"/>
      <c r="CI68" s="447"/>
      <c r="CJ68" s="447"/>
      <c r="CK68" s="447"/>
      <c r="CL68" s="447"/>
      <c r="CM68" s="447"/>
      <c r="CN68" s="447"/>
      <c r="CO68" s="447"/>
      <c r="CP68" s="447"/>
      <c r="CQ68" s="447"/>
      <c r="CR68" s="447"/>
      <c r="CS68" s="447"/>
      <c r="CT68" s="447"/>
      <c r="CU68" s="447"/>
      <c r="CV68" s="447"/>
      <c r="CW68" s="447"/>
      <c r="CX68" s="447"/>
      <c r="CY68" s="447"/>
      <c r="CZ68" s="447"/>
      <c r="DA68" s="447"/>
      <c r="DB68" s="447"/>
      <c r="DC68" s="447"/>
      <c r="DD68" s="447"/>
      <c r="DE68" s="448"/>
    </row>
    <row r="69" spans="1:139" ht="15" customHeight="1">
      <c r="A69" s="493" t="s">
        <v>115</v>
      </c>
      <c r="B69" s="489"/>
      <c r="C69" s="489"/>
      <c r="D69" s="489"/>
      <c r="E69" s="489"/>
      <c r="F69" s="489"/>
      <c r="G69" s="489"/>
      <c r="H69" s="489"/>
      <c r="I69" s="489"/>
      <c r="J69" s="489"/>
      <c r="K69" s="489"/>
      <c r="L69" s="455"/>
      <c r="M69" s="455"/>
      <c r="N69" s="455"/>
      <c r="O69" s="455"/>
      <c r="P69" s="455"/>
      <c r="Q69" s="455"/>
      <c r="R69" s="455"/>
      <c r="S69" s="455"/>
      <c r="T69" s="455"/>
      <c r="U69" s="455"/>
      <c r="V69" s="455"/>
      <c r="W69" s="455"/>
      <c r="X69" s="455"/>
      <c r="Y69" s="455"/>
      <c r="Z69" s="455"/>
      <c r="AA69" s="455"/>
      <c r="AB69" s="455" t="s">
        <v>116</v>
      </c>
      <c r="AC69" s="455"/>
      <c r="AD69" s="455"/>
      <c r="AE69" s="455"/>
      <c r="AF69" s="455"/>
      <c r="AG69" s="455"/>
      <c r="AH69" s="455"/>
      <c r="AI69" s="455"/>
      <c r="AJ69" s="455"/>
      <c r="AK69" s="455"/>
      <c r="AL69" s="455"/>
      <c r="AM69" s="490" t="s">
        <v>117</v>
      </c>
      <c r="AN69" s="490"/>
      <c r="AO69" s="490"/>
      <c r="AP69" s="490"/>
      <c r="AQ69" s="490"/>
      <c r="AR69" s="490"/>
      <c r="AS69" s="490"/>
      <c r="AT69" s="490"/>
      <c r="AU69" s="490"/>
      <c r="AV69" s="490"/>
      <c r="AW69" s="490"/>
      <c r="AX69" s="490"/>
      <c r="AY69" s="490"/>
      <c r="AZ69" s="490"/>
      <c r="BA69" s="490"/>
      <c r="BB69" s="490"/>
      <c r="BC69" s="490"/>
      <c r="BD69" s="490"/>
      <c r="BE69" s="490"/>
      <c r="BF69" s="455" t="s">
        <v>118</v>
      </c>
      <c r="BG69" s="455"/>
      <c r="BH69" s="455"/>
      <c r="BI69" s="455"/>
      <c r="BJ69" s="455"/>
      <c r="BK69" s="455"/>
      <c r="BL69" s="455"/>
      <c r="BM69" s="455"/>
      <c r="BN69" s="455"/>
      <c r="BO69" s="455"/>
      <c r="BP69" s="455"/>
      <c r="BQ69" s="455"/>
      <c r="BR69" s="455"/>
      <c r="BS69" s="455"/>
      <c r="BT69" s="455"/>
      <c r="BU69" s="455"/>
      <c r="BV69" s="455"/>
      <c r="BW69" s="455"/>
      <c r="BX69" s="455"/>
      <c r="BY69" s="455"/>
      <c r="BZ69" s="455"/>
      <c r="CA69" s="455"/>
      <c r="CB69" s="455"/>
      <c r="CC69" s="455"/>
      <c r="CD69" s="455"/>
      <c r="CE69" s="455"/>
      <c r="CF69" s="455"/>
      <c r="CG69" s="455"/>
      <c r="CH69" s="455"/>
      <c r="CI69" s="455"/>
      <c r="CJ69" s="455"/>
      <c r="CK69" s="455"/>
      <c r="CL69" s="455"/>
      <c r="CM69" s="455"/>
      <c r="CN69" s="455"/>
      <c r="CO69" s="491"/>
      <c r="CP69" s="491"/>
      <c r="CQ69" s="491"/>
      <c r="CR69" s="491"/>
      <c r="CS69" s="491"/>
      <c r="CT69" s="491"/>
      <c r="CU69" s="491"/>
      <c r="CV69" s="491"/>
      <c r="CW69" s="491"/>
      <c r="CX69" s="491"/>
      <c r="CY69" s="491"/>
      <c r="CZ69" s="491"/>
      <c r="DA69" s="491"/>
      <c r="DB69" s="491"/>
      <c r="DC69" s="491"/>
      <c r="DD69" s="491"/>
      <c r="DE69" s="492"/>
    </row>
    <row r="70" spans="1:139" ht="15" customHeight="1">
      <c r="A70" s="493" t="s">
        <v>119</v>
      </c>
      <c r="B70" s="489"/>
      <c r="C70" s="489"/>
      <c r="D70" s="489"/>
      <c r="E70" s="489"/>
      <c r="F70" s="489"/>
      <c r="G70" s="489"/>
      <c r="H70" s="489"/>
      <c r="I70" s="489"/>
      <c r="J70" s="489"/>
      <c r="K70" s="489"/>
      <c r="L70" s="455"/>
      <c r="M70" s="455"/>
      <c r="N70" s="455"/>
      <c r="O70" s="455"/>
      <c r="P70" s="455"/>
      <c r="Q70" s="455"/>
      <c r="R70" s="455"/>
      <c r="S70" s="455"/>
      <c r="T70" s="455"/>
      <c r="U70" s="455"/>
      <c r="V70" s="455"/>
      <c r="W70" s="489" t="s">
        <v>120</v>
      </c>
      <c r="X70" s="489"/>
      <c r="Y70" s="489"/>
      <c r="Z70" s="489"/>
      <c r="AA70" s="489"/>
      <c r="AB70" s="489"/>
      <c r="AC70" s="489"/>
      <c r="AD70" s="489"/>
      <c r="AE70" s="489"/>
      <c r="AF70" s="494" t="s">
        <v>7</v>
      </c>
      <c r="AG70" s="494"/>
      <c r="AH70" s="494"/>
      <c r="AI70" s="455" t="s">
        <v>121</v>
      </c>
      <c r="AJ70" s="455"/>
      <c r="AK70" s="455"/>
      <c r="AL70" s="455"/>
      <c r="AM70" s="455"/>
      <c r="AN70" s="455"/>
      <c r="AO70" s="455"/>
      <c r="AP70" s="455"/>
      <c r="AQ70" s="455"/>
      <c r="AR70" s="455"/>
      <c r="AS70" s="494" t="s">
        <v>7</v>
      </c>
      <c r="AT70" s="494"/>
      <c r="AU70" s="494"/>
      <c r="AV70" s="490" t="s">
        <v>122</v>
      </c>
      <c r="AW70" s="490"/>
      <c r="AX70" s="490"/>
      <c r="AY70" s="490"/>
      <c r="AZ70" s="490"/>
      <c r="BA70" s="490"/>
      <c r="BB70" s="490"/>
      <c r="BC70" s="490"/>
      <c r="BD70" s="490"/>
      <c r="BE70" s="490"/>
      <c r="BF70" s="455" t="s">
        <v>123</v>
      </c>
      <c r="BG70" s="455"/>
      <c r="BH70" s="455"/>
      <c r="BI70" s="455"/>
      <c r="BJ70" s="455"/>
      <c r="BK70" s="455"/>
      <c r="BL70" s="455"/>
      <c r="BM70" s="455"/>
      <c r="BN70" s="455"/>
      <c r="BO70" s="455"/>
      <c r="BP70" s="455"/>
      <c r="BQ70" s="455"/>
      <c r="BR70" s="455"/>
      <c r="BS70" s="455"/>
      <c r="BT70" s="455"/>
      <c r="BU70" s="455"/>
      <c r="BV70" s="455"/>
      <c r="BW70" s="455"/>
      <c r="BX70" s="455"/>
      <c r="BY70" s="455"/>
      <c r="BZ70" s="455"/>
      <c r="CA70" s="455"/>
      <c r="CB70" s="455"/>
      <c r="CC70" s="455"/>
      <c r="CD70" s="455"/>
      <c r="CE70" s="455"/>
      <c r="CF70" s="455"/>
      <c r="CG70" s="455"/>
      <c r="CH70" s="455"/>
      <c r="CI70" s="455"/>
      <c r="CJ70" s="455"/>
      <c r="CK70" s="455"/>
      <c r="CL70" s="455"/>
      <c r="CM70" s="455"/>
      <c r="CN70" s="455"/>
      <c r="CO70" s="491"/>
      <c r="CP70" s="491"/>
      <c r="CQ70" s="491"/>
      <c r="CR70" s="491"/>
      <c r="CS70" s="491"/>
      <c r="CT70" s="491"/>
      <c r="CU70" s="491"/>
      <c r="CV70" s="491"/>
      <c r="CW70" s="491"/>
      <c r="CX70" s="491"/>
      <c r="CY70" s="491"/>
      <c r="CZ70" s="491"/>
      <c r="DA70" s="491"/>
      <c r="DB70" s="491"/>
      <c r="DC70" s="491"/>
      <c r="DD70" s="491"/>
      <c r="DE70" s="492"/>
    </row>
    <row r="71" spans="1:139" ht="15" customHeight="1">
      <c r="A71" s="446" t="s">
        <v>103</v>
      </c>
      <c r="B71" s="447"/>
      <c r="C71" s="447"/>
      <c r="D71" s="447"/>
      <c r="E71" s="447"/>
      <c r="F71" s="447"/>
      <c r="G71" s="447"/>
      <c r="H71" s="447"/>
      <c r="I71" s="447"/>
      <c r="J71" s="447"/>
      <c r="K71" s="447"/>
      <c r="L71" s="447"/>
      <c r="M71" s="447"/>
      <c r="N71" s="447"/>
      <c r="O71" s="447"/>
      <c r="P71" s="447"/>
      <c r="Q71" s="447"/>
      <c r="R71" s="447"/>
      <c r="S71" s="447"/>
      <c r="T71" s="447"/>
      <c r="U71" s="447"/>
      <c r="V71" s="447"/>
      <c r="W71" s="447"/>
      <c r="X71" s="447"/>
      <c r="Y71" s="447"/>
      <c r="Z71" s="447"/>
      <c r="AA71" s="447"/>
      <c r="AB71" s="447"/>
      <c r="AC71" s="447"/>
      <c r="AD71" s="447"/>
      <c r="AE71" s="447"/>
      <c r="AF71" s="447"/>
      <c r="AG71" s="447"/>
      <c r="AH71" s="447"/>
      <c r="AI71" s="447"/>
      <c r="AJ71" s="447"/>
      <c r="AK71" s="447"/>
      <c r="AL71" s="447"/>
      <c r="AM71" s="447"/>
      <c r="AN71" s="447"/>
      <c r="AO71" s="447"/>
      <c r="AP71" s="447"/>
      <c r="AQ71" s="447"/>
      <c r="AR71" s="447"/>
      <c r="AS71" s="447"/>
      <c r="AT71" s="447"/>
      <c r="AU71" s="447"/>
      <c r="AV71" s="447"/>
      <c r="AW71" s="447"/>
      <c r="AX71" s="447"/>
      <c r="AY71" s="447"/>
      <c r="AZ71" s="447"/>
      <c r="BA71" s="447"/>
      <c r="BB71" s="447"/>
      <c r="BC71" s="447"/>
      <c r="BD71" s="447"/>
      <c r="BE71" s="447"/>
      <c r="BF71" s="447"/>
      <c r="BG71" s="447"/>
      <c r="BH71" s="447"/>
      <c r="BI71" s="447"/>
      <c r="BJ71" s="447"/>
      <c r="BK71" s="447"/>
      <c r="BL71" s="447"/>
      <c r="BM71" s="447"/>
      <c r="BN71" s="447"/>
      <c r="BO71" s="447"/>
      <c r="BP71" s="447"/>
      <c r="BQ71" s="447"/>
      <c r="BR71" s="447"/>
      <c r="BS71" s="447"/>
      <c r="BT71" s="447"/>
      <c r="BU71" s="447"/>
      <c r="BV71" s="447"/>
      <c r="BW71" s="447"/>
      <c r="BX71" s="447"/>
      <c r="BY71" s="447"/>
      <c r="BZ71" s="447"/>
      <c r="CA71" s="447"/>
      <c r="CB71" s="447"/>
      <c r="CC71" s="447"/>
      <c r="CD71" s="447"/>
      <c r="CE71" s="447"/>
      <c r="CF71" s="447"/>
      <c r="CG71" s="447"/>
      <c r="CH71" s="447"/>
      <c r="CI71" s="447"/>
      <c r="CJ71" s="447"/>
      <c r="CK71" s="447"/>
      <c r="CL71" s="447"/>
      <c r="CM71" s="447"/>
      <c r="CN71" s="447"/>
      <c r="CO71" s="447"/>
      <c r="CP71" s="447"/>
      <c r="CQ71" s="447"/>
      <c r="CR71" s="447"/>
      <c r="CS71" s="447"/>
      <c r="CT71" s="447"/>
      <c r="CU71" s="447"/>
      <c r="CV71" s="447"/>
      <c r="CW71" s="447"/>
      <c r="CX71" s="447"/>
      <c r="CY71" s="447"/>
      <c r="CZ71" s="447"/>
      <c r="DA71" s="447"/>
      <c r="DB71" s="447"/>
      <c r="DC71" s="447"/>
      <c r="DD71" s="447"/>
      <c r="DE71" s="448"/>
      <c r="DF71" s="2"/>
      <c r="DG71" s="2"/>
      <c r="DH71" s="2"/>
      <c r="DI71" s="2"/>
      <c r="DJ71" s="27"/>
      <c r="DK71" s="27"/>
      <c r="DL71" s="27"/>
      <c r="DM71" s="27"/>
      <c r="DN71" s="27"/>
      <c r="DO71" s="27"/>
      <c r="DP71" s="2"/>
      <c r="DQ71" s="2"/>
      <c r="DR71" s="2"/>
      <c r="DS71" s="2"/>
      <c r="DT71" s="2"/>
      <c r="DU71" s="2"/>
      <c r="DV71" s="2"/>
      <c r="DW71" s="2"/>
      <c r="DX71" s="2"/>
      <c r="DY71" s="2"/>
      <c r="DZ71" s="2"/>
      <c r="EA71" s="2"/>
      <c r="EB71" s="2"/>
      <c r="EC71" s="2"/>
      <c r="ED71" s="2"/>
      <c r="EE71" s="2"/>
      <c r="EF71" s="2"/>
      <c r="EG71" s="2"/>
      <c r="EH71" s="2"/>
      <c r="EI71" s="2"/>
    </row>
    <row r="72" spans="1:139" ht="15" customHeight="1">
      <c r="A72" s="3"/>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CN72" s="4"/>
      <c r="CO72" s="4"/>
      <c r="CP72" s="4"/>
      <c r="CQ72" s="4"/>
      <c r="CR72" s="4"/>
      <c r="CS72" s="4"/>
      <c r="CT72" s="4"/>
      <c r="CU72" s="4"/>
      <c r="CV72" s="4"/>
      <c r="CW72" s="4"/>
      <c r="CX72" s="4"/>
      <c r="CY72" s="4"/>
      <c r="CZ72" s="4"/>
      <c r="DA72" s="4"/>
      <c r="DB72" s="4"/>
      <c r="DC72" s="4"/>
      <c r="DD72" s="4"/>
      <c r="DE72" s="23"/>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2"/>
      <c r="EI72" s="2"/>
    </row>
    <row r="73" spans="1:139" ht="15.75">
      <c r="A73" s="3"/>
      <c r="B73" s="483" t="s">
        <v>124</v>
      </c>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483"/>
      <c r="AK73" s="483"/>
      <c r="AL73" s="483" t="s">
        <v>125</v>
      </c>
      <c r="AM73" s="483"/>
      <c r="AN73" s="483"/>
      <c r="AO73" s="483" t="s">
        <v>126</v>
      </c>
      <c r="AP73" s="483"/>
      <c r="AQ73" s="483"/>
      <c r="AR73" s="483" t="s">
        <v>127</v>
      </c>
      <c r="AS73" s="483"/>
      <c r="AT73" s="483"/>
      <c r="AU73" s="483" t="s">
        <v>30</v>
      </c>
      <c r="AV73" s="483"/>
      <c r="AW73" s="483"/>
      <c r="AX73" s="483"/>
      <c r="AY73" s="483"/>
      <c r="AZ73" s="483"/>
      <c r="BA73" s="483"/>
      <c r="BB73" s="483"/>
      <c r="BC73" s="483"/>
      <c r="BD73" s="483"/>
      <c r="BE73" s="483"/>
      <c r="BF73" s="483"/>
      <c r="BG73" s="483"/>
      <c r="BH73" s="483"/>
      <c r="BI73" s="483"/>
      <c r="BJ73" s="483"/>
      <c r="BK73" s="483"/>
      <c r="BL73" s="483"/>
      <c r="BM73" s="483"/>
      <c r="BN73" s="483"/>
      <c r="BO73" s="483"/>
      <c r="BP73" s="483"/>
      <c r="BQ73" s="483"/>
      <c r="BR73" s="483"/>
      <c r="BS73" s="483"/>
      <c r="BT73" s="483"/>
      <c r="BU73" s="483"/>
      <c r="BV73" s="483"/>
      <c r="BW73" s="483"/>
      <c r="BX73" s="483"/>
      <c r="BY73" s="483"/>
      <c r="BZ73" s="483"/>
      <c r="CA73" s="483"/>
      <c r="CB73" s="483"/>
      <c r="CC73" s="483"/>
      <c r="CD73" s="483"/>
      <c r="CE73" s="483"/>
      <c r="CF73" s="483"/>
      <c r="CG73" s="483"/>
      <c r="CH73" s="483"/>
      <c r="CI73" s="483"/>
      <c r="CJ73" s="483"/>
      <c r="CK73" s="483"/>
      <c r="CL73" s="483"/>
      <c r="CM73" s="483"/>
      <c r="CN73" s="483"/>
      <c r="CO73" s="483"/>
      <c r="CP73" s="483"/>
      <c r="CQ73" s="483"/>
      <c r="CR73" s="483"/>
      <c r="CS73" s="483"/>
      <c r="CT73" s="483"/>
      <c r="CU73" s="483"/>
      <c r="CV73" s="483"/>
      <c r="CW73" s="483"/>
      <c r="CX73" s="483"/>
      <c r="CY73" s="483"/>
      <c r="CZ73" s="483"/>
      <c r="DA73" s="483"/>
      <c r="DB73" s="483"/>
      <c r="DC73" s="483"/>
      <c r="DD73" s="483"/>
      <c r="DE73" s="56"/>
      <c r="DF73" s="57"/>
      <c r="DG73" s="27"/>
      <c r="DH73" s="27"/>
      <c r="DI73" s="27"/>
      <c r="DJ73" s="27"/>
      <c r="DK73" s="2"/>
      <c r="DL73" s="2"/>
      <c r="DM73" s="2"/>
      <c r="DN73" s="2"/>
      <c r="DO73" s="2"/>
      <c r="DP73" s="2"/>
      <c r="DQ73" s="2"/>
      <c r="DR73" s="2"/>
      <c r="DS73" s="2"/>
      <c r="DT73" s="2"/>
      <c r="DU73" s="2"/>
      <c r="DV73" s="2"/>
      <c r="DW73" s="2"/>
      <c r="DX73" s="2"/>
      <c r="DY73" s="2"/>
      <c r="DZ73" s="2"/>
      <c r="EA73" s="2"/>
      <c r="EB73" s="2"/>
      <c r="EC73" s="2"/>
      <c r="ED73" s="2"/>
      <c r="EE73" s="2"/>
      <c r="EF73" s="2"/>
      <c r="EG73" s="2"/>
      <c r="EH73" s="2"/>
    </row>
    <row r="74" spans="1:139" ht="15" customHeight="1">
      <c r="A74" s="3"/>
      <c r="B74" s="489" t="s">
        <v>128</v>
      </c>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c r="AA74" s="489"/>
      <c r="AB74" s="489"/>
      <c r="AC74" s="489"/>
      <c r="AD74" s="489"/>
      <c r="AE74" s="489"/>
      <c r="AF74" s="489"/>
      <c r="AG74" s="489"/>
      <c r="AH74" s="489"/>
      <c r="AI74" s="489"/>
      <c r="AJ74" s="489"/>
      <c r="AK74" s="489"/>
      <c r="AL74" s="371" t="s">
        <v>7</v>
      </c>
      <c r="AM74" s="371"/>
      <c r="AN74" s="371"/>
      <c r="AO74" s="371"/>
      <c r="AP74" s="371"/>
      <c r="AQ74" s="371"/>
      <c r="AR74" s="371"/>
      <c r="AS74" s="371"/>
      <c r="AT74" s="371"/>
      <c r="AU74" s="455" t="s">
        <v>129</v>
      </c>
      <c r="AV74" s="455"/>
      <c r="AW74" s="455"/>
      <c r="AX74" s="455"/>
      <c r="AY74" s="455"/>
      <c r="AZ74" s="455"/>
      <c r="BA74" s="455"/>
      <c r="BB74" s="455"/>
      <c r="BC74" s="455"/>
      <c r="BD74" s="455"/>
      <c r="BE74" s="455"/>
      <c r="BF74" s="455"/>
      <c r="BG74" s="455"/>
      <c r="BH74" s="455"/>
      <c r="BI74" s="455"/>
      <c r="BJ74" s="455"/>
      <c r="BK74" s="455"/>
      <c r="BL74" s="455"/>
      <c r="BM74" s="455"/>
      <c r="BN74" s="455"/>
      <c r="BO74" s="455"/>
      <c r="BP74" s="455"/>
      <c r="BQ74" s="455"/>
      <c r="BR74" s="455"/>
      <c r="BS74" s="455"/>
      <c r="BT74" s="455"/>
      <c r="BU74" s="455"/>
      <c r="BV74" s="455"/>
      <c r="BW74" s="455"/>
      <c r="BX74" s="455"/>
      <c r="BY74" s="455"/>
      <c r="BZ74" s="455"/>
      <c r="CA74" s="455"/>
      <c r="CB74" s="455"/>
      <c r="CC74" s="455"/>
      <c r="CD74" s="455"/>
      <c r="CE74" s="455"/>
      <c r="CF74" s="455"/>
      <c r="CG74" s="455"/>
      <c r="CH74" s="455"/>
      <c r="CI74" s="455"/>
      <c r="CJ74" s="455"/>
      <c r="CK74" s="455"/>
      <c r="CL74" s="455"/>
      <c r="CM74" s="455"/>
      <c r="CN74" s="455"/>
      <c r="CO74" s="455"/>
      <c r="CP74" s="455"/>
      <c r="CQ74" s="455"/>
      <c r="CR74" s="455"/>
      <c r="CS74" s="455"/>
      <c r="CT74" s="455"/>
      <c r="CU74" s="455"/>
      <c r="CV74" s="455"/>
      <c r="CW74" s="455"/>
      <c r="CX74" s="455"/>
      <c r="CY74" s="455"/>
      <c r="CZ74" s="455"/>
      <c r="DA74" s="455"/>
      <c r="DB74" s="455"/>
      <c r="DC74" s="455"/>
      <c r="DD74" s="455"/>
      <c r="DE74" s="56"/>
      <c r="DF74" s="27"/>
      <c r="DG74" s="27"/>
      <c r="DH74" s="27"/>
      <c r="DI74" s="27"/>
      <c r="DJ74" s="27"/>
      <c r="DK74" s="27"/>
      <c r="DL74" s="2"/>
      <c r="DM74" s="2"/>
      <c r="DN74" s="2"/>
      <c r="DO74" s="2"/>
      <c r="DP74" s="2"/>
      <c r="DQ74" s="2"/>
      <c r="DR74" s="2"/>
      <c r="DS74" s="2"/>
      <c r="DT74" s="2"/>
      <c r="DU74" s="2"/>
      <c r="DV74" s="2"/>
      <c r="DW74" s="2"/>
      <c r="DX74" s="2"/>
      <c r="DY74" s="2"/>
      <c r="DZ74" s="2"/>
      <c r="EA74" s="2"/>
      <c r="EB74" s="2"/>
      <c r="EC74" s="2"/>
      <c r="ED74" s="2"/>
      <c r="EE74" s="2"/>
      <c r="EF74" s="2"/>
      <c r="EG74" s="2"/>
      <c r="EH74" s="2"/>
      <c r="EI74" s="2"/>
    </row>
    <row r="75" spans="1:139" ht="15.75">
      <c r="A75" s="3"/>
      <c r="B75" s="489" t="s">
        <v>130</v>
      </c>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c r="AA75" s="489"/>
      <c r="AB75" s="489"/>
      <c r="AC75" s="489"/>
      <c r="AD75" s="489"/>
      <c r="AE75" s="489"/>
      <c r="AF75" s="489"/>
      <c r="AG75" s="489"/>
      <c r="AH75" s="489"/>
      <c r="AI75" s="489"/>
      <c r="AJ75" s="489"/>
      <c r="AK75" s="489"/>
      <c r="AL75" s="371" t="s">
        <v>7</v>
      </c>
      <c r="AM75" s="371"/>
      <c r="AN75" s="371"/>
      <c r="AO75" s="371"/>
      <c r="AP75" s="371"/>
      <c r="AQ75" s="371"/>
      <c r="AR75" s="371"/>
      <c r="AS75" s="371"/>
      <c r="AT75" s="371"/>
      <c r="AU75" s="455" t="s">
        <v>131</v>
      </c>
      <c r="AV75" s="455"/>
      <c r="AW75" s="455"/>
      <c r="AX75" s="455"/>
      <c r="AY75" s="455"/>
      <c r="AZ75" s="455"/>
      <c r="BA75" s="455"/>
      <c r="BB75" s="455"/>
      <c r="BC75" s="455"/>
      <c r="BD75" s="455"/>
      <c r="BE75" s="455"/>
      <c r="BF75" s="455"/>
      <c r="BG75" s="455"/>
      <c r="BH75" s="455"/>
      <c r="BI75" s="455"/>
      <c r="BJ75" s="455"/>
      <c r="BK75" s="455"/>
      <c r="BL75" s="455"/>
      <c r="BM75" s="455"/>
      <c r="BN75" s="455"/>
      <c r="BO75" s="455"/>
      <c r="BP75" s="455"/>
      <c r="BQ75" s="455"/>
      <c r="BR75" s="455"/>
      <c r="BS75" s="455"/>
      <c r="BT75" s="455"/>
      <c r="BU75" s="455"/>
      <c r="BV75" s="455"/>
      <c r="BW75" s="455"/>
      <c r="BX75" s="455"/>
      <c r="BY75" s="455"/>
      <c r="BZ75" s="455"/>
      <c r="CA75" s="455"/>
      <c r="CB75" s="455"/>
      <c r="CC75" s="455"/>
      <c r="CD75" s="455"/>
      <c r="CE75" s="455"/>
      <c r="CF75" s="455"/>
      <c r="CG75" s="455"/>
      <c r="CH75" s="455"/>
      <c r="CI75" s="455"/>
      <c r="CJ75" s="455"/>
      <c r="CK75" s="455"/>
      <c r="CL75" s="455"/>
      <c r="CM75" s="455"/>
      <c r="CN75" s="455"/>
      <c r="CO75" s="455"/>
      <c r="CP75" s="455"/>
      <c r="CQ75" s="455"/>
      <c r="CR75" s="455"/>
      <c r="CS75" s="455"/>
      <c r="CT75" s="455"/>
      <c r="CU75" s="455"/>
      <c r="CV75" s="455"/>
      <c r="CW75" s="455"/>
      <c r="CX75" s="455"/>
      <c r="CY75" s="455"/>
      <c r="CZ75" s="455"/>
      <c r="DA75" s="455"/>
      <c r="DB75" s="455"/>
      <c r="DC75" s="455"/>
      <c r="DD75" s="455"/>
      <c r="DE75" s="56"/>
      <c r="DF75" s="27"/>
      <c r="DG75" s="27"/>
      <c r="DH75" s="27"/>
      <c r="DI75" s="27"/>
      <c r="DJ75" s="27"/>
      <c r="DK75" s="27"/>
      <c r="DL75" s="2"/>
      <c r="DM75" s="2"/>
      <c r="DN75" s="2"/>
      <c r="DO75" s="2"/>
      <c r="DP75" s="2"/>
      <c r="DQ75" s="2"/>
      <c r="DR75" s="2"/>
      <c r="DS75" s="2"/>
      <c r="DT75" s="2"/>
      <c r="DU75" s="2"/>
      <c r="DV75" s="2"/>
      <c r="DW75" s="2"/>
      <c r="DX75" s="2"/>
      <c r="DY75" s="2"/>
      <c r="DZ75" s="2"/>
      <c r="EA75" s="2"/>
      <c r="EB75" s="2"/>
      <c r="EC75" s="2"/>
      <c r="ED75" s="2"/>
      <c r="EE75" s="2"/>
      <c r="EF75" s="2"/>
      <c r="EG75" s="2"/>
      <c r="EH75" s="2"/>
      <c r="EI75" s="2"/>
    </row>
    <row r="76" spans="1:139" ht="15.75">
      <c r="A76" s="3"/>
      <c r="B76" s="489" t="s">
        <v>132</v>
      </c>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c r="AA76" s="489"/>
      <c r="AB76" s="489"/>
      <c r="AC76" s="489"/>
      <c r="AD76" s="489"/>
      <c r="AE76" s="489"/>
      <c r="AF76" s="489"/>
      <c r="AG76" s="489"/>
      <c r="AH76" s="489"/>
      <c r="AI76" s="489"/>
      <c r="AJ76" s="489"/>
      <c r="AK76" s="489"/>
      <c r="AL76" s="371" t="s">
        <v>7</v>
      </c>
      <c r="AM76" s="371"/>
      <c r="AN76" s="371"/>
      <c r="AO76" s="371"/>
      <c r="AP76" s="371"/>
      <c r="AQ76" s="371"/>
      <c r="AR76" s="371"/>
      <c r="AS76" s="371"/>
      <c r="AT76" s="371"/>
      <c r="AU76" s="455" t="s">
        <v>133</v>
      </c>
      <c r="AV76" s="455"/>
      <c r="AW76" s="455"/>
      <c r="AX76" s="455"/>
      <c r="AY76" s="455"/>
      <c r="AZ76" s="455"/>
      <c r="BA76" s="455"/>
      <c r="BB76" s="455"/>
      <c r="BC76" s="455"/>
      <c r="BD76" s="455"/>
      <c r="BE76" s="455"/>
      <c r="BF76" s="455"/>
      <c r="BG76" s="455"/>
      <c r="BH76" s="455"/>
      <c r="BI76" s="455"/>
      <c r="BJ76" s="455"/>
      <c r="BK76" s="455"/>
      <c r="BL76" s="455"/>
      <c r="BM76" s="455"/>
      <c r="BN76" s="455"/>
      <c r="BO76" s="455"/>
      <c r="BP76" s="455"/>
      <c r="BQ76" s="455"/>
      <c r="BR76" s="455"/>
      <c r="BS76" s="455"/>
      <c r="BT76" s="455"/>
      <c r="BU76" s="455"/>
      <c r="BV76" s="455"/>
      <c r="BW76" s="455"/>
      <c r="BX76" s="455"/>
      <c r="BY76" s="455"/>
      <c r="BZ76" s="455"/>
      <c r="CA76" s="455"/>
      <c r="CB76" s="455"/>
      <c r="CC76" s="455"/>
      <c r="CD76" s="455"/>
      <c r="CE76" s="455"/>
      <c r="CF76" s="455"/>
      <c r="CG76" s="455"/>
      <c r="CH76" s="455"/>
      <c r="CI76" s="455"/>
      <c r="CJ76" s="455"/>
      <c r="CK76" s="455"/>
      <c r="CL76" s="455"/>
      <c r="CM76" s="455"/>
      <c r="CN76" s="455"/>
      <c r="CO76" s="455"/>
      <c r="CP76" s="455"/>
      <c r="CQ76" s="455"/>
      <c r="CR76" s="455"/>
      <c r="CS76" s="455"/>
      <c r="CT76" s="455"/>
      <c r="CU76" s="455"/>
      <c r="CV76" s="455"/>
      <c r="CW76" s="455"/>
      <c r="CX76" s="455"/>
      <c r="CY76" s="455"/>
      <c r="CZ76" s="455"/>
      <c r="DA76" s="455"/>
      <c r="DB76" s="455"/>
      <c r="DC76" s="455"/>
      <c r="DD76" s="455"/>
      <c r="DE76" s="56"/>
      <c r="DF76" s="27"/>
      <c r="DG76" s="27"/>
      <c r="DH76" s="27"/>
      <c r="DI76" s="27"/>
      <c r="DJ76" s="27"/>
      <c r="DK76" s="27"/>
      <c r="DL76" s="2"/>
      <c r="DM76" s="2"/>
      <c r="DN76" s="2"/>
      <c r="DO76" s="2"/>
      <c r="DP76" s="2"/>
      <c r="DQ76" s="2"/>
      <c r="DR76" s="2"/>
      <c r="DS76" s="2"/>
      <c r="DT76" s="2"/>
      <c r="DU76" s="2"/>
      <c r="DV76" s="2"/>
      <c r="DW76" s="2"/>
      <c r="DX76" s="2"/>
      <c r="DY76" s="2"/>
      <c r="DZ76" s="2"/>
      <c r="EA76" s="2"/>
      <c r="EB76" s="2"/>
      <c r="EC76" s="2"/>
      <c r="ED76" s="2"/>
      <c r="EE76" s="2"/>
      <c r="EF76" s="2"/>
      <c r="EG76" s="2"/>
      <c r="EH76" s="58"/>
      <c r="EI76" s="58"/>
    </row>
    <row r="77" spans="1:139" ht="15.75">
      <c r="A77" s="3"/>
      <c r="B77" s="489" t="s">
        <v>134</v>
      </c>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c r="AA77" s="489"/>
      <c r="AB77" s="489"/>
      <c r="AC77" s="489"/>
      <c r="AD77" s="489"/>
      <c r="AE77" s="489"/>
      <c r="AF77" s="489"/>
      <c r="AG77" s="489"/>
      <c r="AH77" s="489"/>
      <c r="AI77" s="489"/>
      <c r="AJ77" s="489"/>
      <c r="AK77" s="489"/>
      <c r="AL77" s="371" t="s">
        <v>7</v>
      </c>
      <c r="AM77" s="371"/>
      <c r="AN77" s="371"/>
      <c r="AO77" s="371"/>
      <c r="AP77" s="371"/>
      <c r="AQ77" s="371"/>
      <c r="AR77" s="371"/>
      <c r="AS77" s="371"/>
      <c r="AT77" s="371"/>
      <c r="AU77" s="455" t="s">
        <v>135</v>
      </c>
      <c r="AV77" s="455"/>
      <c r="AW77" s="455"/>
      <c r="AX77" s="455"/>
      <c r="AY77" s="455"/>
      <c r="AZ77" s="455"/>
      <c r="BA77" s="455"/>
      <c r="BB77" s="455"/>
      <c r="BC77" s="455"/>
      <c r="BD77" s="455"/>
      <c r="BE77" s="455"/>
      <c r="BF77" s="455"/>
      <c r="BG77" s="455"/>
      <c r="BH77" s="455"/>
      <c r="BI77" s="455"/>
      <c r="BJ77" s="455"/>
      <c r="BK77" s="455"/>
      <c r="BL77" s="455"/>
      <c r="BM77" s="455"/>
      <c r="BN77" s="455"/>
      <c r="BO77" s="455"/>
      <c r="BP77" s="455"/>
      <c r="BQ77" s="455"/>
      <c r="BR77" s="455"/>
      <c r="BS77" s="455"/>
      <c r="BT77" s="455"/>
      <c r="BU77" s="455"/>
      <c r="BV77" s="455"/>
      <c r="BW77" s="455"/>
      <c r="BX77" s="455"/>
      <c r="BY77" s="455"/>
      <c r="BZ77" s="455"/>
      <c r="CA77" s="455"/>
      <c r="CB77" s="455"/>
      <c r="CC77" s="455"/>
      <c r="CD77" s="455"/>
      <c r="CE77" s="455"/>
      <c r="CF77" s="455"/>
      <c r="CG77" s="455"/>
      <c r="CH77" s="455"/>
      <c r="CI77" s="455"/>
      <c r="CJ77" s="455"/>
      <c r="CK77" s="455"/>
      <c r="CL77" s="455"/>
      <c r="CM77" s="455"/>
      <c r="CN77" s="455"/>
      <c r="CO77" s="455"/>
      <c r="CP77" s="455"/>
      <c r="CQ77" s="455"/>
      <c r="CR77" s="455"/>
      <c r="CS77" s="455"/>
      <c r="CT77" s="455"/>
      <c r="CU77" s="455"/>
      <c r="CV77" s="455"/>
      <c r="CW77" s="455"/>
      <c r="CX77" s="455"/>
      <c r="CY77" s="455"/>
      <c r="CZ77" s="455"/>
      <c r="DA77" s="455"/>
      <c r="DB77" s="455"/>
      <c r="DC77" s="455"/>
      <c r="DD77" s="455"/>
      <c r="DE77" s="56"/>
      <c r="DF77" s="27"/>
      <c r="DG77" s="27"/>
      <c r="DH77" s="27"/>
      <c r="DI77" s="27"/>
      <c r="DJ77" s="27"/>
      <c r="DK77" s="27"/>
      <c r="DL77" s="2"/>
      <c r="DM77" s="2"/>
      <c r="DN77" s="2"/>
      <c r="DO77" s="2"/>
      <c r="DP77" s="2"/>
      <c r="DQ77" s="2"/>
      <c r="DR77" s="2"/>
      <c r="DS77" s="2"/>
      <c r="DT77" s="2"/>
      <c r="DU77" s="2"/>
      <c r="DV77" s="2"/>
      <c r="DW77" s="2"/>
      <c r="DX77" s="2"/>
      <c r="DY77" s="2"/>
      <c r="DZ77" s="2"/>
      <c r="EA77" s="2"/>
      <c r="EB77" s="2"/>
      <c r="EC77" s="2"/>
      <c r="ED77" s="2"/>
      <c r="EE77" s="2"/>
      <c r="EF77" s="2"/>
      <c r="EG77" s="2"/>
    </row>
    <row r="78" spans="1:139" ht="15" customHeight="1">
      <c r="A78" s="59"/>
      <c r="B78" s="483" t="s">
        <v>136</v>
      </c>
      <c r="C78" s="483"/>
      <c r="D78" s="483"/>
      <c r="E78" s="483"/>
      <c r="F78" s="483"/>
      <c r="G78" s="483"/>
      <c r="H78" s="483"/>
      <c r="I78" s="483"/>
      <c r="J78" s="483"/>
      <c r="K78" s="483"/>
      <c r="L78" s="483"/>
      <c r="M78" s="483"/>
      <c r="N78" s="483"/>
      <c r="O78" s="483"/>
      <c r="P78" s="483"/>
      <c r="Q78" s="483"/>
      <c r="R78" s="483"/>
      <c r="S78" s="483"/>
      <c r="T78" s="483"/>
      <c r="U78" s="483"/>
      <c r="V78" s="483"/>
      <c r="W78" s="483"/>
      <c r="X78" s="455"/>
      <c r="Y78" s="455"/>
      <c r="Z78" s="455"/>
      <c r="AA78" s="455"/>
      <c r="AB78" s="455"/>
      <c r="AC78" s="455"/>
      <c r="AD78" s="455"/>
      <c r="AE78" s="455"/>
      <c r="AF78" s="455"/>
      <c r="AG78" s="455"/>
      <c r="AH78" s="455"/>
      <c r="AI78" s="455"/>
      <c r="AJ78" s="455"/>
      <c r="AK78" s="455"/>
      <c r="AL78" s="455"/>
      <c r="AM78" s="455"/>
      <c r="AN78" s="455"/>
      <c r="AO78" s="455"/>
      <c r="AP78" s="455"/>
      <c r="AQ78" s="455"/>
      <c r="AR78" s="483" t="s">
        <v>137</v>
      </c>
      <c r="AS78" s="483"/>
      <c r="AT78" s="483"/>
      <c r="AU78" s="483"/>
      <c r="AV78" s="483"/>
      <c r="AW78" s="483"/>
      <c r="AX78" s="483"/>
      <c r="AY78" s="483"/>
      <c r="AZ78" s="483"/>
      <c r="BA78" s="483"/>
      <c r="BB78" s="483"/>
      <c r="BC78" s="483"/>
      <c r="BD78" s="483"/>
      <c r="BE78" s="483"/>
      <c r="BF78" s="483"/>
      <c r="BG78" s="483"/>
      <c r="BH78" s="455"/>
      <c r="BI78" s="455"/>
      <c r="BJ78" s="455"/>
      <c r="BK78" s="455"/>
      <c r="BL78" s="455"/>
      <c r="BM78" s="455"/>
      <c r="BN78" s="455"/>
      <c r="BO78" s="455"/>
      <c r="BP78" s="455"/>
      <c r="BQ78" s="455"/>
      <c r="BR78" s="455"/>
      <c r="BS78" s="455"/>
      <c r="BT78" s="455"/>
      <c r="BU78" s="455"/>
      <c r="BV78" s="455"/>
      <c r="BW78" s="455"/>
      <c r="BX78" s="455"/>
      <c r="BY78" s="455"/>
      <c r="BZ78" s="455"/>
      <c r="CA78" s="455"/>
      <c r="CB78" s="455"/>
      <c r="CC78" s="455"/>
      <c r="CD78" s="455"/>
      <c r="CE78" s="455"/>
      <c r="CF78" s="455"/>
      <c r="CG78" s="455"/>
      <c r="CH78" s="455"/>
      <c r="CI78" s="455"/>
      <c r="CJ78" s="455"/>
      <c r="CK78" s="455"/>
      <c r="CL78" s="455"/>
      <c r="CM78" s="455"/>
      <c r="CN78" s="455"/>
      <c r="CO78" s="455"/>
      <c r="CP78" s="455"/>
      <c r="CQ78" s="455"/>
      <c r="CR78" s="455"/>
      <c r="CS78" s="455"/>
      <c r="CT78" s="455"/>
      <c r="CU78" s="455"/>
      <c r="CV78" s="455"/>
      <c r="CW78" s="455"/>
      <c r="CX78" s="455"/>
      <c r="CY78" s="455"/>
      <c r="CZ78" s="455"/>
      <c r="DA78" s="455"/>
      <c r="DB78" s="455"/>
      <c r="DC78" s="455"/>
      <c r="DD78" s="455"/>
      <c r="DE78" s="7"/>
    </row>
    <row r="79" spans="1:139" ht="15" customHeight="1">
      <c r="A79" s="8"/>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DE79" s="7"/>
    </row>
    <row r="80" spans="1:139" ht="15" customHeight="1">
      <c r="A80" s="60"/>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2"/>
      <c r="AQ80" s="62"/>
      <c r="AR80" s="62"/>
      <c r="AS80" s="63"/>
      <c r="AT80" s="63"/>
      <c r="AU80" s="63"/>
      <c r="AV80" s="62"/>
      <c r="AW80" s="62"/>
      <c r="AX80" s="62"/>
      <c r="AY80" s="63"/>
      <c r="AZ80" s="63"/>
      <c r="BA80" s="63"/>
      <c r="BB80" s="62"/>
      <c r="BC80" s="62"/>
      <c r="BD80" s="62"/>
      <c r="BE80" s="63"/>
      <c r="BF80" s="63"/>
      <c r="BG80" s="63"/>
      <c r="BH80" s="485"/>
      <c r="BI80" s="485"/>
      <c r="BJ80" s="485"/>
      <c r="BK80" s="485"/>
      <c r="DE80" s="7"/>
    </row>
    <row r="81" spans="1:133" ht="15" customHeight="1">
      <c r="A81" s="486" t="s">
        <v>138</v>
      </c>
      <c r="B81" s="487"/>
      <c r="C81" s="487"/>
      <c r="D81" s="487"/>
      <c r="E81" s="487"/>
      <c r="F81" s="487"/>
      <c r="G81" s="487"/>
      <c r="H81" s="487"/>
      <c r="I81" s="487"/>
      <c r="J81" s="487"/>
      <c r="K81" s="487"/>
      <c r="L81" s="487"/>
      <c r="M81" s="487"/>
      <c r="N81" s="487"/>
      <c r="O81" s="487"/>
      <c r="P81" s="487"/>
      <c r="Q81" s="487"/>
      <c r="R81" s="487"/>
      <c r="S81" s="487"/>
      <c r="T81" s="487"/>
      <c r="U81" s="487"/>
      <c r="V81" s="487"/>
      <c r="W81" s="487"/>
      <c r="X81" s="487"/>
      <c r="Y81" s="487"/>
      <c r="Z81" s="487"/>
      <c r="AA81" s="487"/>
      <c r="AB81" s="487"/>
      <c r="AC81" s="487"/>
      <c r="AD81" s="487"/>
      <c r="AE81" s="487"/>
      <c r="AF81" s="487"/>
      <c r="AG81" s="487"/>
      <c r="AH81" s="487"/>
      <c r="AI81" s="487"/>
      <c r="AJ81" s="487"/>
      <c r="AK81" s="487"/>
      <c r="AL81" s="487"/>
      <c r="AM81" s="487"/>
      <c r="AN81" s="487"/>
      <c r="AO81" s="487"/>
      <c r="AP81" s="487"/>
      <c r="AQ81" s="487"/>
      <c r="AR81" s="487"/>
      <c r="AS81" s="487"/>
      <c r="AT81" s="487"/>
      <c r="AU81" s="487"/>
      <c r="AV81" s="487"/>
      <c r="AW81" s="487"/>
      <c r="AX81" s="487"/>
      <c r="AY81" s="487"/>
      <c r="AZ81" s="487"/>
      <c r="BA81" s="487"/>
      <c r="BB81" s="487"/>
      <c r="BC81" s="487"/>
      <c r="BD81" s="487"/>
      <c r="BE81" s="487"/>
      <c r="BF81" s="487"/>
      <c r="BG81" s="487"/>
      <c r="BH81" s="487"/>
      <c r="BI81" s="487"/>
      <c r="BJ81" s="487"/>
      <c r="BK81" s="487"/>
      <c r="BL81" s="487"/>
      <c r="BM81" s="487"/>
      <c r="BN81" s="487"/>
      <c r="BO81" s="487"/>
      <c r="BP81" s="487"/>
      <c r="BQ81" s="487"/>
      <c r="BR81" s="487"/>
      <c r="BS81" s="487"/>
      <c r="BT81" s="487"/>
      <c r="BU81" s="487"/>
      <c r="BV81" s="487"/>
      <c r="BW81" s="487"/>
      <c r="BX81" s="487"/>
      <c r="BY81" s="487"/>
      <c r="BZ81" s="487"/>
      <c r="CA81" s="487"/>
      <c r="CB81" s="487"/>
      <c r="CC81" s="487"/>
      <c r="CD81" s="487"/>
      <c r="CE81" s="487"/>
      <c r="CF81" s="487"/>
      <c r="CG81" s="487"/>
      <c r="CH81" s="487"/>
      <c r="CI81" s="487"/>
      <c r="CJ81" s="487"/>
      <c r="CK81" s="487"/>
      <c r="CL81" s="487"/>
      <c r="CM81" s="487"/>
      <c r="CN81" s="487"/>
      <c r="CO81" s="487"/>
      <c r="CP81" s="487"/>
      <c r="CQ81" s="487"/>
      <c r="CR81" s="487"/>
      <c r="CS81" s="487"/>
      <c r="CT81" s="487"/>
      <c r="CU81" s="487"/>
      <c r="CV81" s="487"/>
      <c r="CW81" s="487"/>
      <c r="CX81" s="487"/>
      <c r="CY81" s="487"/>
      <c r="CZ81" s="487"/>
      <c r="DA81" s="487"/>
      <c r="DB81" s="487"/>
      <c r="DC81" s="487"/>
      <c r="DD81" s="488"/>
      <c r="DE81" s="7"/>
    </row>
    <row r="82" spans="1:133" ht="15" customHeight="1">
      <c r="A82" s="64"/>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DE82" s="7"/>
    </row>
    <row r="83" spans="1:133" ht="15" customHeight="1">
      <c r="A83" s="59"/>
      <c r="B83" s="483" t="s">
        <v>139</v>
      </c>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c r="AA83" s="483"/>
      <c r="AB83" s="483"/>
      <c r="AC83" s="483"/>
      <c r="AD83" s="483"/>
      <c r="AE83" s="483"/>
      <c r="AF83" s="483"/>
      <c r="AG83" s="483"/>
      <c r="AH83" s="483"/>
      <c r="AI83" s="483"/>
      <c r="AJ83" s="483"/>
      <c r="AK83" s="483"/>
      <c r="AL83" s="483"/>
      <c r="AM83" s="483"/>
      <c r="AN83" s="483"/>
      <c r="AO83" s="483"/>
      <c r="AP83" s="483"/>
      <c r="AQ83" s="483"/>
      <c r="AR83" s="483"/>
      <c r="AS83" s="483"/>
      <c r="AT83" s="483"/>
      <c r="AU83" s="484" t="s">
        <v>140</v>
      </c>
      <c r="AV83" s="484"/>
      <c r="AW83" s="484"/>
      <c r="AX83" s="484"/>
      <c r="AY83" s="484"/>
      <c r="AZ83" s="484"/>
      <c r="BA83" s="484"/>
      <c r="BB83" s="484"/>
      <c r="BC83" s="484"/>
      <c r="BD83" s="484"/>
      <c r="BE83" s="484"/>
      <c r="BF83" s="484"/>
      <c r="BG83" s="484"/>
      <c r="BH83" s="484"/>
      <c r="BI83" s="484"/>
      <c r="BJ83" s="484" t="s">
        <v>141</v>
      </c>
      <c r="BK83" s="484"/>
      <c r="BL83" s="484"/>
      <c r="BM83" s="484"/>
      <c r="BN83" s="484"/>
      <c r="BO83" s="484"/>
      <c r="BP83" s="484"/>
      <c r="BQ83" s="484"/>
      <c r="BR83" s="484"/>
      <c r="BS83" s="484"/>
      <c r="BT83" s="484"/>
      <c r="BU83" s="484"/>
      <c r="BV83" s="484"/>
      <c r="BW83" s="484"/>
      <c r="BX83" s="484"/>
      <c r="BY83" s="484"/>
      <c r="BZ83" s="484"/>
      <c r="CA83" s="484"/>
      <c r="CB83" s="484"/>
      <c r="CC83" s="484"/>
      <c r="CD83" s="484"/>
      <c r="CE83" s="484"/>
      <c r="CF83" s="484"/>
      <c r="CG83" s="484"/>
      <c r="CH83" s="484"/>
      <c r="CI83" s="484"/>
      <c r="CJ83" s="484"/>
      <c r="CK83" s="484"/>
      <c r="CL83" s="484"/>
      <c r="CM83" s="484"/>
      <c r="CN83" s="484"/>
      <c r="CO83" s="484"/>
      <c r="CP83" s="484"/>
      <c r="CQ83" s="484"/>
      <c r="CR83" s="484"/>
      <c r="CS83" s="484"/>
      <c r="CT83" s="484"/>
      <c r="CU83" s="484"/>
      <c r="CV83" s="484"/>
      <c r="CW83" s="484"/>
      <c r="CX83" s="484"/>
      <c r="CY83" s="484"/>
      <c r="CZ83" s="484"/>
      <c r="DA83" s="484"/>
      <c r="DB83" s="484"/>
      <c r="DC83" s="484"/>
      <c r="DD83" s="484"/>
      <c r="DE83" s="7"/>
    </row>
    <row r="84" spans="1:133" ht="15" customHeight="1">
      <c r="A84" s="6"/>
      <c r="B84" s="479" t="s">
        <v>32</v>
      </c>
      <c r="C84" s="479"/>
      <c r="D84" s="479"/>
      <c r="E84" s="479"/>
      <c r="F84" s="479"/>
      <c r="G84" s="479"/>
      <c r="H84" s="479"/>
      <c r="I84" s="479"/>
      <c r="J84" s="479"/>
      <c r="K84" s="479" t="s">
        <v>142</v>
      </c>
      <c r="L84" s="479"/>
      <c r="M84" s="479"/>
      <c r="N84" s="479"/>
      <c r="O84" s="479"/>
      <c r="P84" s="479"/>
      <c r="Q84" s="479"/>
      <c r="R84" s="479"/>
      <c r="S84" s="479" t="s">
        <v>143</v>
      </c>
      <c r="T84" s="479"/>
      <c r="U84" s="479"/>
      <c r="V84" s="479"/>
      <c r="W84" s="479"/>
      <c r="X84" s="479"/>
      <c r="Y84" s="479"/>
      <c r="Z84" s="479" t="s">
        <v>144</v>
      </c>
      <c r="AA84" s="479"/>
      <c r="AB84" s="479"/>
      <c r="AC84" s="479"/>
      <c r="AD84" s="479"/>
      <c r="AE84" s="479"/>
      <c r="AF84" s="479"/>
      <c r="AG84" s="479" t="s">
        <v>145</v>
      </c>
      <c r="AH84" s="479"/>
      <c r="AI84" s="479"/>
      <c r="AJ84" s="479"/>
      <c r="AK84" s="479"/>
      <c r="AL84" s="479"/>
      <c r="AM84" s="479"/>
      <c r="AN84" s="479" t="s">
        <v>37</v>
      </c>
      <c r="AO84" s="479"/>
      <c r="AP84" s="479"/>
      <c r="AQ84" s="479"/>
      <c r="AR84" s="479"/>
      <c r="AS84" s="479"/>
      <c r="AT84" s="479"/>
      <c r="AU84" s="479" t="s">
        <v>146</v>
      </c>
      <c r="AV84" s="479"/>
      <c r="AW84" s="479"/>
      <c r="AX84" s="480" t="s">
        <v>147</v>
      </c>
      <c r="AY84" s="480"/>
      <c r="AZ84" s="480"/>
      <c r="BA84" s="478" t="s">
        <v>82</v>
      </c>
      <c r="BB84" s="478"/>
      <c r="BC84" s="478"/>
      <c r="BD84" s="481" t="s">
        <v>148</v>
      </c>
      <c r="BE84" s="481"/>
      <c r="BF84" s="481"/>
      <c r="BG84" s="482" t="s">
        <v>149</v>
      </c>
      <c r="BH84" s="482"/>
      <c r="BI84" s="482"/>
      <c r="BJ84" s="479" t="s">
        <v>150</v>
      </c>
      <c r="BK84" s="479"/>
      <c r="BL84" s="479"/>
      <c r="BM84" s="479" t="s">
        <v>151</v>
      </c>
      <c r="BN84" s="479"/>
      <c r="BO84" s="479"/>
      <c r="BP84" s="479"/>
      <c r="BQ84" s="479"/>
      <c r="BR84" s="479"/>
      <c r="BS84" s="479"/>
      <c r="BT84" s="479"/>
      <c r="BU84" s="479"/>
      <c r="BV84" s="479"/>
      <c r="BW84" s="479"/>
      <c r="BX84" s="479"/>
      <c r="BY84" s="479"/>
      <c r="BZ84" s="479"/>
      <c r="CA84" s="479"/>
      <c r="CB84" s="479"/>
      <c r="CC84" s="479"/>
      <c r="CD84" s="479"/>
      <c r="CE84" s="479"/>
      <c r="CF84" s="479"/>
      <c r="CG84" s="479"/>
      <c r="CH84" s="479"/>
      <c r="CI84" s="479"/>
      <c r="CJ84" s="478" t="s">
        <v>152</v>
      </c>
      <c r="CK84" s="478"/>
      <c r="CL84" s="478"/>
      <c r="CM84" s="479" t="s">
        <v>153</v>
      </c>
      <c r="CN84" s="479"/>
      <c r="CO84" s="479"/>
      <c r="CP84" s="480" t="s">
        <v>154</v>
      </c>
      <c r="CQ84" s="480"/>
      <c r="CR84" s="480"/>
      <c r="CS84" s="478" t="s">
        <v>155</v>
      </c>
      <c r="CT84" s="478"/>
      <c r="CU84" s="478"/>
      <c r="CV84" s="479" t="s">
        <v>156</v>
      </c>
      <c r="CW84" s="479"/>
      <c r="CX84" s="479"/>
      <c r="CY84" s="480" t="s">
        <v>157</v>
      </c>
      <c r="CZ84" s="480"/>
      <c r="DA84" s="480"/>
      <c r="DB84" s="478" t="s">
        <v>158</v>
      </c>
      <c r="DC84" s="478"/>
      <c r="DD84" s="478"/>
      <c r="DE84" s="7"/>
    </row>
    <row r="85" spans="1:133" ht="15" customHeight="1">
      <c r="A85" s="6"/>
      <c r="B85" s="455"/>
      <c r="C85" s="455"/>
      <c r="D85" s="455"/>
      <c r="E85" s="455"/>
      <c r="F85" s="455"/>
      <c r="G85" s="455"/>
      <c r="H85" s="455"/>
      <c r="I85" s="455"/>
      <c r="J85" s="455"/>
      <c r="K85" s="455"/>
      <c r="L85" s="455"/>
      <c r="M85" s="455"/>
      <c r="N85" s="455"/>
      <c r="O85" s="455"/>
      <c r="P85" s="455"/>
      <c r="Q85" s="455"/>
      <c r="R85" s="455"/>
      <c r="S85" s="455"/>
      <c r="T85" s="455"/>
      <c r="U85" s="455"/>
      <c r="V85" s="455"/>
      <c r="W85" s="455"/>
      <c r="X85" s="455"/>
      <c r="Y85" s="455"/>
      <c r="Z85" s="455"/>
      <c r="AA85" s="455"/>
      <c r="AB85" s="455"/>
      <c r="AC85" s="455"/>
      <c r="AD85" s="455"/>
      <c r="AE85" s="455"/>
      <c r="AF85" s="455"/>
      <c r="AG85" s="455"/>
      <c r="AH85" s="455"/>
      <c r="AI85" s="455"/>
      <c r="AJ85" s="455"/>
      <c r="AK85" s="455"/>
      <c r="AL85" s="455"/>
      <c r="AM85" s="455"/>
      <c r="AN85" s="455"/>
      <c r="AO85" s="455"/>
      <c r="AP85" s="455"/>
      <c r="AQ85" s="455"/>
      <c r="AR85" s="455"/>
      <c r="AS85" s="455"/>
      <c r="AT85" s="455"/>
      <c r="AU85" s="371" t="s">
        <v>7</v>
      </c>
      <c r="AV85" s="371"/>
      <c r="AW85" s="371"/>
      <c r="AX85" s="371" t="s">
        <v>7</v>
      </c>
      <c r="AY85" s="371"/>
      <c r="AZ85" s="371"/>
      <c r="BA85" s="371" t="s">
        <v>7</v>
      </c>
      <c r="BB85" s="371"/>
      <c r="BC85" s="371"/>
      <c r="BD85" s="371" t="s">
        <v>7</v>
      </c>
      <c r="BE85" s="371"/>
      <c r="BF85" s="371"/>
      <c r="BG85" s="371"/>
      <c r="BH85" s="371"/>
      <c r="BI85" s="371"/>
      <c r="BJ85" s="455" t="s">
        <v>160</v>
      </c>
      <c r="BK85" s="455"/>
      <c r="BL85" s="455"/>
      <c r="BM85" s="455" t="s">
        <v>160</v>
      </c>
      <c r="BN85" s="455"/>
      <c r="BO85" s="455"/>
      <c r="BP85" s="455"/>
      <c r="BQ85" s="455"/>
      <c r="BR85" s="455"/>
      <c r="BS85" s="455"/>
      <c r="BT85" s="455"/>
      <c r="BU85" s="455"/>
      <c r="BV85" s="455"/>
      <c r="BW85" s="455"/>
      <c r="BX85" s="455"/>
      <c r="BY85" s="455"/>
      <c r="BZ85" s="455"/>
      <c r="CA85" s="455"/>
      <c r="CB85" s="455"/>
      <c r="CC85" s="455"/>
      <c r="CD85" s="455"/>
      <c r="CE85" s="455"/>
      <c r="CF85" s="455"/>
      <c r="CG85" s="455"/>
      <c r="CH85" s="455"/>
      <c r="CI85" s="455"/>
      <c r="CJ85" s="455" t="s">
        <v>160</v>
      </c>
      <c r="CK85" s="455"/>
      <c r="CL85" s="455"/>
      <c r="CM85" s="455" t="s">
        <v>159</v>
      </c>
      <c r="CN85" s="455"/>
      <c r="CO85" s="455"/>
      <c r="CP85" s="455" t="s">
        <v>159</v>
      </c>
      <c r="CQ85" s="455"/>
      <c r="CR85" s="455"/>
      <c r="CS85" s="455" t="s">
        <v>159</v>
      </c>
      <c r="CT85" s="455"/>
      <c r="CU85" s="455"/>
      <c r="CV85" s="455" t="s">
        <v>160</v>
      </c>
      <c r="CW85" s="455"/>
      <c r="CX85" s="455"/>
      <c r="CY85" s="455" t="s">
        <v>160</v>
      </c>
      <c r="CZ85" s="455"/>
      <c r="DA85" s="455"/>
      <c r="DB85" s="455" t="s">
        <v>160</v>
      </c>
      <c r="DC85" s="455"/>
      <c r="DD85" s="455"/>
      <c r="DE85" s="7"/>
    </row>
    <row r="86" spans="1:133" ht="15" customHeight="1">
      <c r="A86" s="6"/>
      <c r="B86" s="455"/>
      <c r="C86" s="455"/>
      <c r="D86" s="455"/>
      <c r="E86" s="455"/>
      <c r="F86" s="455"/>
      <c r="G86" s="455"/>
      <c r="H86" s="455"/>
      <c r="I86" s="455"/>
      <c r="J86" s="455"/>
      <c r="K86" s="455"/>
      <c r="L86" s="455"/>
      <c r="M86" s="455"/>
      <c r="N86" s="455"/>
      <c r="O86" s="455"/>
      <c r="P86" s="455"/>
      <c r="Q86" s="455"/>
      <c r="R86" s="455"/>
      <c r="S86" s="455"/>
      <c r="T86" s="455"/>
      <c r="U86" s="455"/>
      <c r="V86" s="455"/>
      <c r="W86" s="455"/>
      <c r="X86" s="455"/>
      <c r="Y86" s="455"/>
      <c r="Z86" s="455"/>
      <c r="AA86" s="455"/>
      <c r="AB86" s="455"/>
      <c r="AC86" s="455"/>
      <c r="AD86" s="455"/>
      <c r="AE86" s="455"/>
      <c r="AF86" s="455"/>
      <c r="AG86" s="455"/>
      <c r="AH86" s="455"/>
      <c r="AI86" s="455"/>
      <c r="AJ86" s="455"/>
      <c r="AK86" s="455"/>
      <c r="AL86" s="455"/>
      <c r="AM86" s="455"/>
      <c r="AN86" s="455"/>
      <c r="AO86" s="455"/>
      <c r="AP86" s="455"/>
      <c r="AQ86" s="455"/>
      <c r="AR86" s="455"/>
      <c r="AS86" s="455"/>
      <c r="AT86" s="455"/>
      <c r="AU86" s="371" t="s">
        <v>7</v>
      </c>
      <c r="AV86" s="371"/>
      <c r="AW86" s="371"/>
      <c r="AX86" s="371" t="s">
        <v>7</v>
      </c>
      <c r="AY86" s="371"/>
      <c r="AZ86" s="371"/>
      <c r="BA86" s="371" t="s">
        <v>7</v>
      </c>
      <c r="BB86" s="371"/>
      <c r="BC86" s="371"/>
      <c r="BD86" s="371" t="s">
        <v>7</v>
      </c>
      <c r="BE86" s="371"/>
      <c r="BF86" s="371"/>
      <c r="BG86" s="371"/>
      <c r="BH86" s="371"/>
      <c r="BI86" s="371"/>
      <c r="BJ86" s="455" t="s">
        <v>160</v>
      </c>
      <c r="BK86" s="455"/>
      <c r="BL86" s="455"/>
      <c r="BM86" s="455" t="s">
        <v>160</v>
      </c>
      <c r="BN86" s="455"/>
      <c r="BO86" s="455"/>
      <c r="BP86" s="455"/>
      <c r="BQ86" s="455"/>
      <c r="BR86" s="455"/>
      <c r="BS86" s="455"/>
      <c r="BT86" s="455"/>
      <c r="BU86" s="455"/>
      <c r="BV86" s="455"/>
      <c r="BW86" s="455"/>
      <c r="BX86" s="455"/>
      <c r="BY86" s="455"/>
      <c r="BZ86" s="455"/>
      <c r="CA86" s="455"/>
      <c r="CB86" s="455"/>
      <c r="CC86" s="455"/>
      <c r="CD86" s="455"/>
      <c r="CE86" s="455"/>
      <c r="CF86" s="455"/>
      <c r="CG86" s="455"/>
      <c r="CH86" s="455"/>
      <c r="CI86" s="455"/>
      <c r="CJ86" s="455" t="s">
        <v>160</v>
      </c>
      <c r="CK86" s="455"/>
      <c r="CL86" s="455"/>
      <c r="CM86" s="455" t="s">
        <v>159</v>
      </c>
      <c r="CN86" s="455"/>
      <c r="CO86" s="455"/>
      <c r="CP86" s="455" t="s">
        <v>159</v>
      </c>
      <c r="CQ86" s="455"/>
      <c r="CR86" s="455"/>
      <c r="CS86" s="455" t="s">
        <v>159</v>
      </c>
      <c r="CT86" s="455"/>
      <c r="CU86" s="455"/>
      <c r="CV86" s="455" t="s">
        <v>160</v>
      </c>
      <c r="CW86" s="455"/>
      <c r="CX86" s="455"/>
      <c r="CY86" s="455" t="s">
        <v>160</v>
      </c>
      <c r="CZ86" s="455"/>
      <c r="DA86" s="455"/>
      <c r="DB86" s="455" t="s">
        <v>160</v>
      </c>
      <c r="DC86" s="455"/>
      <c r="DD86" s="455"/>
      <c r="DE86" s="7"/>
    </row>
    <row r="87" spans="1:133" ht="15" customHeight="1">
      <c r="A87" s="6"/>
      <c r="B87" s="455"/>
      <c r="C87" s="455"/>
      <c r="D87" s="455"/>
      <c r="E87" s="455"/>
      <c r="F87" s="455"/>
      <c r="G87" s="455"/>
      <c r="H87" s="455"/>
      <c r="I87" s="455"/>
      <c r="J87" s="455"/>
      <c r="K87" s="455"/>
      <c r="L87" s="455"/>
      <c r="M87" s="455"/>
      <c r="N87" s="455"/>
      <c r="O87" s="455"/>
      <c r="P87" s="455"/>
      <c r="Q87" s="455"/>
      <c r="R87" s="455"/>
      <c r="S87" s="455"/>
      <c r="T87" s="455"/>
      <c r="U87" s="455"/>
      <c r="V87" s="455"/>
      <c r="W87" s="455"/>
      <c r="X87" s="455"/>
      <c r="Y87" s="455"/>
      <c r="Z87" s="455"/>
      <c r="AA87" s="455"/>
      <c r="AB87" s="455"/>
      <c r="AC87" s="455"/>
      <c r="AD87" s="455"/>
      <c r="AE87" s="455"/>
      <c r="AF87" s="455"/>
      <c r="AG87" s="455"/>
      <c r="AH87" s="455"/>
      <c r="AI87" s="455"/>
      <c r="AJ87" s="455"/>
      <c r="AK87" s="455"/>
      <c r="AL87" s="455"/>
      <c r="AM87" s="455"/>
      <c r="AN87" s="455"/>
      <c r="AO87" s="455"/>
      <c r="AP87" s="455"/>
      <c r="AQ87" s="455"/>
      <c r="AR87" s="455"/>
      <c r="AS87" s="455"/>
      <c r="AT87" s="455"/>
      <c r="AU87" s="371" t="s">
        <v>7</v>
      </c>
      <c r="AV87" s="371"/>
      <c r="AW87" s="371"/>
      <c r="AX87" s="371" t="s">
        <v>7</v>
      </c>
      <c r="AY87" s="371"/>
      <c r="AZ87" s="371"/>
      <c r="BA87" s="371" t="s">
        <v>7</v>
      </c>
      <c r="BB87" s="371"/>
      <c r="BC87" s="371"/>
      <c r="BD87" s="371" t="s">
        <v>7</v>
      </c>
      <c r="BE87" s="371"/>
      <c r="BF87" s="371"/>
      <c r="BG87" s="371"/>
      <c r="BH87" s="371"/>
      <c r="BI87" s="371"/>
      <c r="BJ87" s="455" t="s">
        <v>160</v>
      </c>
      <c r="BK87" s="455"/>
      <c r="BL87" s="455"/>
      <c r="BM87" s="455" t="s">
        <v>160</v>
      </c>
      <c r="BN87" s="455"/>
      <c r="BO87" s="455"/>
      <c r="BP87" s="455"/>
      <c r="BQ87" s="455"/>
      <c r="BR87" s="455"/>
      <c r="BS87" s="455"/>
      <c r="BT87" s="455"/>
      <c r="BU87" s="455"/>
      <c r="BV87" s="455"/>
      <c r="BW87" s="455"/>
      <c r="BX87" s="455"/>
      <c r="BY87" s="455"/>
      <c r="BZ87" s="455"/>
      <c r="CA87" s="455"/>
      <c r="CB87" s="455"/>
      <c r="CC87" s="455"/>
      <c r="CD87" s="455"/>
      <c r="CE87" s="455"/>
      <c r="CF87" s="455"/>
      <c r="CG87" s="455"/>
      <c r="CH87" s="455"/>
      <c r="CI87" s="455"/>
      <c r="CJ87" s="455" t="s">
        <v>160</v>
      </c>
      <c r="CK87" s="455"/>
      <c r="CL87" s="455"/>
      <c r="CM87" s="455" t="s">
        <v>159</v>
      </c>
      <c r="CN87" s="455"/>
      <c r="CO87" s="455"/>
      <c r="CP87" s="455" t="s">
        <v>159</v>
      </c>
      <c r="CQ87" s="455"/>
      <c r="CR87" s="455"/>
      <c r="CS87" s="455" t="s">
        <v>159</v>
      </c>
      <c r="CT87" s="455"/>
      <c r="CU87" s="455"/>
      <c r="CV87" s="455" t="s">
        <v>160</v>
      </c>
      <c r="CW87" s="455"/>
      <c r="CX87" s="455"/>
      <c r="CY87" s="455" t="s">
        <v>160</v>
      </c>
      <c r="CZ87" s="455"/>
      <c r="DA87" s="455"/>
      <c r="DB87" s="455" t="s">
        <v>160</v>
      </c>
      <c r="DC87" s="455"/>
      <c r="DD87" s="455"/>
      <c r="DE87" s="7"/>
    </row>
    <row r="88" spans="1:133" ht="15" customHeight="1">
      <c r="A88" s="3"/>
      <c r="B88" s="455"/>
      <c r="C88" s="455"/>
      <c r="D88" s="455"/>
      <c r="E88" s="455"/>
      <c r="F88" s="455"/>
      <c r="G88" s="455"/>
      <c r="H88" s="455"/>
      <c r="I88" s="455"/>
      <c r="J88" s="455"/>
      <c r="K88" s="455"/>
      <c r="L88" s="455"/>
      <c r="M88" s="455"/>
      <c r="N88" s="455"/>
      <c r="O88" s="455"/>
      <c r="P88" s="455"/>
      <c r="Q88" s="455"/>
      <c r="R88" s="455"/>
      <c r="S88" s="455"/>
      <c r="T88" s="455"/>
      <c r="U88" s="455"/>
      <c r="V88" s="455"/>
      <c r="W88" s="455"/>
      <c r="X88" s="455"/>
      <c r="Y88" s="455"/>
      <c r="Z88" s="455"/>
      <c r="AA88" s="455"/>
      <c r="AB88" s="455"/>
      <c r="AC88" s="455"/>
      <c r="AD88" s="455"/>
      <c r="AE88" s="455"/>
      <c r="AF88" s="455"/>
      <c r="AG88" s="455"/>
      <c r="AH88" s="455"/>
      <c r="AI88" s="455"/>
      <c r="AJ88" s="455"/>
      <c r="AK88" s="455"/>
      <c r="AL88" s="455"/>
      <c r="AM88" s="455"/>
      <c r="AN88" s="455"/>
      <c r="AO88" s="455"/>
      <c r="AP88" s="455"/>
      <c r="AQ88" s="455"/>
      <c r="AR88" s="455"/>
      <c r="AS88" s="455"/>
      <c r="AT88" s="455"/>
      <c r="AU88" s="371" t="s">
        <v>7</v>
      </c>
      <c r="AV88" s="371"/>
      <c r="AW88" s="371"/>
      <c r="AX88" s="371" t="s">
        <v>7</v>
      </c>
      <c r="AY88" s="371"/>
      <c r="AZ88" s="371"/>
      <c r="BA88" s="371" t="s">
        <v>7</v>
      </c>
      <c r="BB88" s="371"/>
      <c r="BC88" s="371"/>
      <c r="BD88" s="371" t="s">
        <v>7</v>
      </c>
      <c r="BE88" s="371"/>
      <c r="BF88" s="371"/>
      <c r="BG88" s="371"/>
      <c r="BH88" s="371"/>
      <c r="BI88" s="371"/>
      <c r="BJ88" s="455" t="s">
        <v>160</v>
      </c>
      <c r="BK88" s="455"/>
      <c r="BL88" s="455"/>
      <c r="BM88" s="455" t="s">
        <v>160</v>
      </c>
      <c r="BN88" s="455"/>
      <c r="BO88" s="455"/>
      <c r="BP88" s="455"/>
      <c r="BQ88" s="455"/>
      <c r="BR88" s="455"/>
      <c r="BS88" s="455"/>
      <c r="BT88" s="455"/>
      <c r="BU88" s="455"/>
      <c r="BV88" s="455"/>
      <c r="BW88" s="455"/>
      <c r="BX88" s="455"/>
      <c r="BY88" s="455"/>
      <c r="BZ88" s="455"/>
      <c r="CA88" s="455"/>
      <c r="CB88" s="455"/>
      <c r="CC88" s="455"/>
      <c r="CD88" s="455"/>
      <c r="CE88" s="455"/>
      <c r="CF88" s="455"/>
      <c r="CG88" s="455"/>
      <c r="CH88" s="455"/>
      <c r="CI88" s="455"/>
      <c r="CJ88" s="455" t="s">
        <v>160</v>
      </c>
      <c r="CK88" s="455"/>
      <c r="CL88" s="455"/>
      <c r="CM88" s="455" t="s">
        <v>159</v>
      </c>
      <c r="CN88" s="455"/>
      <c r="CO88" s="455"/>
      <c r="CP88" s="455" t="s">
        <v>159</v>
      </c>
      <c r="CQ88" s="455"/>
      <c r="CR88" s="455"/>
      <c r="CS88" s="455" t="s">
        <v>159</v>
      </c>
      <c r="CT88" s="455"/>
      <c r="CU88" s="455"/>
      <c r="CV88" s="455" t="s">
        <v>160</v>
      </c>
      <c r="CW88" s="455"/>
      <c r="CX88" s="455"/>
      <c r="CY88" s="455" t="s">
        <v>160</v>
      </c>
      <c r="CZ88" s="455"/>
      <c r="DA88" s="455"/>
      <c r="DB88" s="455" t="s">
        <v>160</v>
      </c>
      <c r="DC88" s="455"/>
      <c r="DD88" s="455"/>
      <c r="DE88" s="7"/>
    </row>
    <row r="89" spans="1:133" ht="15" customHeight="1">
      <c r="A89" s="6"/>
      <c r="B89" s="455"/>
      <c r="C89" s="455"/>
      <c r="D89" s="455"/>
      <c r="E89" s="455"/>
      <c r="F89" s="455"/>
      <c r="G89" s="455"/>
      <c r="H89" s="455"/>
      <c r="I89" s="455"/>
      <c r="J89" s="455"/>
      <c r="K89" s="455"/>
      <c r="L89" s="455"/>
      <c r="M89" s="455"/>
      <c r="N89" s="455"/>
      <c r="O89" s="455"/>
      <c r="P89" s="455"/>
      <c r="Q89" s="455"/>
      <c r="R89" s="455"/>
      <c r="S89" s="455"/>
      <c r="T89" s="455"/>
      <c r="U89" s="455"/>
      <c r="V89" s="455"/>
      <c r="W89" s="455"/>
      <c r="X89" s="455"/>
      <c r="Y89" s="455"/>
      <c r="Z89" s="455"/>
      <c r="AA89" s="455"/>
      <c r="AB89" s="455"/>
      <c r="AC89" s="455"/>
      <c r="AD89" s="455"/>
      <c r="AE89" s="455"/>
      <c r="AF89" s="455"/>
      <c r="AG89" s="455"/>
      <c r="AH89" s="455"/>
      <c r="AI89" s="455"/>
      <c r="AJ89" s="455"/>
      <c r="AK89" s="455"/>
      <c r="AL89" s="455"/>
      <c r="AM89" s="455"/>
      <c r="AN89" s="455"/>
      <c r="AO89" s="455"/>
      <c r="AP89" s="455"/>
      <c r="AQ89" s="455"/>
      <c r="AR89" s="455"/>
      <c r="AS89" s="455"/>
      <c r="AT89" s="455"/>
      <c r="AU89" s="371" t="s">
        <v>7</v>
      </c>
      <c r="AV89" s="371"/>
      <c r="AW89" s="371"/>
      <c r="AX89" s="371" t="s">
        <v>7</v>
      </c>
      <c r="AY89" s="371"/>
      <c r="AZ89" s="371"/>
      <c r="BA89" s="371" t="s">
        <v>7</v>
      </c>
      <c r="BB89" s="371"/>
      <c r="BC89" s="371"/>
      <c r="BD89" s="371" t="s">
        <v>7</v>
      </c>
      <c r="BE89" s="371"/>
      <c r="BF89" s="371"/>
      <c r="BG89" s="371"/>
      <c r="BH89" s="371"/>
      <c r="BI89" s="371"/>
      <c r="BJ89" s="455" t="s">
        <v>160</v>
      </c>
      <c r="BK89" s="455"/>
      <c r="BL89" s="455"/>
      <c r="BM89" s="455" t="s">
        <v>160</v>
      </c>
      <c r="BN89" s="455"/>
      <c r="BO89" s="455"/>
      <c r="BP89" s="455"/>
      <c r="BQ89" s="455"/>
      <c r="BR89" s="455"/>
      <c r="BS89" s="455"/>
      <c r="BT89" s="455"/>
      <c r="BU89" s="455"/>
      <c r="BV89" s="455"/>
      <c r="BW89" s="455"/>
      <c r="BX89" s="455"/>
      <c r="BY89" s="455"/>
      <c r="BZ89" s="455"/>
      <c r="CA89" s="455"/>
      <c r="CB89" s="455"/>
      <c r="CC89" s="455"/>
      <c r="CD89" s="455"/>
      <c r="CE89" s="455"/>
      <c r="CF89" s="455"/>
      <c r="CG89" s="455"/>
      <c r="CH89" s="455"/>
      <c r="CI89" s="455"/>
      <c r="CJ89" s="455" t="s">
        <v>160</v>
      </c>
      <c r="CK89" s="455"/>
      <c r="CL89" s="455"/>
      <c r="CM89" s="455" t="s">
        <v>159</v>
      </c>
      <c r="CN89" s="455"/>
      <c r="CO89" s="455"/>
      <c r="CP89" s="455" t="s">
        <v>159</v>
      </c>
      <c r="CQ89" s="455"/>
      <c r="CR89" s="455"/>
      <c r="CS89" s="455" t="s">
        <v>159</v>
      </c>
      <c r="CT89" s="455"/>
      <c r="CU89" s="455"/>
      <c r="CV89" s="455" t="s">
        <v>160</v>
      </c>
      <c r="CW89" s="455"/>
      <c r="CX89" s="455"/>
      <c r="CY89" s="455" t="s">
        <v>160</v>
      </c>
      <c r="CZ89" s="455"/>
      <c r="DA89" s="455"/>
      <c r="DB89" s="455" t="s">
        <v>160</v>
      </c>
      <c r="DC89" s="455"/>
      <c r="DD89" s="455"/>
      <c r="DE89" s="7"/>
    </row>
    <row r="90" spans="1:133" ht="15" customHeight="1">
      <c r="A90" s="8"/>
      <c r="B90" s="455"/>
      <c r="C90" s="455"/>
      <c r="D90" s="455"/>
      <c r="E90" s="455"/>
      <c r="F90" s="455"/>
      <c r="G90" s="455"/>
      <c r="H90" s="455"/>
      <c r="I90" s="455"/>
      <c r="J90" s="455"/>
      <c r="K90" s="455"/>
      <c r="L90" s="455"/>
      <c r="M90" s="455"/>
      <c r="N90" s="455"/>
      <c r="O90" s="455"/>
      <c r="P90" s="455"/>
      <c r="Q90" s="455"/>
      <c r="R90" s="455"/>
      <c r="S90" s="455"/>
      <c r="T90" s="455"/>
      <c r="U90" s="455"/>
      <c r="V90" s="455"/>
      <c r="W90" s="455"/>
      <c r="X90" s="455"/>
      <c r="Y90" s="455"/>
      <c r="Z90" s="455"/>
      <c r="AA90" s="455"/>
      <c r="AB90" s="455"/>
      <c r="AC90" s="455"/>
      <c r="AD90" s="455"/>
      <c r="AE90" s="455"/>
      <c r="AF90" s="455"/>
      <c r="AG90" s="455"/>
      <c r="AH90" s="455"/>
      <c r="AI90" s="455"/>
      <c r="AJ90" s="455"/>
      <c r="AK90" s="455"/>
      <c r="AL90" s="455"/>
      <c r="AM90" s="455"/>
      <c r="AN90" s="455"/>
      <c r="AO90" s="455"/>
      <c r="AP90" s="455"/>
      <c r="AQ90" s="455"/>
      <c r="AR90" s="455"/>
      <c r="AS90" s="455"/>
      <c r="AT90" s="455"/>
      <c r="AU90" s="371" t="s">
        <v>7</v>
      </c>
      <c r="AV90" s="371"/>
      <c r="AW90" s="371"/>
      <c r="AX90" s="371" t="s">
        <v>7</v>
      </c>
      <c r="AY90" s="371"/>
      <c r="AZ90" s="371"/>
      <c r="BA90" s="371" t="s">
        <v>7</v>
      </c>
      <c r="BB90" s="371"/>
      <c r="BC90" s="371"/>
      <c r="BD90" s="371" t="s">
        <v>7</v>
      </c>
      <c r="BE90" s="371"/>
      <c r="BF90" s="371"/>
      <c r="BG90" s="371"/>
      <c r="BH90" s="371"/>
      <c r="BI90" s="371"/>
      <c r="BJ90" s="455" t="s">
        <v>160</v>
      </c>
      <c r="BK90" s="455"/>
      <c r="BL90" s="455"/>
      <c r="BM90" s="455" t="s">
        <v>160</v>
      </c>
      <c r="BN90" s="455"/>
      <c r="BO90" s="455"/>
      <c r="BP90" s="455"/>
      <c r="BQ90" s="455"/>
      <c r="BR90" s="455"/>
      <c r="BS90" s="455"/>
      <c r="BT90" s="455"/>
      <c r="BU90" s="455"/>
      <c r="BV90" s="455"/>
      <c r="BW90" s="455"/>
      <c r="BX90" s="455"/>
      <c r="BY90" s="455"/>
      <c r="BZ90" s="455"/>
      <c r="CA90" s="455"/>
      <c r="CB90" s="455"/>
      <c r="CC90" s="455"/>
      <c r="CD90" s="455"/>
      <c r="CE90" s="455"/>
      <c r="CF90" s="455"/>
      <c r="CG90" s="455"/>
      <c r="CH90" s="455"/>
      <c r="CI90" s="455"/>
      <c r="CJ90" s="455" t="s">
        <v>160</v>
      </c>
      <c r="CK90" s="455"/>
      <c r="CL90" s="455"/>
      <c r="CM90" s="455" t="s">
        <v>159</v>
      </c>
      <c r="CN90" s="455"/>
      <c r="CO90" s="455"/>
      <c r="CP90" s="455" t="s">
        <v>159</v>
      </c>
      <c r="CQ90" s="455"/>
      <c r="CR90" s="455"/>
      <c r="CS90" s="455" t="s">
        <v>159</v>
      </c>
      <c r="CT90" s="455"/>
      <c r="CU90" s="455"/>
      <c r="CV90" s="455" t="s">
        <v>160</v>
      </c>
      <c r="CW90" s="455"/>
      <c r="CX90" s="455"/>
      <c r="CY90" s="455" t="s">
        <v>160</v>
      </c>
      <c r="CZ90" s="455"/>
      <c r="DA90" s="455"/>
      <c r="DB90" s="455" t="s">
        <v>160</v>
      </c>
      <c r="DC90" s="455"/>
      <c r="DD90" s="455"/>
      <c r="DE90" s="7"/>
    </row>
    <row r="91" spans="1:133" ht="15" customHeight="1">
      <c r="A91" s="8"/>
      <c r="B91" s="455"/>
      <c r="C91" s="455"/>
      <c r="D91" s="455"/>
      <c r="E91" s="455"/>
      <c r="F91" s="455"/>
      <c r="G91" s="455"/>
      <c r="H91" s="455"/>
      <c r="I91" s="455"/>
      <c r="J91" s="455"/>
      <c r="K91" s="455"/>
      <c r="L91" s="455"/>
      <c r="M91" s="455"/>
      <c r="N91" s="455"/>
      <c r="O91" s="455"/>
      <c r="P91" s="455"/>
      <c r="Q91" s="455"/>
      <c r="R91" s="455"/>
      <c r="S91" s="455"/>
      <c r="T91" s="455"/>
      <c r="U91" s="455"/>
      <c r="V91" s="455"/>
      <c r="W91" s="455"/>
      <c r="X91" s="455"/>
      <c r="Y91" s="455"/>
      <c r="Z91" s="455"/>
      <c r="AA91" s="455"/>
      <c r="AB91" s="455"/>
      <c r="AC91" s="455"/>
      <c r="AD91" s="455"/>
      <c r="AE91" s="455"/>
      <c r="AF91" s="455"/>
      <c r="AG91" s="455"/>
      <c r="AH91" s="455"/>
      <c r="AI91" s="455"/>
      <c r="AJ91" s="455"/>
      <c r="AK91" s="455"/>
      <c r="AL91" s="455"/>
      <c r="AM91" s="455"/>
      <c r="AN91" s="455"/>
      <c r="AO91" s="455"/>
      <c r="AP91" s="455"/>
      <c r="AQ91" s="455"/>
      <c r="AR91" s="455"/>
      <c r="AS91" s="455"/>
      <c r="AT91" s="455"/>
      <c r="AU91" s="371" t="s">
        <v>7</v>
      </c>
      <c r="AV91" s="371"/>
      <c r="AW91" s="371"/>
      <c r="AX91" s="371" t="s">
        <v>7</v>
      </c>
      <c r="AY91" s="371"/>
      <c r="AZ91" s="371"/>
      <c r="BA91" s="371" t="s">
        <v>7</v>
      </c>
      <c r="BB91" s="371"/>
      <c r="BC91" s="371"/>
      <c r="BD91" s="371" t="s">
        <v>7</v>
      </c>
      <c r="BE91" s="371"/>
      <c r="BF91" s="371"/>
      <c r="BG91" s="371"/>
      <c r="BH91" s="371"/>
      <c r="BI91" s="371"/>
      <c r="BJ91" s="455" t="s">
        <v>160</v>
      </c>
      <c r="BK91" s="455"/>
      <c r="BL91" s="455"/>
      <c r="BM91" s="455" t="s">
        <v>160</v>
      </c>
      <c r="BN91" s="455"/>
      <c r="BO91" s="455"/>
      <c r="BP91" s="455"/>
      <c r="BQ91" s="455"/>
      <c r="BR91" s="455"/>
      <c r="BS91" s="455"/>
      <c r="BT91" s="455"/>
      <c r="BU91" s="455"/>
      <c r="BV91" s="455"/>
      <c r="BW91" s="455"/>
      <c r="BX91" s="455"/>
      <c r="BY91" s="455"/>
      <c r="BZ91" s="455"/>
      <c r="CA91" s="455"/>
      <c r="CB91" s="455"/>
      <c r="CC91" s="455"/>
      <c r="CD91" s="455"/>
      <c r="CE91" s="455"/>
      <c r="CF91" s="455"/>
      <c r="CG91" s="455"/>
      <c r="CH91" s="455"/>
      <c r="CI91" s="455"/>
      <c r="CJ91" s="455" t="s">
        <v>160</v>
      </c>
      <c r="CK91" s="455"/>
      <c r="CL91" s="455"/>
      <c r="CM91" s="455" t="s">
        <v>159</v>
      </c>
      <c r="CN91" s="455"/>
      <c r="CO91" s="455"/>
      <c r="CP91" s="455" t="s">
        <v>159</v>
      </c>
      <c r="CQ91" s="455"/>
      <c r="CR91" s="455"/>
      <c r="CS91" s="455" t="s">
        <v>159</v>
      </c>
      <c r="CT91" s="455"/>
      <c r="CU91" s="455"/>
      <c r="CV91" s="455" t="s">
        <v>160</v>
      </c>
      <c r="CW91" s="455"/>
      <c r="CX91" s="455"/>
      <c r="CY91" s="455" t="s">
        <v>160</v>
      </c>
      <c r="CZ91" s="455"/>
      <c r="DA91" s="455"/>
      <c r="DB91" s="455" t="s">
        <v>160</v>
      </c>
      <c r="DC91" s="455"/>
      <c r="DD91" s="455"/>
      <c r="DE91" s="7"/>
    </row>
    <row r="92" spans="1:133" ht="15" customHeight="1">
      <c r="A92" s="3"/>
      <c r="B92" s="455"/>
      <c r="C92" s="455"/>
      <c r="D92" s="455"/>
      <c r="E92" s="455"/>
      <c r="F92" s="455"/>
      <c r="G92" s="455"/>
      <c r="H92" s="455"/>
      <c r="I92" s="455"/>
      <c r="J92" s="455"/>
      <c r="K92" s="455"/>
      <c r="L92" s="455"/>
      <c r="M92" s="455"/>
      <c r="N92" s="455"/>
      <c r="O92" s="455"/>
      <c r="P92" s="455"/>
      <c r="Q92" s="455"/>
      <c r="R92" s="455"/>
      <c r="S92" s="455"/>
      <c r="T92" s="455"/>
      <c r="U92" s="455"/>
      <c r="V92" s="455"/>
      <c r="W92" s="455"/>
      <c r="X92" s="455"/>
      <c r="Y92" s="455"/>
      <c r="Z92" s="455"/>
      <c r="AA92" s="455"/>
      <c r="AB92" s="455"/>
      <c r="AC92" s="455"/>
      <c r="AD92" s="455"/>
      <c r="AE92" s="455"/>
      <c r="AF92" s="455"/>
      <c r="AG92" s="455"/>
      <c r="AH92" s="455"/>
      <c r="AI92" s="455"/>
      <c r="AJ92" s="455"/>
      <c r="AK92" s="455"/>
      <c r="AL92" s="455"/>
      <c r="AM92" s="455"/>
      <c r="AN92" s="455"/>
      <c r="AO92" s="455"/>
      <c r="AP92" s="455"/>
      <c r="AQ92" s="455"/>
      <c r="AR92" s="455"/>
      <c r="AS92" s="455"/>
      <c r="AT92" s="455"/>
      <c r="AU92" s="371" t="s">
        <v>7</v>
      </c>
      <c r="AV92" s="371"/>
      <c r="AW92" s="371"/>
      <c r="AX92" s="371" t="s">
        <v>7</v>
      </c>
      <c r="AY92" s="371"/>
      <c r="AZ92" s="371"/>
      <c r="BA92" s="371" t="s">
        <v>7</v>
      </c>
      <c r="BB92" s="371"/>
      <c r="BC92" s="371"/>
      <c r="BD92" s="371" t="s">
        <v>7</v>
      </c>
      <c r="BE92" s="371"/>
      <c r="BF92" s="371"/>
      <c r="BG92" s="371"/>
      <c r="BH92" s="371"/>
      <c r="BI92" s="371"/>
      <c r="BJ92" s="455" t="s">
        <v>160</v>
      </c>
      <c r="BK92" s="455"/>
      <c r="BL92" s="455"/>
      <c r="BM92" s="455" t="s">
        <v>160</v>
      </c>
      <c r="BN92" s="455"/>
      <c r="BO92" s="455"/>
      <c r="BP92" s="455"/>
      <c r="BQ92" s="455"/>
      <c r="BR92" s="455"/>
      <c r="BS92" s="455"/>
      <c r="BT92" s="455"/>
      <c r="BU92" s="455"/>
      <c r="BV92" s="455"/>
      <c r="BW92" s="455"/>
      <c r="BX92" s="455"/>
      <c r="BY92" s="455"/>
      <c r="BZ92" s="455"/>
      <c r="CA92" s="455"/>
      <c r="CB92" s="455"/>
      <c r="CC92" s="455"/>
      <c r="CD92" s="455"/>
      <c r="CE92" s="455"/>
      <c r="CF92" s="455"/>
      <c r="CG92" s="455"/>
      <c r="CH92" s="455"/>
      <c r="CI92" s="455"/>
      <c r="CJ92" s="455" t="s">
        <v>160</v>
      </c>
      <c r="CK92" s="455"/>
      <c r="CL92" s="455"/>
      <c r="CM92" s="455" t="s">
        <v>159</v>
      </c>
      <c r="CN92" s="455"/>
      <c r="CO92" s="455"/>
      <c r="CP92" s="455" t="s">
        <v>159</v>
      </c>
      <c r="CQ92" s="455"/>
      <c r="CR92" s="455"/>
      <c r="CS92" s="455" t="s">
        <v>159</v>
      </c>
      <c r="CT92" s="455"/>
      <c r="CU92" s="455"/>
      <c r="CV92" s="455" t="s">
        <v>160</v>
      </c>
      <c r="CW92" s="455"/>
      <c r="CX92" s="455"/>
      <c r="CY92" s="455" t="s">
        <v>160</v>
      </c>
      <c r="CZ92" s="455"/>
      <c r="DA92" s="455"/>
      <c r="DB92" s="455" t="s">
        <v>160</v>
      </c>
      <c r="DC92" s="455"/>
      <c r="DD92" s="455"/>
      <c r="DE92" s="7"/>
    </row>
    <row r="93" spans="1:133" ht="15" customHeight="1">
      <c r="A93" s="3"/>
      <c r="B93" s="455"/>
      <c r="C93" s="455"/>
      <c r="D93" s="455"/>
      <c r="E93" s="455"/>
      <c r="F93" s="455"/>
      <c r="G93" s="455"/>
      <c r="H93" s="455"/>
      <c r="I93" s="455"/>
      <c r="J93" s="455"/>
      <c r="K93" s="455"/>
      <c r="L93" s="455"/>
      <c r="M93" s="455"/>
      <c r="N93" s="455"/>
      <c r="O93" s="455"/>
      <c r="P93" s="455"/>
      <c r="Q93" s="455"/>
      <c r="R93" s="455"/>
      <c r="S93" s="455"/>
      <c r="T93" s="455"/>
      <c r="U93" s="455"/>
      <c r="V93" s="455"/>
      <c r="W93" s="455"/>
      <c r="X93" s="455"/>
      <c r="Y93" s="455"/>
      <c r="Z93" s="455"/>
      <c r="AA93" s="455"/>
      <c r="AB93" s="455"/>
      <c r="AC93" s="455"/>
      <c r="AD93" s="455"/>
      <c r="AE93" s="455"/>
      <c r="AF93" s="455"/>
      <c r="AG93" s="455"/>
      <c r="AH93" s="455"/>
      <c r="AI93" s="455"/>
      <c r="AJ93" s="455"/>
      <c r="AK93" s="455"/>
      <c r="AL93" s="455"/>
      <c r="AM93" s="455"/>
      <c r="AN93" s="455"/>
      <c r="AO93" s="455"/>
      <c r="AP93" s="455"/>
      <c r="AQ93" s="455"/>
      <c r="AR93" s="455"/>
      <c r="AS93" s="455"/>
      <c r="AT93" s="455"/>
      <c r="AU93" s="371" t="s">
        <v>7</v>
      </c>
      <c r="AV93" s="371"/>
      <c r="AW93" s="371"/>
      <c r="AX93" s="371" t="s">
        <v>7</v>
      </c>
      <c r="AY93" s="371"/>
      <c r="AZ93" s="371"/>
      <c r="BA93" s="371" t="s">
        <v>7</v>
      </c>
      <c r="BB93" s="371"/>
      <c r="BC93" s="371"/>
      <c r="BD93" s="371" t="s">
        <v>7</v>
      </c>
      <c r="BE93" s="371"/>
      <c r="BF93" s="371"/>
      <c r="BG93" s="371"/>
      <c r="BH93" s="371"/>
      <c r="BI93" s="371"/>
      <c r="BJ93" s="455" t="s">
        <v>160</v>
      </c>
      <c r="BK93" s="455"/>
      <c r="BL93" s="455"/>
      <c r="BM93" s="455" t="s">
        <v>160</v>
      </c>
      <c r="BN93" s="455"/>
      <c r="BO93" s="455"/>
      <c r="BP93" s="455"/>
      <c r="BQ93" s="455"/>
      <c r="BR93" s="455"/>
      <c r="BS93" s="455"/>
      <c r="BT93" s="455"/>
      <c r="BU93" s="455"/>
      <c r="BV93" s="455"/>
      <c r="BW93" s="455"/>
      <c r="BX93" s="455"/>
      <c r="BY93" s="455"/>
      <c r="BZ93" s="455"/>
      <c r="CA93" s="455"/>
      <c r="CB93" s="455"/>
      <c r="CC93" s="455"/>
      <c r="CD93" s="455"/>
      <c r="CE93" s="455"/>
      <c r="CF93" s="455"/>
      <c r="CG93" s="455"/>
      <c r="CH93" s="455"/>
      <c r="CI93" s="455"/>
      <c r="CJ93" s="455" t="s">
        <v>160</v>
      </c>
      <c r="CK93" s="455"/>
      <c r="CL93" s="455"/>
      <c r="CM93" s="455" t="s">
        <v>159</v>
      </c>
      <c r="CN93" s="455"/>
      <c r="CO93" s="455"/>
      <c r="CP93" s="455" t="s">
        <v>159</v>
      </c>
      <c r="CQ93" s="455"/>
      <c r="CR93" s="455"/>
      <c r="CS93" s="455" t="s">
        <v>159</v>
      </c>
      <c r="CT93" s="455"/>
      <c r="CU93" s="455"/>
      <c r="CV93" s="455" t="s">
        <v>160</v>
      </c>
      <c r="CW93" s="455"/>
      <c r="CX93" s="455"/>
      <c r="CY93" s="455" t="s">
        <v>160</v>
      </c>
      <c r="CZ93" s="455"/>
      <c r="DA93" s="455"/>
      <c r="DB93" s="455" t="s">
        <v>160</v>
      </c>
      <c r="DC93" s="455"/>
      <c r="DD93" s="455"/>
      <c r="DE93" s="7"/>
    </row>
    <row r="94" spans="1:133" ht="15" customHeight="1">
      <c r="A94" s="3"/>
      <c r="B94" s="455"/>
      <c r="C94" s="455"/>
      <c r="D94" s="455"/>
      <c r="E94" s="455"/>
      <c r="F94" s="455"/>
      <c r="G94" s="455"/>
      <c r="H94" s="455"/>
      <c r="I94" s="455"/>
      <c r="J94" s="455"/>
      <c r="K94" s="455"/>
      <c r="L94" s="455"/>
      <c r="M94" s="455"/>
      <c r="N94" s="455"/>
      <c r="O94" s="455"/>
      <c r="P94" s="455"/>
      <c r="Q94" s="455"/>
      <c r="R94" s="455"/>
      <c r="S94" s="455"/>
      <c r="T94" s="455"/>
      <c r="U94" s="455"/>
      <c r="V94" s="455"/>
      <c r="W94" s="455"/>
      <c r="X94" s="455"/>
      <c r="Y94" s="455"/>
      <c r="Z94" s="452"/>
      <c r="AA94" s="453"/>
      <c r="AB94" s="453"/>
      <c r="AC94" s="453"/>
      <c r="AD94" s="453"/>
      <c r="AE94" s="453"/>
      <c r="AF94" s="454"/>
      <c r="AG94" s="455"/>
      <c r="AH94" s="455"/>
      <c r="AI94" s="455"/>
      <c r="AJ94" s="455"/>
      <c r="AK94" s="455"/>
      <c r="AL94" s="455"/>
      <c r="AM94" s="455"/>
      <c r="AN94" s="455"/>
      <c r="AO94" s="455"/>
      <c r="AP94" s="455"/>
      <c r="AQ94" s="455"/>
      <c r="AR94" s="455"/>
      <c r="AS94" s="455"/>
      <c r="AT94" s="455"/>
      <c r="AU94" s="371" t="s">
        <v>7</v>
      </c>
      <c r="AV94" s="371"/>
      <c r="AW94" s="371"/>
      <c r="AX94" s="371" t="s">
        <v>7</v>
      </c>
      <c r="AY94" s="371"/>
      <c r="AZ94" s="371"/>
      <c r="BA94" s="371" t="s">
        <v>7</v>
      </c>
      <c r="BB94" s="371"/>
      <c r="BC94" s="371"/>
      <c r="BD94" s="371" t="s">
        <v>7</v>
      </c>
      <c r="BE94" s="371"/>
      <c r="BF94" s="371"/>
      <c r="BG94" s="371"/>
      <c r="BH94" s="371"/>
      <c r="BI94" s="371"/>
      <c r="BJ94" s="455" t="s">
        <v>160</v>
      </c>
      <c r="BK94" s="455"/>
      <c r="BL94" s="455"/>
      <c r="BM94" s="455" t="s">
        <v>160</v>
      </c>
      <c r="BN94" s="455"/>
      <c r="BO94" s="455"/>
      <c r="BP94" s="455"/>
      <c r="BQ94" s="455"/>
      <c r="BR94" s="455"/>
      <c r="BS94" s="455"/>
      <c r="BT94" s="455"/>
      <c r="BU94" s="455"/>
      <c r="BV94" s="455"/>
      <c r="BW94" s="455"/>
      <c r="BX94" s="455"/>
      <c r="BY94" s="455"/>
      <c r="BZ94" s="455"/>
      <c r="CA94" s="455"/>
      <c r="CB94" s="455"/>
      <c r="CC94" s="455"/>
      <c r="CD94" s="455"/>
      <c r="CE94" s="455"/>
      <c r="CF94" s="455"/>
      <c r="CG94" s="455"/>
      <c r="CH94" s="455"/>
      <c r="CI94" s="455"/>
      <c r="CJ94" s="455" t="s">
        <v>160</v>
      </c>
      <c r="CK94" s="455"/>
      <c r="CL94" s="455"/>
      <c r="CM94" s="455" t="s">
        <v>159</v>
      </c>
      <c r="CN94" s="455"/>
      <c r="CO94" s="455"/>
      <c r="CP94" s="455" t="s">
        <v>159</v>
      </c>
      <c r="CQ94" s="455"/>
      <c r="CR94" s="455"/>
      <c r="CS94" s="455" t="s">
        <v>159</v>
      </c>
      <c r="CT94" s="455"/>
      <c r="CU94" s="455"/>
      <c r="CV94" s="455" t="s">
        <v>160</v>
      </c>
      <c r="CW94" s="455"/>
      <c r="CX94" s="455"/>
      <c r="CY94" s="455" t="s">
        <v>160</v>
      </c>
      <c r="CZ94" s="455"/>
      <c r="DA94" s="455"/>
      <c r="DB94" s="455" t="s">
        <v>160</v>
      </c>
      <c r="DC94" s="455"/>
      <c r="DD94" s="455"/>
      <c r="DE94" s="24"/>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row>
    <row r="95" spans="1:133" ht="15" customHeight="1">
      <c r="A95" s="3"/>
      <c r="B95" s="455"/>
      <c r="C95" s="455"/>
      <c r="D95" s="455"/>
      <c r="E95" s="455"/>
      <c r="F95" s="455"/>
      <c r="G95" s="455"/>
      <c r="H95" s="455"/>
      <c r="I95" s="455"/>
      <c r="J95" s="455"/>
      <c r="K95" s="455"/>
      <c r="L95" s="455"/>
      <c r="M95" s="455"/>
      <c r="N95" s="455"/>
      <c r="O95" s="455"/>
      <c r="P95" s="455"/>
      <c r="Q95" s="455"/>
      <c r="R95" s="455"/>
      <c r="S95" s="455"/>
      <c r="T95" s="455"/>
      <c r="U95" s="455"/>
      <c r="V95" s="455"/>
      <c r="W95" s="455"/>
      <c r="X95" s="455"/>
      <c r="Y95" s="455"/>
      <c r="Z95" s="452"/>
      <c r="AA95" s="453"/>
      <c r="AB95" s="453"/>
      <c r="AC95" s="453"/>
      <c r="AD95" s="453"/>
      <c r="AE95" s="453"/>
      <c r="AF95" s="454"/>
      <c r="AG95" s="455"/>
      <c r="AH95" s="455"/>
      <c r="AI95" s="455"/>
      <c r="AJ95" s="455"/>
      <c r="AK95" s="455"/>
      <c r="AL95" s="455"/>
      <c r="AM95" s="455"/>
      <c r="AN95" s="455"/>
      <c r="AO95" s="455"/>
      <c r="AP95" s="455"/>
      <c r="AQ95" s="455"/>
      <c r="AR95" s="455"/>
      <c r="AS95" s="455"/>
      <c r="AT95" s="455"/>
      <c r="AU95" s="371" t="s">
        <v>7</v>
      </c>
      <c r="AV95" s="371"/>
      <c r="AW95" s="371"/>
      <c r="AX95" s="371" t="s">
        <v>7</v>
      </c>
      <c r="AY95" s="371"/>
      <c r="AZ95" s="371"/>
      <c r="BA95" s="371" t="s">
        <v>7</v>
      </c>
      <c r="BB95" s="371"/>
      <c r="BC95" s="371"/>
      <c r="BD95" s="371" t="s">
        <v>7</v>
      </c>
      <c r="BE95" s="371"/>
      <c r="BF95" s="371"/>
      <c r="BG95" s="371"/>
      <c r="BH95" s="371"/>
      <c r="BI95" s="371"/>
      <c r="BJ95" s="455" t="s">
        <v>160</v>
      </c>
      <c r="BK95" s="455"/>
      <c r="BL95" s="455"/>
      <c r="BM95" s="455" t="s">
        <v>160</v>
      </c>
      <c r="BN95" s="455"/>
      <c r="BO95" s="455"/>
      <c r="BP95" s="455"/>
      <c r="BQ95" s="455"/>
      <c r="BR95" s="455"/>
      <c r="BS95" s="455"/>
      <c r="BT95" s="455"/>
      <c r="BU95" s="455"/>
      <c r="BV95" s="455"/>
      <c r="BW95" s="455"/>
      <c r="BX95" s="455"/>
      <c r="BY95" s="455"/>
      <c r="BZ95" s="455"/>
      <c r="CA95" s="455"/>
      <c r="CB95" s="455"/>
      <c r="CC95" s="455"/>
      <c r="CD95" s="455"/>
      <c r="CE95" s="455"/>
      <c r="CF95" s="455"/>
      <c r="CG95" s="455"/>
      <c r="CH95" s="455"/>
      <c r="CI95" s="455"/>
      <c r="CJ95" s="455" t="s">
        <v>160</v>
      </c>
      <c r="CK95" s="455"/>
      <c r="CL95" s="455"/>
      <c r="CM95" s="455" t="s">
        <v>159</v>
      </c>
      <c r="CN95" s="455"/>
      <c r="CO95" s="455"/>
      <c r="CP95" s="455" t="s">
        <v>159</v>
      </c>
      <c r="CQ95" s="455"/>
      <c r="CR95" s="455"/>
      <c r="CS95" s="455" t="s">
        <v>159</v>
      </c>
      <c r="CT95" s="455"/>
      <c r="CU95" s="455"/>
      <c r="CV95" s="455" t="s">
        <v>160</v>
      </c>
      <c r="CW95" s="455"/>
      <c r="CX95" s="455"/>
      <c r="CY95" s="455" t="s">
        <v>160</v>
      </c>
      <c r="CZ95" s="455"/>
      <c r="DA95" s="455"/>
      <c r="DB95" s="455" t="s">
        <v>160</v>
      </c>
      <c r="DC95" s="455"/>
      <c r="DD95" s="455"/>
      <c r="DE95" s="7"/>
    </row>
    <row r="96" spans="1:133" ht="15" customHeight="1">
      <c r="A96" s="8"/>
      <c r="B96" s="455"/>
      <c r="C96" s="455"/>
      <c r="D96" s="455"/>
      <c r="E96" s="455"/>
      <c r="F96" s="455"/>
      <c r="G96" s="455"/>
      <c r="H96" s="455"/>
      <c r="I96" s="455"/>
      <c r="J96" s="455"/>
      <c r="K96" s="455"/>
      <c r="L96" s="455"/>
      <c r="M96" s="455"/>
      <c r="N96" s="455"/>
      <c r="O96" s="455"/>
      <c r="P96" s="455"/>
      <c r="Q96" s="455"/>
      <c r="R96" s="455"/>
      <c r="S96" s="455"/>
      <c r="T96" s="455"/>
      <c r="U96" s="455"/>
      <c r="V96" s="455"/>
      <c r="W96" s="455"/>
      <c r="X96" s="455"/>
      <c r="Y96" s="455"/>
      <c r="Z96" s="452"/>
      <c r="AA96" s="453"/>
      <c r="AB96" s="453"/>
      <c r="AC96" s="453"/>
      <c r="AD96" s="453"/>
      <c r="AE96" s="453"/>
      <c r="AF96" s="454"/>
      <c r="AG96" s="455"/>
      <c r="AH96" s="455"/>
      <c r="AI96" s="455"/>
      <c r="AJ96" s="455"/>
      <c r="AK96" s="455"/>
      <c r="AL96" s="455"/>
      <c r="AM96" s="455"/>
      <c r="AN96" s="455"/>
      <c r="AO96" s="455"/>
      <c r="AP96" s="455"/>
      <c r="AQ96" s="455"/>
      <c r="AR96" s="455"/>
      <c r="AS96" s="455"/>
      <c r="AT96" s="455"/>
      <c r="AU96" s="371" t="s">
        <v>7</v>
      </c>
      <c r="AV96" s="371"/>
      <c r="AW96" s="371"/>
      <c r="AX96" s="371" t="s">
        <v>7</v>
      </c>
      <c r="AY96" s="371"/>
      <c r="AZ96" s="371"/>
      <c r="BA96" s="371" t="s">
        <v>7</v>
      </c>
      <c r="BB96" s="371"/>
      <c r="BC96" s="371"/>
      <c r="BD96" s="371" t="s">
        <v>7</v>
      </c>
      <c r="BE96" s="371"/>
      <c r="BF96" s="371"/>
      <c r="BG96" s="371"/>
      <c r="BH96" s="371"/>
      <c r="BI96" s="371"/>
      <c r="BJ96" s="455" t="s">
        <v>160</v>
      </c>
      <c r="BK96" s="455"/>
      <c r="BL96" s="455"/>
      <c r="BM96" s="455" t="s">
        <v>160</v>
      </c>
      <c r="BN96" s="455"/>
      <c r="BO96" s="455"/>
      <c r="BP96" s="455"/>
      <c r="BQ96" s="455"/>
      <c r="BR96" s="455"/>
      <c r="BS96" s="455"/>
      <c r="BT96" s="455"/>
      <c r="BU96" s="455"/>
      <c r="BV96" s="455"/>
      <c r="BW96" s="455"/>
      <c r="BX96" s="455"/>
      <c r="BY96" s="455"/>
      <c r="BZ96" s="455"/>
      <c r="CA96" s="455"/>
      <c r="CB96" s="455"/>
      <c r="CC96" s="455"/>
      <c r="CD96" s="455"/>
      <c r="CE96" s="455"/>
      <c r="CF96" s="455"/>
      <c r="CG96" s="455"/>
      <c r="CH96" s="455"/>
      <c r="CI96" s="455"/>
      <c r="CJ96" s="455" t="s">
        <v>160</v>
      </c>
      <c r="CK96" s="455"/>
      <c r="CL96" s="455"/>
      <c r="CM96" s="455" t="s">
        <v>159</v>
      </c>
      <c r="CN96" s="455"/>
      <c r="CO96" s="455"/>
      <c r="CP96" s="455" t="s">
        <v>159</v>
      </c>
      <c r="CQ96" s="455"/>
      <c r="CR96" s="455"/>
      <c r="CS96" s="455" t="s">
        <v>159</v>
      </c>
      <c r="CT96" s="455"/>
      <c r="CU96" s="455"/>
      <c r="CV96" s="455" t="s">
        <v>160</v>
      </c>
      <c r="CW96" s="455"/>
      <c r="CX96" s="455"/>
      <c r="CY96" s="455" t="s">
        <v>160</v>
      </c>
      <c r="CZ96" s="455"/>
      <c r="DA96" s="455"/>
      <c r="DB96" s="455" t="s">
        <v>160</v>
      </c>
      <c r="DC96" s="455"/>
      <c r="DD96" s="455"/>
      <c r="DE96" s="7"/>
    </row>
    <row r="97" spans="1:133" ht="15" customHeight="1">
      <c r="A97" s="6"/>
      <c r="B97" s="455"/>
      <c r="C97" s="455"/>
      <c r="D97" s="455"/>
      <c r="E97" s="455"/>
      <c r="F97" s="455"/>
      <c r="G97" s="455"/>
      <c r="H97" s="455"/>
      <c r="I97" s="455"/>
      <c r="J97" s="455"/>
      <c r="K97" s="455"/>
      <c r="L97" s="455"/>
      <c r="M97" s="455"/>
      <c r="N97" s="455"/>
      <c r="O97" s="455"/>
      <c r="P97" s="455"/>
      <c r="Q97" s="455"/>
      <c r="R97" s="455"/>
      <c r="S97" s="455"/>
      <c r="T97" s="455"/>
      <c r="U97" s="455"/>
      <c r="V97" s="455"/>
      <c r="W97" s="455"/>
      <c r="X97" s="455"/>
      <c r="Y97" s="455"/>
      <c r="Z97" s="455"/>
      <c r="AA97" s="455"/>
      <c r="AB97" s="455"/>
      <c r="AC97" s="455"/>
      <c r="AD97" s="455"/>
      <c r="AE97" s="455"/>
      <c r="AF97" s="455"/>
      <c r="AG97" s="455"/>
      <c r="AH97" s="455"/>
      <c r="AI97" s="455"/>
      <c r="AJ97" s="455"/>
      <c r="AK97" s="455"/>
      <c r="AL97" s="455"/>
      <c r="AM97" s="455"/>
      <c r="AN97" s="455"/>
      <c r="AO97" s="455"/>
      <c r="AP97" s="455"/>
      <c r="AQ97" s="455"/>
      <c r="AR97" s="455"/>
      <c r="AS97" s="455"/>
      <c r="AT97" s="455"/>
      <c r="AU97" s="371"/>
      <c r="AV97" s="371"/>
      <c r="AW97" s="371"/>
      <c r="AX97" s="371"/>
      <c r="AY97" s="371"/>
      <c r="AZ97" s="371"/>
      <c r="BA97" s="371"/>
      <c r="BB97" s="371"/>
      <c r="BC97" s="371"/>
      <c r="BD97" s="371"/>
      <c r="BE97" s="371"/>
      <c r="BF97" s="371"/>
      <c r="BG97" s="371"/>
      <c r="BH97" s="371"/>
      <c r="BI97" s="371"/>
      <c r="BJ97" s="455"/>
      <c r="BK97" s="455"/>
      <c r="BL97" s="455"/>
      <c r="BM97" s="455"/>
      <c r="BN97" s="455"/>
      <c r="BO97" s="455"/>
      <c r="BP97" s="455"/>
      <c r="BQ97" s="455"/>
      <c r="BR97" s="455"/>
      <c r="BS97" s="455"/>
      <c r="BT97" s="455"/>
      <c r="BU97" s="455"/>
      <c r="BV97" s="455"/>
      <c r="BW97" s="455"/>
      <c r="BX97" s="455"/>
      <c r="BY97" s="455"/>
      <c r="BZ97" s="455"/>
      <c r="CA97" s="455"/>
      <c r="CB97" s="455"/>
      <c r="CC97" s="455"/>
      <c r="CD97" s="455"/>
      <c r="CE97" s="455"/>
      <c r="CF97" s="455"/>
      <c r="CG97" s="455"/>
      <c r="CH97" s="455"/>
      <c r="CI97" s="455"/>
      <c r="CJ97" s="455"/>
      <c r="CK97" s="455"/>
      <c r="CL97" s="455"/>
      <c r="CM97" s="455"/>
      <c r="CN97" s="455"/>
      <c r="CO97" s="455"/>
      <c r="CP97" s="455"/>
      <c r="CQ97" s="455"/>
      <c r="CR97" s="455"/>
      <c r="CS97" s="455"/>
      <c r="CT97" s="455"/>
      <c r="CU97" s="455"/>
      <c r="CV97" s="455"/>
      <c r="CW97" s="455"/>
      <c r="CX97" s="455"/>
      <c r="CY97" s="455"/>
      <c r="CZ97" s="455"/>
      <c r="DA97" s="455"/>
      <c r="DB97" s="455"/>
      <c r="DC97" s="455"/>
      <c r="DD97" s="455"/>
      <c r="DE97" s="7"/>
    </row>
    <row r="98" spans="1:133" ht="15" customHeight="1">
      <c r="A98" s="3"/>
      <c r="B98" s="455"/>
      <c r="C98" s="455"/>
      <c r="D98" s="455"/>
      <c r="E98" s="455"/>
      <c r="F98" s="455"/>
      <c r="G98" s="455"/>
      <c r="H98" s="455"/>
      <c r="I98" s="455"/>
      <c r="J98" s="455"/>
      <c r="K98" s="455"/>
      <c r="L98" s="455"/>
      <c r="M98" s="455"/>
      <c r="N98" s="455"/>
      <c r="O98" s="455"/>
      <c r="P98" s="455"/>
      <c r="Q98" s="455"/>
      <c r="R98" s="455"/>
      <c r="S98" s="455"/>
      <c r="T98" s="455"/>
      <c r="U98" s="455"/>
      <c r="V98" s="455"/>
      <c r="W98" s="455"/>
      <c r="X98" s="455"/>
      <c r="Y98" s="455"/>
      <c r="Z98" s="455"/>
      <c r="AA98" s="455"/>
      <c r="AB98" s="455"/>
      <c r="AC98" s="455"/>
      <c r="AD98" s="455"/>
      <c r="AE98" s="455"/>
      <c r="AF98" s="455"/>
      <c r="AG98" s="455"/>
      <c r="AH98" s="455"/>
      <c r="AI98" s="455"/>
      <c r="AJ98" s="455"/>
      <c r="AK98" s="455"/>
      <c r="AL98" s="455"/>
      <c r="AM98" s="455"/>
      <c r="AN98" s="455"/>
      <c r="AO98" s="455"/>
      <c r="AP98" s="455"/>
      <c r="AQ98" s="455"/>
      <c r="AR98" s="455"/>
      <c r="AS98" s="455"/>
      <c r="AT98" s="455"/>
      <c r="AU98" s="371"/>
      <c r="AV98" s="371"/>
      <c r="AW98" s="371"/>
      <c r="AX98" s="371"/>
      <c r="AY98" s="371"/>
      <c r="AZ98" s="371"/>
      <c r="BA98" s="371"/>
      <c r="BB98" s="371"/>
      <c r="BC98" s="371"/>
      <c r="BD98" s="371"/>
      <c r="BE98" s="371"/>
      <c r="BF98" s="371"/>
      <c r="BG98" s="371"/>
      <c r="BH98" s="371"/>
      <c r="BI98" s="371"/>
      <c r="BJ98" s="455"/>
      <c r="BK98" s="455"/>
      <c r="BL98" s="455"/>
      <c r="BM98" s="455"/>
      <c r="BN98" s="455"/>
      <c r="BO98" s="455"/>
      <c r="BP98" s="455"/>
      <c r="BQ98" s="455"/>
      <c r="BR98" s="455"/>
      <c r="BS98" s="455"/>
      <c r="BT98" s="455"/>
      <c r="BU98" s="455"/>
      <c r="BV98" s="455"/>
      <c r="BW98" s="455"/>
      <c r="BX98" s="455"/>
      <c r="BY98" s="455"/>
      <c r="BZ98" s="455"/>
      <c r="CA98" s="455"/>
      <c r="CB98" s="455"/>
      <c r="CC98" s="455"/>
      <c r="CD98" s="455"/>
      <c r="CE98" s="455"/>
      <c r="CF98" s="455"/>
      <c r="CG98" s="455"/>
      <c r="CH98" s="455"/>
      <c r="CI98" s="455"/>
      <c r="CJ98" s="455"/>
      <c r="CK98" s="455"/>
      <c r="CL98" s="455"/>
      <c r="CM98" s="455"/>
      <c r="CN98" s="455"/>
      <c r="CO98" s="455"/>
      <c r="CP98" s="455"/>
      <c r="CQ98" s="455"/>
      <c r="CR98" s="455"/>
      <c r="CS98" s="455"/>
      <c r="CT98" s="455"/>
      <c r="CU98" s="455"/>
      <c r="CV98" s="455"/>
      <c r="CW98" s="455"/>
      <c r="CX98" s="455"/>
      <c r="CY98" s="455"/>
      <c r="CZ98" s="455"/>
      <c r="DA98" s="455"/>
      <c r="DB98" s="455"/>
      <c r="DC98" s="455"/>
      <c r="DD98" s="455"/>
      <c r="DE98" s="7"/>
    </row>
    <row r="99" spans="1:133" ht="15" customHeight="1">
      <c r="A99" s="6"/>
      <c r="B99" s="455"/>
      <c r="C99" s="455"/>
      <c r="D99" s="455"/>
      <c r="E99" s="455"/>
      <c r="F99" s="455"/>
      <c r="G99" s="455"/>
      <c r="H99" s="455"/>
      <c r="I99" s="455"/>
      <c r="J99" s="455"/>
      <c r="K99" s="455"/>
      <c r="L99" s="455"/>
      <c r="M99" s="455"/>
      <c r="N99" s="455"/>
      <c r="O99" s="455"/>
      <c r="P99" s="455"/>
      <c r="Q99" s="455"/>
      <c r="R99" s="455"/>
      <c r="S99" s="455"/>
      <c r="T99" s="455"/>
      <c r="U99" s="455"/>
      <c r="V99" s="455"/>
      <c r="W99" s="455"/>
      <c r="X99" s="455"/>
      <c r="Y99" s="455"/>
      <c r="Z99" s="455"/>
      <c r="AA99" s="455"/>
      <c r="AB99" s="455"/>
      <c r="AC99" s="455"/>
      <c r="AD99" s="455"/>
      <c r="AE99" s="455"/>
      <c r="AF99" s="455"/>
      <c r="AG99" s="455"/>
      <c r="AH99" s="455"/>
      <c r="AI99" s="455"/>
      <c r="AJ99" s="455"/>
      <c r="AK99" s="455"/>
      <c r="AL99" s="455"/>
      <c r="AM99" s="455"/>
      <c r="AN99" s="455"/>
      <c r="AO99" s="455"/>
      <c r="AP99" s="455"/>
      <c r="AQ99" s="455"/>
      <c r="AR99" s="455"/>
      <c r="AS99" s="455"/>
      <c r="AT99" s="455"/>
      <c r="AU99" s="371"/>
      <c r="AV99" s="371"/>
      <c r="AW99" s="371"/>
      <c r="AX99" s="371"/>
      <c r="AY99" s="371"/>
      <c r="AZ99" s="371"/>
      <c r="BA99" s="371"/>
      <c r="BB99" s="371"/>
      <c r="BC99" s="371"/>
      <c r="BD99" s="371"/>
      <c r="BE99" s="371"/>
      <c r="BF99" s="371"/>
      <c r="BG99" s="371"/>
      <c r="BH99" s="371"/>
      <c r="BI99" s="371"/>
      <c r="BJ99" s="455"/>
      <c r="BK99" s="455"/>
      <c r="BL99" s="455"/>
      <c r="BM99" s="455"/>
      <c r="BN99" s="455"/>
      <c r="BO99" s="455"/>
      <c r="BP99" s="455"/>
      <c r="BQ99" s="455"/>
      <c r="BR99" s="455"/>
      <c r="BS99" s="455"/>
      <c r="BT99" s="455"/>
      <c r="BU99" s="455"/>
      <c r="BV99" s="455"/>
      <c r="BW99" s="455"/>
      <c r="BX99" s="455"/>
      <c r="BY99" s="455"/>
      <c r="BZ99" s="455"/>
      <c r="CA99" s="455"/>
      <c r="CB99" s="455"/>
      <c r="CC99" s="455"/>
      <c r="CD99" s="455"/>
      <c r="CE99" s="455"/>
      <c r="CF99" s="455"/>
      <c r="CG99" s="455"/>
      <c r="CH99" s="455"/>
      <c r="CI99" s="455"/>
      <c r="CJ99" s="455"/>
      <c r="CK99" s="455"/>
      <c r="CL99" s="455"/>
      <c r="CM99" s="455"/>
      <c r="CN99" s="455"/>
      <c r="CO99" s="455"/>
      <c r="CP99" s="455"/>
      <c r="CQ99" s="455"/>
      <c r="CR99" s="455"/>
      <c r="CS99" s="455"/>
      <c r="CT99" s="455"/>
      <c r="CU99" s="455"/>
      <c r="CV99" s="455"/>
      <c r="CW99" s="455"/>
      <c r="CX99" s="455"/>
      <c r="CY99" s="455"/>
      <c r="CZ99" s="455"/>
      <c r="DA99" s="455"/>
      <c r="DB99" s="455"/>
      <c r="DC99" s="455"/>
      <c r="DD99" s="455"/>
      <c r="DE99" s="7"/>
    </row>
    <row r="100" spans="1:133" ht="15" customHeight="1">
      <c r="A100" s="6"/>
      <c r="B100" s="455"/>
      <c r="C100" s="455"/>
      <c r="D100" s="455"/>
      <c r="E100" s="455"/>
      <c r="F100" s="455"/>
      <c r="G100" s="455"/>
      <c r="H100" s="455"/>
      <c r="I100" s="455"/>
      <c r="J100" s="455"/>
      <c r="K100" s="455"/>
      <c r="L100" s="455"/>
      <c r="M100" s="455"/>
      <c r="N100" s="455"/>
      <c r="O100" s="455"/>
      <c r="P100" s="455"/>
      <c r="Q100" s="455"/>
      <c r="R100" s="455"/>
      <c r="S100" s="455"/>
      <c r="T100" s="455"/>
      <c r="U100" s="455"/>
      <c r="V100" s="455"/>
      <c r="W100" s="455"/>
      <c r="X100" s="455"/>
      <c r="Y100" s="455"/>
      <c r="Z100" s="455"/>
      <c r="AA100" s="455"/>
      <c r="AB100" s="455"/>
      <c r="AC100" s="455"/>
      <c r="AD100" s="455"/>
      <c r="AE100" s="455"/>
      <c r="AF100" s="455"/>
      <c r="AG100" s="455"/>
      <c r="AH100" s="455"/>
      <c r="AI100" s="455"/>
      <c r="AJ100" s="455"/>
      <c r="AK100" s="455"/>
      <c r="AL100" s="455"/>
      <c r="AM100" s="455"/>
      <c r="AN100" s="455"/>
      <c r="AO100" s="455"/>
      <c r="AP100" s="455"/>
      <c r="AQ100" s="455"/>
      <c r="AR100" s="455"/>
      <c r="AS100" s="455"/>
      <c r="AT100" s="455"/>
      <c r="AU100" s="371"/>
      <c r="AV100" s="371"/>
      <c r="AW100" s="371"/>
      <c r="AX100" s="371"/>
      <c r="AY100" s="371"/>
      <c r="AZ100" s="371"/>
      <c r="BA100" s="371"/>
      <c r="BB100" s="371"/>
      <c r="BC100" s="371"/>
      <c r="BD100" s="371"/>
      <c r="BE100" s="371"/>
      <c r="BF100" s="371"/>
      <c r="BG100" s="371"/>
      <c r="BH100" s="371"/>
      <c r="BI100" s="371"/>
      <c r="BJ100" s="455"/>
      <c r="BK100" s="455"/>
      <c r="BL100" s="455"/>
      <c r="BM100" s="455"/>
      <c r="BN100" s="455"/>
      <c r="BO100" s="455"/>
      <c r="BP100" s="455"/>
      <c r="BQ100" s="455"/>
      <c r="BR100" s="455"/>
      <c r="BS100" s="455"/>
      <c r="BT100" s="455"/>
      <c r="BU100" s="455"/>
      <c r="BV100" s="455"/>
      <c r="BW100" s="455"/>
      <c r="BX100" s="455"/>
      <c r="BY100" s="455"/>
      <c r="BZ100" s="455"/>
      <c r="CA100" s="455"/>
      <c r="CB100" s="455"/>
      <c r="CC100" s="455"/>
      <c r="CD100" s="455"/>
      <c r="CE100" s="455"/>
      <c r="CF100" s="455"/>
      <c r="CG100" s="455"/>
      <c r="CH100" s="455"/>
      <c r="CI100" s="455"/>
      <c r="CJ100" s="455"/>
      <c r="CK100" s="455"/>
      <c r="CL100" s="455"/>
      <c r="CM100" s="455"/>
      <c r="CN100" s="455"/>
      <c r="CO100" s="455"/>
      <c r="CP100" s="455"/>
      <c r="CQ100" s="455"/>
      <c r="CR100" s="455"/>
      <c r="CS100" s="455"/>
      <c r="CT100" s="455"/>
      <c r="CU100" s="455"/>
      <c r="CV100" s="455"/>
      <c r="CW100" s="455"/>
      <c r="CX100" s="455"/>
      <c r="CY100" s="455"/>
      <c r="CZ100" s="455"/>
      <c r="DA100" s="455"/>
      <c r="DB100" s="455"/>
      <c r="DC100" s="455"/>
      <c r="DD100" s="455"/>
      <c r="DE100" s="7"/>
    </row>
    <row r="101" spans="1:133" ht="15" customHeight="1">
      <c r="A101" s="3"/>
      <c r="B101" s="455"/>
      <c r="C101" s="455"/>
      <c r="D101" s="455"/>
      <c r="E101" s="455"/>
      <c r="F101" s="455"/>
      <c r="G101" s="455"/>
      <c r="H101" s="455"/>
      <c r="I101" s="455"/>
      <c r="J101" s="455"/>
      <c r="K101" s="455"/>
      <c r="L101" s="455"/>
      <c r="M101" s="455"/>
      <c r="N101" s="455"/>
      <c r="O101" s="455"/>
      <c r="P101" s="455"/>
      <c r="Q101" s="455"/>
      <c r="R101" s="455"/>
      <c r="S101" s="455"/>
      <c r="T101" s="455"/>
      <c r="U101" s="455"/>
      <c r="V101" s="455"/>
      <c r="W101" s="455"/>
      <c r="X101" s="455"/>
      <c r="Y101" s="455"/>
      <c r="Z101" s="455"/>
      <c r="AA101" s="455"/>
      <c r="AB101" s="455"/>
      <c r="AC101" s="455"/>
      <c r="AD101" s="455"/>
      <c r="AE101" s="455"/>
      <c r="AF101" s="455"/>
      <c r="AG101" s="455"/>
      <c r="AH101" s="455"/>
      <c r="AI101" s="455"/>
      <c r="AJ101" s="455"/>
      <c r="AK101" s="455"/>
      <c r="AL101" s="455"/>
      <c r="AM101" s="455"/>
      <c r="AN101" s="455"/>
      <c r="AO101" s="455"/>
      <c r="AP101" s="455"/>
      <c r="AQ101" s="455"/>
      <c r="AR101" s="455"/>
      <c r="AS101" s="455"/>
      <c r="AT101" s="455"/>
      <c r="AU101" s="371"/>
      <c r="AV101" s="371"/>
      <c r="AW101" s="371"/>
      <c r="AX101" s="371"/>
      <c r="AY101" s="371"/>
      <c r="AZ101" s="371"/>
      <c r="BA101" s="371"/>
      <c r="BB101" s="371"/>
      <c r="BC101" s="371"/>
      <c r="BD101" s="371"/>
      <c r="BE101" s="371"/>
      <c r="BF101" s="371"/>
      <c r="BG101" s="371"/>
      <c r="BH101" s="371"/>
      <c r="BI101" s="371"/>
      <c r="BJ101" s="455"/>
      <c r="BK101" s="455"/>
      <c r="BL101" s="455"/>
      <c r="BM101" s="455"/>
      <c r="BN101" s="455"/>
      <c r="BO101" s="455"/>
      <c r="BP101" s="455"/>
      <c r="BQ101" s="455"/>
      <c r="BR101" s="455"/>
      <c r="BS101" s="455"/>
      <c r="BT101" s="455"/>
      <c r="BU101" s="455"/>
      <c r="BV101" s="455"/>
      <c r="BW101" s="455"/>
      <c r="BX101" s="455"/>
      <c r="BY101" s="455"/>
      <c r="BZ101" s="455"/>
      <c r="CA101" s="455"/>
      <c r="CB101" s="455"/>
      <c r="CC101" s="455"/>
      <c r="CD101" s="455"/>
      <c r="CE101" s="455"/>
      <c r="CF101" s="455"/>
      <c r="CG101" s="455"/>
      <c r="CH101" s="455"/>
      <c r="CI101" s="455"/>
      <c r="CJ101" s="455"/>
      <c r="CK101" s="455"/>
      <c r="CL101" s="455"/>
      <c r="CM101" s="455"/>
      <c r="CN101" s="455"/>
      <c r="CO101" s="455"/>
      <c r="CP101" s="455"/>
      <c r="CQ101" s="455"/>
      <c r="CR101" s="455"/>
      <c r="CS101" s="455"/>
      <c r="CT101" s="455"/>
      <c r="CU101" s="455"/>
      <c r="CV101" s="455"/>
      <c r="CW101" s="455"/>
      <c r="CX101" s="455"/>
      <c r="CY101" s="455"/>
      <c r="CZ101" s="455"/>
      <c r="DA101" s="455"/>
      <c r="DB101" s="455"/>
      <c r="DC101" s="455"/>
      <c r="DD101" s="455"/>
      <c r="DE101" s="7"/>
    </row>
    <row r="102" spans="1:133" ht="15" customHeight="1">
      <c r="A102" s="6"/>
      <c r="B102" s="455"/>
      <c r="C102" s="455"/>
      <c r="D102" s="455"/>
      <c r="E102" s="455"/>
      <c r="F102" s="455"/>
      <c r="G102" s="455"/>
      <c r="H102" s="455"/>
      <c r="I102" s="455"/>
      <c r="J102" s="455"/>
      <c r="K102" s="455"/>
      <c r="L102" s="455"/>
      <c r="M102" s="455"/>
      <c r="N102" s="455"/>
      <c r="O102" s="455"/>
      <c r="P102" s="455"/>
      <c r="Q102" s="455"/>
      <c r="R102" s="455"/>
      <c r="S102" s="455"/>
      <c r="T102" s="455"/>
      <c r="U102" s="455"/>
      <c r="V102" s="455"/>
      <c r="W102" s="455"/>
      <c r="X102" s="455"/>
      <c r="Y102" s="455"/>
      <c r="Z102" s="455"/>
      <c r="AA102" s="455"/>
      <c r="AB102" s="455"/>
      <c r="AC102" s="455"/>
      <c r="AD102" s="455"/>
      <c r="AE102" s="455"/>
      <c r="AF102" s="455"/>
      <c r="AG102" s="455"/>
      <c r="AH102" s="455"/>
      <c r="AI102" s="455"/>
      <c r="AJ102" s="455"/>
      <c r="AK102" s="455"/>
      <c r="AL102" s="455"/>
      <c r="AM102" s="455"/>
      <c r="AN102" s="455"/>
      <c r="AO102" s="455"/>
      <c r="AP102" s="455"/>
      <c r="AQ102" s="455"/>
      <c r="AR102" s="455"/>
      <c r="AS102" s="455"/>
      <c r="AT102" s="455"/>
      <c r="AU102" s="371"/>
      <c r="AV102" s="371"/>
      <c r="AW102" s="371"/>
      <c r="AX102" s="371"/>
      <c r="AY102" s="371"/>
      <c r="AZ102" s="371"/>
      <c r="BA102" s="371"/>
      <c r="BB102" s="371"/>
      <c r="BC102" s="371"/>
      <c r="BD102" s="371"/>
      <c r="BE102" s="371"/>
      <c r="BF102" s="371"/>
      <c r="BG102" s="371"/>
      <c r="BH102" s="371"/>
      <c r="BI102" s="371"/>
      <c r="BJ102" s="455"/>
      <c r="BK102" s="455"/>
      <c r="BL102" s="455"/>
      <c r="BM102" s="455"/>
      <c r="BN102" s="455"/>
      <c r="BO102" s="455"/>
      <c r="BP102" s="455"/>
      <c r="BQ102" s="455"/>
      <c r="BR102" s="455"/>
      <c r="BS102" s="455"/>
      <c r="BT102" s="455"/>
      <c r="BU102" s="455"/>
      <c r="BV102" s="455"/>
      <c r="BW102" s="455"/>
      <c r="BX102" s="455"/>
      <c r="BY102" s="455"/>
      <c r="BZ102" s="455"/>
      <c r="CA102" s="455"/>
      <c r="CB102" s="455"/>
      <c r="CC102" s="455"/>
      <c r="CD102" s="455"/>
      <c r="CE102" s="455"/>
      <c r="CF102" s="455"/>
      <c r="CG102" s="455"/>
      <c r="CH102" s="455"/>
      <c r="CI102" s="455"/>
      <c r="CJ102" s="455"/>
      <c r="CK102" s="455"/>
      <c r="CL102" s="455"/>
      <c r="CM102" s="455"/>
      <c r="CN102" s="455"/>
      <c r="CO102" s="455"/>
      <c r="CP102" s="455"/>
      <c r="CQ102" s="455"/>
      <c r="CR102" s="455"/>
      <c r="CS102" s="455"/>
      <c r="CT102" s="455"/>
      <c r="CU102" s="455"/>
      <c r="CV102" s="455"/>
      <c r="CW102" s="455"/>
      <c r="CX102" s="455"/>
      <c r="CY102" s="455"/>
      <c r="CZ102" s="455"/>
      <c r="DA102" s="455"/>
      <c r="DB102" s="455"/>
      <c r="DC102" s="455"/>
      <c r="DD102" s="455"/>
      <c r="DE102" s="7"/>
    </row>
    <row r="103" spans="1:133" ht="15" customHeight="1">
      <c r="A103" s="8"/>
      <c r="B103" s="455"/>
      <c r="C103" s="455"/>
      <c r="D103" s="455"/>
      <c r="E103" s="455"/>
      <c r="F103" s="455"/>
      <c r="G103" s="455"/>
      <c r="H103" s="455"/>
      <c r="I103" s="455"/>
      <c r="J103" s="455"/>
      <c r="K103" s="455"/>
      <c r="L103" s="455"/>
      <c r="M103" s="455"/>
      <c r="N103" s="455"/>
      <c r="O103" s="455"/>
      <c r="P103" s="455"/>
      <c r="Q103" s="455"/>
      <c r="R103" s="455"/>
      <c r="S103" s="455"/>
      <c r="T103" s="455"/>
      <c r="U103" s="455"/>
      <c r="V103" s="455"/>
      <c r="W103" s="455"/>
      <c r="X103" s="455"/>
      <c r="Y103" s="455"/>
      <c r="Z103" s="455"/>
      <c r="AA103" s="455"/>
      <c r="AB103" s="455"/>
      <c r="AC103" s="455"/>
      <c r="AD103" s="455"/>
      <c r="AE103" s="455"/>
      <c r="AF103" s="455"/>
      <c r="AG103" s="455"/>
      <c r="AH103" s="455"/>
      <c r="AI103" s="455"/>
      <c r="AJ103" s="455"/>
      <c r="AK103" s="455"/>
      <c r="AL103" s="455"/>
      <c r="AM103" s="455"/>
      <c r="AN103" s="455"/>
      <c r="AO103" s="455"/>
      <c r="AP103" s="455"/>
      <c r="AQ103" s="455"/>
      <c r="AR103" s="455"/>
      <c r="AS103" s="455"/>
      <c r="AT103" s="455"/>
      <c r="AU103" s="371"/>
      <c r="AV103" s="371"/>
      <c r="AW103" s="371"/>
      <c r="AX103" s="371"/>
      <c r="AY103" s="371"/>
      <c r="AZ103" s="371"/>
      <c r="BA103" s="371"/>
      <c r="BB103" s="371"/>
      <c r="BC103" s="371"/>
      <c r="BD103" s="371"/>
      <c r="BE103" s="371"/>
      <c r="BF103" s="371"/>
      <c r="BG103" s="371"/>
      <c r="BH103" s="371"/>
      <c r="BI103" s="371"/>
      <c r="BJ103" s="455"/>
      <c r="BK103" s="455"/>
      <c r="BL103" s="455"/>
      <c r="BM103" s="455"/>
      <c r="BN103" s="455"/>
      <c r="BO103" s="455"/>
      <c r="BP103" s="455"/>
      <c r="BQ103" s="455"/>
      <c r="BR103" s="455"/>
      <c r="BS103" s="455"/>
      <c r="BT103" s="455"/>
      <c r="BU103" s="455"/>
      <c r="BV103" s="455"/>
      <c r="BW103" s="455"/>
      <c r="BX103" s="455"/>
      <c r="BY103" s="455"/>
      <c r="BZ103" s="455"/>
      <c r="CA103" s="455"/>
      <c r="CB103" s="455"/>
      <c r="CC103" s="455"/>
      <c r="CD103" s="455"/>
      <c r="CE103" s="455"/>
      <c r="CF103" s="455"/>
      <c r="CG103" s="455"/>
      <c r="CH103" s="455"/>
      <c r="CI103" s="455"/>
      <c r="CJ103" s="455"/>
      <c r="CK103" s="455"/>
      <c r="CL103" s="455"/>
      <c r="CM103" s="455"/>
      <c r="CN103" s="455"/>
      <c r="CO103" s="455"/>
      <c r="CP103" s="455"/>
      <c r="CQ103" s="455"/>
      <c r="CR103" s="455"/>
      <c r="CS103" s="455"/>
      <c r="CT103" s="455"/>
      <c r="CU103" s="455"/>
      <c r="CV103" s="455"/>
      <c r="CW103" s="455"/>
      <c r="CX103" s="455"/>
      <c r="CY103" s="455"/>
      <c r="CZ103" s="455"/>
      <c r="DA103" s="455"/>
      <c r="DB103" s="455"/>
      <c r="DC103" s="455"/>
      <c r="DD103" s="455"/>
      <c r="DE103" s="7"/>
    </row>
    <row r="104" spans="1:133" ht="15" customHeight="1">
      <c r="A104" s="8"/>
      <c r="B104" s="455"/>
      <c r="C104" s="455"/>
      <c r="D104" s="455"/>
      <c r="E104" s="455"/>
      <c r="F104" s="455"/>
      <c r="G104" s="455"/>
      <c r="H104" s="455"/>
      <c r="I104" s="455"/>
      <c r="J104" s="455"/>
      <c r="K104" s="455"/>
      <c r="L104" s="455"/>
      <c r="M104" s="455"/>
      <c r="N104" s="455"/>
      <c r="O104" s="455"/>
      <c r="P104" s="455"/>
      <c r="Q104" s="455"/>
      <c r="R104" s="455"/>
      <c r="S104" s="455"/>
      <c r="T104" s="455"/>
      <c r="U104" s="455"/>
      <c r="V104" s="455"/>
      <c r="W104" s="455"/>
      <c r="X104" s="455"/>
      <c r="Y104" s="455"/>
      <c r="Z104" s="455"/>
      <c r="AA104" s="455"/>
      <c r="AB104" s="455"/>
      <c r="AC104" s="455"/>
      <c r="AD104" s="455"/>
      <c r="AE104" s="455"/>
      <c r="AF104" s="455"/>
      <c r="AG104" s="455"/>
      <c r="AH104" s="455"/>
      <c r="AI104" s="455"/>
      <c r="AJ104" s="455"/>
      <c r="AK104" s="455"/>
      <c r="AL104" s="455"/>
      <c r="AM104" s="455"/>
      <c r="AN104" s="455"/>
      <c r="AO104" s="455"/>
      <c r="AP104" s="455"/>
      <c r="AQ104" s="455"/>
      <c r="AR104" s="455"/>
      <c r="AS104" s="455"/>
      <c r="AT104" s="455"/>
      <c r="AU104" s="371"/>
      <c r="AV104" s="371"/>
      <c r="AW104" s="371"/>
      <c r="AX104" s="371"/>
      <c r="AY104" s="371"/>
      <c r="AZ104" s="371"/>
      <c r="BA104" s="371"/>
      <c r="BB104" s="371"/>
      <c r="BC104" s="371"/>
      <c r="BD104" s="371"/>
      <c r="BE104" s="371"/>
      <c r="BF104" s="371"/>
      <c r="BG104" s="371"/>
      <c r="BH104" s="371"/>
      <c r="BI104" s="371"/>
      <c r="BJ104" s="455"/>
      <c r="BK104" s="455"/>
      <c r="BL104" s="455"/>
      <c r="BM104" s="455"/>
      <c r="BN104" s="455"/>
      <c r="BO104" s="455"/>
      <c r="BP104" s="455"/>
      <c r="BQ104" s="455"/>
      <c r="BR104" s="455"/>
      <c r="BS104" s="455"/>
      <c r="BT104" s="455"/>
      <c r="BU104" s="455"/>
      <c r="BV104" s="455"/>
      <c r="BW104" s="455"/>
      <c r="BX104" s="455"/>
      <c r="BY104" s="455"/>
      <c r="BZ104" s="455"/>
      <c r="CA104" s="455"/>
      <c r="CB104" s="455"/>
      <c r="CC104" s="455"/>
      <c r="CD104" s="455"/>
      <c r="CE104" s="455"/>
      <c r="CF104" s="455"/>
      <c r="CG104" s="455"/>
      <c r="CH104" s="455"/>
      <c r="CI104" s="455"/>
      <c r="CJ104" s="455"/>
      <c r="CK104" s="455"/>
      <c r="CL104" s="455"/>
      <c r="CM104" s="455"/>
      <c r="CN104" s="455"/>
      <c r="CO104" s="455"/>
      <c r="CP104" s="455"/>
      <c r="CQ104" s="455"/>
      <c r="CR104" s="455"/>
      <c r="CS104" s="455"/>
      <c r="CT104" s="455"/>
      <c r="CU104" s="455"/>
      <c r="CV104" s="455"/>
      <c r="CW104" s="455"/>
      <c r="CX104" s="455"/>
      <c r="CY104" s="455"/>
      <c r="CZ104" s="455"/>
      <c r="DA104" s="455"/>
      <c r="DB104" s="455"/>
      <c r="DC104" s="455"/>
      <c r="DD104" s="455"/>
      <c r="DE104" s="7"/>
    </row>
    <row r="105" spans="1:133" ht="15" customHeight="1">
      <c r="A105" s="3"/>
      <c r="B105" s="455"/>
      <c r="C105" s="455"/>
      <c r="D105" s="455"/>
      <c r="E105" s="455"/>
      <c r="F105" s="455"/>
      <c r="G105" s="455"/>
      <c r="H105" s="455"/>
      <c r="I105" s="455"/>
      <c r="J105" s="455"/>
      <c r="K105" s="455"/>
      <c r="L105" s="455"/>
      <c r="M105" s="455"/>
      <c r="N105" s="455"/>
      <c r="O105" s="455"/>
      <c r="P105" s="455"/>
      <c r="Q105" s="455"/>
      <c r="R105" s="455"/>
      <c r="S105" s="455"/>
      <c r="T105" s="455"/>
      <c r="U105" s="455"/>
      <c r="V105" s="455"/>
      <c r="W105" s="455"/>
      <c r="X105" s="455"/>
      <c r="Y105" s="455"/>
      <c r="Z105" s="455"/>
      <c r="AA105" s="455"/>
      <c r="AB105" s="455"/>
      <c r="AC105" s="455"/>
      <c r="AD105" s="455"/>
      <c r="AE105" s="455"/>
      <c r="AF105" s="455"/>
      <c r="AG105" s="455"/>
      <c r="AH105" s="455"/>
      <c r="AI105" s="455"/>
      <c r="AJ105" s="455"/>
      <c r="AK105" s="455"/>
      <c r="AL105" s="455"/>
      <c r="AM105" s="455"/>
      <c r="AN105" s="455"/>
      <c r="AO105" s="455"/>
      <c r="AP105" s="455"/>
      <c r="AQ105" s="455"/>
      <c r="AR105" s="455"/>
      <c r="AS105" s="455"/>
      <c r="AT105" s="455"/>
      <c r="AU105" s="371"/>
      <c r="AV105" s="371"/>
      <c r="AW105" s="371"/>
      <c r="AX105" s="371"/>
      <c r="AY105" s="371"/>
      <c r="AZ105" s="371"/>
      <c r="BA105" s="371"/>
      <c r="BB105" s="371"/>
      <c r="BC105" s="371"/>
      <c r="BD105" s="371"/>
      <c r="BE105" s="371"/>
      <c r="BF105" s="371"/>
      <c r="BG105" s="371"/>
      <c r="BH105" s="371"/>
      <c r="BI105" s="371"/>
      <c r="BJ105" s="455"/>
      <c r="BK105" s="455"/>
      <c r="BL105" s="455"/>
      <c r="BM105" s="455"/>
      <c r="BN105" s="455"/>
      <c r="BO105" s="455"/>
      <c r="BP105" s="455"/>
      <c r="BQ105" s="455"/>
      <c r="BR105" s="455"/>
      <c r="BS105" s="455"/>
      <c r="BT105" s="455"/>
      <c r="BU105" s="455"/>
      <c r="BV105" s="455"/>
      <c r="BW105" s="455"/>
      <c r="BX105" s="455"/>
      <c r="BY105" s="455"/>
      <c r="BZ105" s="455"/>
      <c r="CA105" s="455"/>
      <c r="CB105" s="455"/>
      <c r="CC105" s="455"/>
      <c r="CD105" s="455"/>
      <c r="CE105" s="455"/>
      <c r="CF105" s="455"/>
      <c r="CG105" s="455"/>
      <c r="CH105" s="455"/>
      <c r="CI105" s="455"/>
      <c r="CJ105" s="455"/>
      <c r="CK105" s="455"/>
      <c r="CL105" s="455"/>
      <c r="CM105" s="455"/>
      <c r="CN105" s="455"/>
      <c r="CO105" s="455"/>
      <c r="CP105" s="455"/>
      <c r="CQ105" s="455"/>
      <c r="CR105" s="455"/>
      <c r="CS105" s="455"/>
      <c r="CT105" s="455"/>
      <c r="CU105" s="455"/>
      <c r="CV105" s="455"/>
      <c r="CW105" s="455"/>
      <c r="CX105" s="455"/>
      <c r="CY105" s="455"/>
      <c r="CZ105" s="455"/>
      <c r="DA105" s="455"/>
      <c r="DB105" s="455"/>
      <c r="DC105" s="455"/>
      <c r="DD105" s="455"/>
      <c r="DE105" s="7"/>
    </row>
    <row r="106" spans="1:133" ht="15" customHeight="1">
      <c r="A106" s="3"/>
      <c r="B106" s="455"/>
      <c r="C106" s="455"/>
      <c r="D106" s="455"/>
      <c r="E106" s="455"/>
      <c r="F106" s="455"/>
      <c r="G106" s="455"/>
      <c r="H106" s="455"/>
      <c r="I106" s="455"/>
      <c r="J106" s="455"/>
      <c r="K106" s="455"/>
      <c r="L106" s="455"/>
      <c r="M106" s="455"/>
      <c r="N106" s="455"/>
      <c r="O106" s="455"/>
      <c r="P106" s="455"/>
      <c r="Q106" s="455"/>
      <c r="R106" s="455"/>
      <c r="S106" s="455"/>
      <c r="T106" s="455"/>
      <c r="U106" s="455"/>
      <c r="V106" s="455"/>
      <c r="W106" s="455"/>
      <c r="X106" s="455"/>
      <c r="Y106" s="455"/>
      <c r="Z106" s="455"/>
      <c r="AA106" s="455"/>
      <c r="AB106" s="455"/>
      <c r="AC106" s="455"/>
      <c r="AD106" s="455"/>
      <c r="AE106" s="455"/>
      <c r="AF106" s="455"/>
      <c r="AG106" s="455"/>
      <c r="AH106" s="455"/>
      <c r="AI106" s="455"/>
      <c r="AJ106" s="455"/>
      <c r="AK106" s="455"/>
      <c r="AL106" s="455"/>
      <c r="AM106" s="455"/>
      <c r="AN106" s="455"/>
      <c r="AO106" s="455"/>
      <c r="AP106" s="455"/>
      <c r="AQ106" s="455"/>
      <c r="AR106" s="455"/>
      <c r="AS106" s="455"/>
      <c r="AT106" s="455"/>
      <c r="AU106" s="371"/>
      <c r="AV106" s="371"/>
      <c r="AW106" s="371"/>
      <c r="AX106" s="371"/>
      <c r="AY106" s="371"/>
      <c r="AZ106" s="371"/>
      <c r="BA106" s="371"/>
      <c r="BB106" s="371"/>
      <c r="BC106" s="371"/>
      <c r="BD106" s="371"/>
      <c r="BE106" s="371"/>
      <c r="BF106" s="371"/>
      <c r="BG106" s="371"/>
      <c r="BH106" s="371"/>
      <c r="BI106" s="371"/>
      <c r="BJ106" s="455"/>
      <c r="BK106" s="455"/>
      <c r="BL106" s="455"/>
      <c r="BM106" s="455"/>
      <c r="BN106" s="455"/>
      <c r="BO106" s="455"/>
      <c r="BP106" s="455"/>
      <c r="BQ106" s="455"/>
      <c r="BR106" s="455"/>
      <c r="BS106" s="455"/>
      <c r="BT106" s="455"/>
      <c r="BU106" s="455"/>
      <c r="BV106" s="455"/>
      <c r="BW106" s="455"/>
      <c r="BX106" s="455"/>
      <c r="BY106" s="455"/>
      <c r="BZ106" s="455"/>
      <c r="CA106" s="455"/>
      <c r="CB106" s="455"/>
      <c r="CC106" s="455"/>
      <c r="CD106" s="455"/>
      <c r="CE106" s="455"/>
      <c r="CF106" s="455"/>
      <c r="CG106" s="455"/>
      <c r="CH106" s="455"/>
      <c r="CI106" s="455"/>
      <c r="CJ106" s="455"/>
      <c r="CK106" s="455"/>
      <c r="CL106" s="455"/>
      <c r="CM106" s="455"/>
      <c r="CN106" s="455"/>
      <c r="CO106" s="455"/>
      <c r="CP106" s="455"/>
      <c r="CQ106" s="455"/>
      <c r="CR106" s="455"/>
      <c r="CS106" s="455"/>
      <c r="CT106" s="455"/>
      <c r="CU106" s="455"/>
      <c r="CV106" s="455"/>
      <c r="CW106" s="455"/>
      <c r="CX106" s="455"/>
      <c r="CY106" s="455"/>
      <c r="CZ106" s="455"/>
      <c r="DA106" s="455"/>
      <c r="DB106" s="455"/>
      <c r="DC106" s="455"/>
      <c r="DD106" s="455"/>
      <c r="DE106" s="7"/>
    </row>
    <row r="107" spans="1:133" ht="15" customHeight="1">
      <c r="A107" s="3"/>
      <c r="B107" s="455"/>
      <c r="C107" s="455"/>
      <c r="D107" s="455"/>
      <c r="E107" s="455"/>
      <c r="F107" s="455"/>
      <c r="G107" s="455"/>
      <c r="H107" s="455"/>
      <c r="I107" s="455"/>
      <c r="J107" s="455"/>
      <c r="K107" s="455"/>
      <c r="L107" s="455"/>
      <c r="M107" s="455"/>
      <c r="N107" s="455"/>
      <c r="O107" s="455"/>
      <c r="P107" s="455"/>
      <c r="Q107" s="455"/>
      <c r="R107" s="455"/>
      <c r="S107" s="455"/>
      <c r="T107" s="455"/>
      <c r="U107" s="455"/>
      <c r="V107" s="455"/>
      <c r="W107" s="455"/>
      <c r="X107" s="455"/>
      <c r="Y107" s="455"/>
      <c r="Z107" s="455"/>
      <c r="AA107" s="455"/>
      <c r="AB107" s="455"/>
      <c r="AC107" s="455"/>
      <c r="AD107" s="455"/>
      <c r="AE107" s="455"/>
      <c r="AF107" s="455"/>
      <c r="AG107" s="455"/>
      <c r="AH107" s="455"/>
      <c r="AI107" s="455"/>
      <c r="AJ107" s="455"/>
      <c r="AK107" s="455"/>
      <c r="AL107" s="455"/>
      <c r="AM107" s="455"/>
      <c r="AN107" s="455"/>
      <c r="AO107" s="455"/>
      <c r="AP107" s="455"/>
      <c r="AQ107" s="455"/>
      <c r="AR107" s="455"/>
      <c r="AS107" s="455"/>
      <c r="AT107" s="455"/>
      <c r="AU107" s="371"/>
      <c r="AV107" s="371"/>
      <c r="AW107" s="371"/>
      <c r="AX107" s="371"/>
      <c r="AY107" s="371"/>
      <c r="AZ107" s="371"/>
      <c r="BA107" s="371"/>
      <c r="BB107" s="371"/>
      <c r="BC107" s="371"/>
      <c r="BD107" s="371"/>
      <c r="BE107" s="371"/>
      <c r="BF107" s="371"/>
      <c r="BG107" s="371"/>
      <c r="BH107" s="371"/>
      <c r="BI107" s="371"/>
      <c r="BJ107" s="455"/>
      <c r="BK107" s="455"/>
      <c r="BL107" s="455"/>
      <c r="BM107" s="455"/>
      <c r="BN107" s="455"/>
      <c r="BO107" s="455"/>
      <c r="BP107" s="455"/>
      <c r="BQ107" s="455"/>
      <c r="BR107" s="455"/>
      <c r="BS107" s="455"/>
      <c r="BT107" s="455"/>
      <c r="BU107" s="455"/>
      <c r="BV107" s="455"/>
      <c r="BW107" s="455"/>
      <c r="BX107" s="455"/>
      <c r="BY107" s="455"/>
      <c r="BZ107" s="455"/>
      <c r="CA107" s="455"/>
      <c r="CB107" s="455"/>
      <c r="CC107" s="455"/>
      <c r="CD107" s="455"/>
      <c r="CE107" s="455"/>
      <c r="CF107" s="455"/>
      <c r="CG107" s="455"/>
      <c r="CH107" s="455"/>
      <c r="CI107" s="455"/>
      <c r="CJ107" s="455"/>
      <c r="CK107" s="455"/>
      <c r="CL107" s="455"/>
      <c r="CM107" s="455"/>
      <c r="CN107" s="455"/>
      <c r="CO107" s="455"/>
      <c r="CP107" s="455"/>
      <c r="CQ107" s="455"/>
      <c r="CR107" s="455"/>
      <c r="CS107" s="455"/>
      <c r="CT107" s="455"/>
      <c r="CU107" s="455"/>
      <c r="CV107" s="455"/>
      <c r="CW107" s="455"/>
      <c r="CX107" s="455"/>
      <c r="CY107" s="455"/>
      <c r="CZ107" s="455"/>
      <c r="DA107" s="455"/>
      <c r="DB107" s="455"/>
      <c r="DC107" s="455"/>
      <c r="DD107" s="455"/>
      <c r="DE107" s="24"/>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row>
    <row r="108" spans="1:133" ht="15" customHeight="1">
      <c r="A108" s="67"/>
      <c r="B108" s="471" t="s">
        <v>161</v>
      </c>
      <c r="C108" s="471"/>
      <c r="D108" s="471"/>
      <c r="E108" s="471"/>
      <c r="F108" s="471"/>
      <c r="G108" s="471"/>
      <c r="H108" s="471"/>
      <c r="I108" s="471"/>
      <c r="J108" s="471"/>
      <c r="K108" s="471"/>
      <c r="L108" s="471"/>
      <c r="M108" s="471"/>
      <c r="N108" s="471"/>
      <c r="O108" s="471"/>
      <c r="P108" s="471"/>
      <c r="Q108" s="475" t="s">
        <v>162</v>
      </c>
      <c r="R108" s="475"/>
      <c r="S108" s="475"/>
      <c r="T108" s="475"/>
      <c r="U108" s="475"/>
      <c r="V108" s="475"/>
      <c r="W108" s="475"/>
      <c r="X108" s="475"/>
      <c r="Y108" s="475"/>
      <c r="Z108" s="475"/>
      <c r="AA108" s="475"/>
      <c r="AB108" s="475"/>
      <c r="AC108" s="475"/>
      <c r="AD108" s="475"/>
      <c r="AE108" s="475"/>
      <c r="AF108" s="475"/>
      <c r="AG108" s="475"/>
      <c r="AH108" s="475"/>
      <c r="AI108" s="471" t="s">
        <v>163</v>
      </c>
      <c r="AJ108" s="471"/>
      <c r="AK108" s="471"/>
      <c r="AL108" s="471"/>
      <c r="AM108" s="471"/>
      <c r="AN108" s="471"/>
      <c r="AO108" s="471"/>
      <c r="AP108" s="471"/>
      <c r="AQ108" s="471"/>
      <c r="AR108" s="471"/>
      <c r="AS108" s="471"/>
      <c r="AT108" s="476">
        <v>25</v>
      </c>
      <c r="AU108" s="476"/>
      <c r="AV108" s="476"/>
      <c r="AW108" s="476"/>
      <c r="AX108" s="455" t="s">
        <v>164</v>
      </c>
      <c r="AY108" s="455"/>
      <c r="AZ108" s="455"/>
      <c r="BA108" s="477" t="s">
        <v>165</v>
      </c>
      <c r="BB108" s="477"/>
      <c r="BC108" s="477"/>
      <c r="BD108" s="477"/>
      <c r="BE108" s="477"/>
      <c r="BF108" s="477"/>
      <c r="BG108" s="477"/>
      <c r="BH108" s="477"/>
      <c r="BI108" s="477"/>
      <c r="BJ108" s="455">
        <v>22</v>
      </c>
      <c r="BK108" s="455"/>
      <c r="BL108" s="455"/>
      <c r="BM108" s="455"/>
      <c r="BN108" s="455" t="s">
        <v>166</v>
      </c>
      <c r="BO108" s="455"/>
      <c r="BP108" s="455"/>
      <c r="BQ108" s="455"/>
      <c r="BR108" s="455"/>
      <c r="BS108" s="455"/>
      <c r="BT108" s="455"/>
      <c r="BU108" s="455"/>
      <c r="BV108" s="455"/>
      <c r="BW108" s="455"/>
      <c r="BX108" s="455"/>
      <c r="BY108" s="455"/>
      <c r="BZ108" s="455"/>
      <c r="CA108" s="455"/>
      <c r="CB108" s="455"/>
      <c r="CC108" s="455"/>
      <c r="CD108" s="455"/>
      <c r="CE108" s="455"/>
      <c r="CF108" s="455"/>
      <c r="CG108" s="455"/>
      <c r="CH108" s="455"/>
      <c r="CI108" s="455"/>
      <c r="CJ108" s="455"/>
      <c r="CK108" s="471" t="s">
        <v>167</v>
      </c>
      <c r="CL108" s="471"/>
      <c r="CM108" s="471"/>
      <c r="CN108" s="471"/>
      <c r="CO108" s="471"/>
      <c r="CP108" s="471"/>
      <c r="CQ108" s="471"/>
      <c r="CR108" s="471"/>
      <c r="CS108" s="471"/>
      <c r="CT108" s="471"/>
      <c r="CU108" s="471"/>
      <c r="CV108" s="471"/>
      <c r="CW108" s="471"/>
      <c r="CX108" s="471"/>
      <c r="CY108" s="471"/>
      <c r="CZ108" s="471"/>
      <c r="DA108" s="471"/>
      <c r="DB108" s="471"/>
      <c r="DC108" s="471"/>
      <c r="DD108" s="471"/>
      <c r="DE108" s="7"/>
    </row>
    <row r="109" spans="1:133" ht="15" customHeight="1">
      <c r="A109" s="59"/>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9"/>
      <c r="CK109" s="9"/>
      <c r="CL109" s="9"/>
      <c r="CM109" s="9"/>
      <c r="CN109" s="10"/>
      <c r="CO109" s="10"/>
      <c r="CP109" s="10"/>
      <c r="CQ109" s="10"/>
      <c r="CR109" s="10"/>
      <c r="CS109" s="10"/>
      <c r="CT109" s="10"/>
      <c r="CU109" s="10"/>
      <c r="CV109" s="10"/>
      <c r="CW109" s="10"/>
      <c r="CX109" s="10"/>
      <c r="CY109" s="10"/>
      <c r="CZ109" s="10"/>
      <c r="DA109" s="10"/>
      <c r="DB109" s="10"/>
      <c r="DC109" s="10"/>
      <c r="DD109" s="10"/>
      <c r="DE109" s="24"/>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row>
    <row r="110" spans="1:133" ht="15" customHeight="1">
      <c r="A110" s="59"/>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471" t="s">
        <v>168</v>
      </c>
      <c r="CK110" s="471"/>
      <c r="CL110" s="471"/>
      <c r="CM110" s="471"/>
      <c r="CN110" s="471"/>
      <c r="CO110" s="472" t="s">
        <v>7</v>
      </c>
      <c r="CP110" s="473"/>
      <c r="CQ110" s="474"/>
      <c r="CR110" s="475" t="s">
        <v>125</v>
      </c>
      <c r="CS110" s="475"/>
      <c r="CT110" s="472"/>
      <c r="CU110" s="473"/>
      <c r="CV110" s="474"/>
      <c r="CW110" s="475" t="s">
        <v>126</v>
      </c>
      <c r="CX110" s="475"/>
      <c r="DE110" s="7"/>
    </row>
    <row r="111" spans="1:133" ht="15" customHeight="1">
      <c r="A111" s="3"/>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DE111" s="7"/>
    </row>
    <row r="112" spans="1:133" ht="15" customHeight="1">
      <c r="A112" s="3"/>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DE112" s="7"/>
    </row>
    <row r="113" spans="1:133" ht="15" customHeight="1">
      <c r="A113" s="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133" ht="15" customHeight="1">
      <c r="A114" s="8"/>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133" ht="15" customHeight="1">
      <c r="A115" s="17"/>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CJ115" s="9"/>
      <c r="CK115" s="9"/>
      <c r="CL115" s="9"/>
      <c r="CM115" s="9"/>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row>
    <row r="116" spans="1:133" ht="15" customHeight="1">
      <c r="A116" s="1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15"/>
      <c r="AV116" s="15"/>
    </row>
    <row r="117" spans="1:133" ht="15" customHeight="1">
      <c r="A117" s="1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W117" s="16"/>
      <c r="AX117" s="16"/>
      <c r="AY117" s="16"/>
      <c r="AZ117" s="16"/>
      <c r="BA117" s="16"/>
      <c r="BB117" s="16"/>
      <c r="BC117" s="16"/>
      <c r="BD117" s="16"/>
      <c r="BE117" s="16"/>
      <c r="BF117" s="16"/>
      <c r="BG117" s="16"/>
      <c r="BH117" s="16"/>
      <c r="BI117" s="16"/>
      <c r="BJ117" s="16"/>
      <c r="BK117" s="16"/>
      <c r="BL117" s="16"/>
      <c r="BM117" s="16"/>
    </row>
    <row r="118" spans="1:133" ht="15" customHeight="1">
      <c r="A118" s="1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15"/>
      <c r="AV118" s="17"/>
    </row>
    <row r="119" spans="1:133" ht="1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5"/>
      <c r="AV119" s="5"/>
      <c r="AW119" s="5"/>
      <c r="AX119" s="5"/>
      <c r="AY119" s="5"/>
      <c r="AZ119" s="5"/>
      <c r="BA119" s="5"/>
      <c r="BB119" s="5"/>
      <c r="BC119" s="5"/>
      <c r="BD119" s="5"/>
      <c r="BE119" s="5"/>
      <c r="BF119" s="5"/>
      <c r="BG119" s="5"/>
      <c r="BH119" s="5"/>
      <c r="BI119" s="5"/>
      <c r="BJ119" s="5"/>
      <c r="BK119" s="5"/>
      <c r="BL119" s="5"/>
      <c r="BM119" s="5"/>
    </row>
    <row r="120" spans="1:133" ht="15" customHeight="1">
      <c r="A120" s="17"/>
      <c r="B120" s="16"/>
      <c r="C120" s="16"/>
      <c r="D120" s="16"/>
      <c r="E120" s="5"/>
      <c r="F120" s="5"/>
      <c r="G120" s="5"/>
      <c r="H120" s="5"/>
      <c r="I120" s="5"/>
      <c r="J120" s="5"/>
      <c r="K120" s="5"/>
      <c r="L120" s="5"/>
      <c r="M120" s="5"/>
      <c r="N120" s="5"/>
      <c r="O120" s="5"/>
      <c r="P120" s="5"/>
      <c r="Q120" s="16"/>
      <c r="R120" s="16"/>
      <c r="S120" s="16"/>
      <c r="T120" s="16"/>
      <c r="U120" s="16"/>
      <c r="V120" s="16"/>
      <c r="W120" s="16"/>
      <c r="X120" s="21"/>
      <c r="Y120" s="21"/>
      <c r="Z120" s="21"/>
      <c r="AA120" s="21"/>
      <c r="AE120" s="16"/>
      <c r="AF120" s="16"/>
      <c r="AG120" s="16"/>
      <c r="AH120" s="16"/>
      <c r="AI120" s="16"/>
      <c r="AJ120" s="16"/>
      <c r="AK120" s="16"/>
      <c r="AL120" s="16"/>
      <c r="AM120" s="16"/>
      <c r="AN120" s="16"/>
      <c r="AO120" s="16"/>
      <c r="AP120" s="16"/>
      <c r="AQ120" s="16"/>
      <c r="AR120" s="16"/>
      <c r="AS120" s="16"/>
      <c r="AU120" s="16"/>
      <c r="AV120" s="16"/>
      <c r="AW120" s="16"/>
      <c r="AX120" s="16"/>
      <c r="AY120" s="16"/>
      <c r="AZ120" s="16"/>
      <c r="BA120" s="16"/>
      <c r="BB120" s="16"/>
      <c r="BC120" s="16"/>
      <c r="BD120" s="16"/>
      <c r="BE120" s="16"/>
      <c r="BF120" s="16"/>
      <c r="BG120" s="16"/>
      <c r="BH120" s="16"/>
      <c r="BI120" s="16"/>
      <c r="BJ120" s="16"/>
      <c r="BK120" s="16"/>
      <c r="BL120" s="16"/>
      <c r="BM120" s="16"/>
      <c r="BN120" s="16"/>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133" ht="15" customHeight="1">
      <c r="A121" s="17"/>
      <c r="AU121" s="22"/>
      <c r="AV121" s="22"/>
      <c r="AW121" s="19"/>
      <c r="AX121" s="19"/>
      <c r="AY121" s="22"/>
      <c r="AZ121" s="22"/>
      <c r="BA121" s="19"/>
      <c r="BB121" s="19"/>
      <c r="BC121" s="5"/>
      <c r="BD121" s="5"/>
      <c r="BE121" s="5"/>
      <c r="BF121" s="5"/>
      <c r="BG121" s="5"/>
      <c r="BH121" s="5"/>
      <c r="BI121" s="5"/>
      <c r="BJ121" s="5"/>
      <c r="BK121" s="5"/>
      <c r="BL121" s="5"/>
      <c r="BM121" s="5"/>
      <c r="BN121" s="5"/>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133" ht="15" customHeight="1">
      <c r="A122" s="15"/>
      <c r="B122" s="16"/>
      <c r="C122" s="16"/>
      <c r="D122" s="16"/>
      <c r="E122" s="16"/>
      <c r="F122" s="16"/>
      <c r="G122" s="16"/>
      <c r="H122" s="16"/>
      <c r="I122" s="16"/>
      <c r="J122" s="16"/>
      <c r="K122" s="16"/>
      <c r="L122" s="16"/>
      <c r="M122" s="16"/>
      <c r="N122" s="16"/>
      <c r="O122" s="16"/>
      <c r="P122" s="16"/>
      <c r="Q122" s="16"/>
      <c r="R122" s="16"/>
      <c r="S122" s="16"/>
      <c r="T122" s="5"/>
      <c r="U122" s="5"/>
      <c r="V122" s="5"/>
      <c r="W122" s="5"/>
      <c r="X122" s="5"/>
      <c r="Y122" s="5"/>
      <c r="Z122" s="5"/>
      <c r="AA122" s="5"/>
      <c r="AB122" s="5"/>
      <c r="AC122" s="5"/>
      <c r="AD122" s="5"/>
      <c r="AE122" s="5"/>
      <c r="AF122" s="5"/>
      <c r="AG122" s="5"/>
      <c r="AH122" s="5"/>
      <c r="AI122" s="16"/>
      <c r="AJ122" s="16"/>
      <c r="AK122" s="16"/>
      <c r="AL122" s="16"/>
      <c r="AM122" s="16"/>
      <c r="AN122" s="16"/>
      <c r="AO122" s="5"/>
      <c r="AP122" s="5"/>
      <c r="AQ122" s="5"/>
      <c r="AR122" s="5"/>
      <c r="AS122" s="5"/>
      <c r="AT122" s="5"/>
      <c r="AU122" s="18"/>
      <c r="AV122" s="18"/>
      <c r="AW122" s="18"/>
      <c r="AX122" s="18"/>
      <c r="AY122" s="18"/>
      <c r="AZ122" s="5"/>
      <c r="BA122" s="5"/>
      <c r="BB122" s="5"/>
      <c r="BC122" s="5"/>
      <c r="BD122" s="5"/>
      <c r="BE122" s="5"/>
      <c r="BF122" s="5"/>
      <c r="BG122" s="5"/>
      <c r="BH122" s="5"/>
      <c r="BI122" s="5"/>
      <c r="BJ122" s="5"/>
      <c r="BK122" s="5"/>
      <c r="BL122" s="5"/>
      <c r="BM122" s="5"/>
      <c r="BN122" s="5"/>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133" ht="1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9"/>
      <c r="AV123" s="19"/>
      <c r="AW123" s="19"/>
      <c r="AX123" s="19"/>
      <c r="AY123" s="19"/>
      <c r="AZ123" s="19"/>
      <c r="BA123" s="19"/>
      <c r="BB123" s="19"/>
      <c r="BC123" s="19"/>
      <c r="BD123" s="19"/>
      <c r="BE123" s="19"/>
      <c r="BF123" s="19"/>
      <c r="BG123" s="19"/>
      <c r="BH123" s="19"/>
      <c r="BI123" s="19"/>
      <c r="BJ123" s="19"/>
      <c r="BK123" s="19"/>
      <c r="BL123" s="19"/>
      <c r="BM123" s="19"/>
      <c r="BN123" s="19"/>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133" ht="1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18"/>
      <c r="AN124" s="18"/>
      <c r="AO124" s="18"/>
      <c r="AP124" s="19"/>
      <c r="AQ124" s="19"/>
      <c r="AR124" s="19"/>
      <c r="AS124" s="19"/>
      <c r="AT124" s="19"/>
      <c r="AU124" s="20"/>
      <c r="AV124" s="20"/>
      <c r="AW124" s="20"/>
      <c r="AX124" s="20"/>
      <c r="AY124" s="20"/>
      <c r="AZ124" s="20"/>
      <c r="BA124" s="20"/>
      <c r="BB124" s="20"/>
      <c r="BC124" s="20"/>
      <c r="BD124" s="20"/>
      <c r="BE124" s="20"/>
      <c r="BF124" s="20"/>
      <c r="BG124" s="20"/>
      <c r="BH124" s="20"/>
      <c r="BI124" s="20"/>
      <c r="BJ124" s="20"/>
      <c r="BK124" s="20"/>
      <c r="BL124" s="20"/>
      <c r="BM124" s="20"/>
      <c r="BN124" s="20"/>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133" ht="1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18"/>
      <c r="AN125" s="18"/>
      <c r="AO125" s="18"/>
      <c r="AP125" s="18"/>
      <c r="AQ125" s="18"/>
      <c r="AR125" s="18"/>
      <c r="AS125" s="18"/>
      <c r="AT125" s="18"/>
      <c r="AU125" s="20"/>
      <c r="AV125" s="20"/>
      <c r="AW125" s="20"/>
      <c r="AX125" s="20"/>
      <c r="AY125" s="20"/>
      <c r="AZ125" s="20"/>
      <c r="BA125" s="20"/>
      <c r="BB125" s="20"/>
      <c r="BC125" s="20"/>
      <c r="BD125" s="20"/>
      <c r="BE125" s="20"/>
      <c r="BF125" s="20"/>
      <c r="BG125" s="20"/>
      <c r="BH125" s="20"/>
      <c r="BI125" s="20"/>
      <c r="BJ125" s="20"/>
      <c r="BK125" s="20"/>
      <c r="BL125" s="20"/>
      <c r="BM125" s="20"/>
      <c r="BN125" s="20"/>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133" ht="1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20"/>
      <c r="AV126" s="20"/>
      <c r="AW126" s="20"/>
      <c r="AX126" s="20"/>
      <c r="AY126" s="20"/>
      <c r="AZ126" s="20"/>
      <c r="BA126" s="20"/>
      <c r="BB126" s="20"/>
      <c r="BC126" s="20"/>
      <c r="BD126" s="20"/>
      <c r="BE126" s="20"/>
      <c r="BF126" s="20"/>
      <c r="BG126" s="20"/>
      <c r="BH126" s="20"/>
      <c r="BI126" s="20"/>
      <c r="BJ126" s="20"/>
      <c r="BK126" s="20"/>
      <c r="BL126" s="20"/>
      <c r="BM126" s="20"/>
      <c r="BN126" s="20"/>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133" ht="1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133" ht="1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87" ht="1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11"/>
      <c r="BP129" s="11"/>
      <c r="BQ129" s="11"/>
      <c r="BR129" s="11"/>
      <c r="BS129" s="11"/>
      <c r="BT129" s="11"/>
      <c r="BU129" s="11"/>
      <c r="BV129" s="11"/>
      <c r="BW129" s="11"/>
      <c r="BX129" s="11"/>
      <c r="BY129" s="11"/>
      <c r="BZ129" s="11"/>
      <c r="CA129" s="11"/>
      <c r="CB129" s="11"/>
      <c r="CC129" s="11"/>
      <c r="CD129" s="11"/>
      <c r="CE129" s="11"/>
      <c r="CF129" s="11"/>
      <c r="CG129" s="11"/>
      <c r="CH129" s="11"/>
      <c r="CI129" s="11"/>
    </row>
    <row r="130" spans="1:87" ht="1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11"/>
      <c r="BP130" s="11"/>
      <c r="BQ130" s="11"/>
      <c r="BR130" s="11"/>
      <c r="BS130" s="11"/>
      <c r="BT130" s="11"/>
      <c r="BU130" s="11"/>
      <c r="BV130" s="11"/>
      <c r="BW130" s="11"/>
      <c r="BX130" s="11"/>
      <c r="BY130" s="11"/>
      <c r="BZ130" s="11"/>
      <c r="CA130" s="11"/>
      <c r="CB130" s="11"/>
      <c r="CC130" s="11"/>
      <c r="CD130" s="11"/>
      <c r="CE130" s="11"/>
      <c r="CF130" s="11"/>
      <c r="CG130" s="11"/>
      <c r="CH130" s="11"/>
      <c r="CI130" s="11"/>
    </row>
    <row r="131" spans="1:87" ht="1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BM131" s="12"/>
      <c r="BN131" s="12"/>
    </row>
    <row r="132" spans="1:87" ht="1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row>
    <row r="133" spans="1:87" ht="1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row>
  </sheetData>
  <sheetProtection formatCells="0"/>
  <mergeCells count="1136">
    <mergeCell ref="A11:R11"/>
    <mergeCell ref="S11:AD11"/>
    <mergeCell ref="AE11:AR11"/>
    <mergeCell ref="AS11:BF11"/>
    <mergeCell ref="CN11:CP11"/>
    <mergeCell ref="CQ11:DE11"/>
    <mergeCell ref="CQ9:DE9"/>
    <mergeCell ref="A10:R10"/>
    <mergeCell ref="S10:AD10"/>
    <mergeCell ref="AE10:AR10"/>
    <mergeCell ref="AS10:BF10"/>
    <mergeCell ref="CN10:CP10"/>
    <mergeCell ref="CQ10:DE10"/>
    <mergeCell ref="A1:CU6"/>
    <mergeCell ref="CV1:DE6"/>
    <mergeCell ref="A7:CO8"/>
    <mergeCell ref="CP7:DE8"/>
    <mergeCell ref="A9:R9"/>
    <mergeCell ref="S9:AD9"/>
    <mergeCell ref="AE9:AR9"/>
    <mergeCell ref="AS9:BF9"/>
    <mergeCell ref="BG9:CM11"/>
    <mergeCell ref="CN9:CP9"/>
    <mergeCell ref="AV14:BE14"/>
    <mergeCell ref="BF14:CN14"/>
    <mergeCell ref="CO14:DE14"/>
    <mergeCell ref="A15:DE15"/>
    <mergeCell ref="B17:AK17"/>
    <mergeCell ref="AL17:AN17"/>
    <mergeCell ref="AO17:AQ17"/>
    <mergeCell ref="AR17:AT17"/>
    <mergeCell ref="AU17:DD17"/>
    <mergeCell ref="A14:K14"/>
    <mergeCell ref="L14:V14"/>
    <mergeCell ref="W14:AE14"/>
    <mergeCell ref="AF14:AH14"/>
    <mergeCell ref="AI14:AR14"/>
    <mergeCell ref="AS14:AU14"/>
    <mergeCell ref="A12:DE12"/>
    <mergeCell ref="A13:K13"/>
    <mergeCell ref="L13:AA13"/>
    <mergeCell ref="AB13:AL13"/>
    <mergeCell ref="AM13:BE13"/>
    <mergeCell ref="BF13:CN13"/>
    <mergeCell ref="CO13:DE13"/>
    <mergeCell ref="B20:AK20"/>
    <mergeCell ref="AL20:AN20"/>
    <mergeCell ref="AO20:AQ20"/>
    <mergeCell ref="AR20:AT20"/>
    <mergeCell ref="AU20:DD20"/>
    <mergeCell ref="B21:AK21"/>
    <mergeCell ref="AL21:AN21"/>
    <mergeCell ref="AO21:AQ21"/>
    <mergeCell ref="AR21:AT21"/>
    <mergeCell ref="AU21:DD21"/>
    <mergeCell ref="B18:AK18"/>
    <mergeCell ref="AL18:AN18"/>
    <mergeCell ref="AO18:AQ18"/>
    <mergeCell ref="AR18:AT18"/>
    <mergeCell ref="AU18:DD18"/>
    <mergeCell ref="B19:AK19"/>
    <mergeCell ref="AL19:AN19"/>
    <mergeCell ref="AO19:AQ19"/>
    <mergeCell ref="AR19:AT19"/>
    <mergeCell ref="AU19:DD19"/>
    <mergeCell ref="AX28:AZ28"/>
    <mergeCell ref="BA28:BC28"/>
    <mergeCell ref="BD28:BF28"/>
    <mergeCell ref="BG28:BI28"/>
    <mergeCell ref="BJ28:BL28"/>
    <mergeCell ref="BM28:CI28"/>
    <mergeCell ref="B27:AT27"/>
    <mergeCell ref="AU27:BI27"/>
    <mergeCell ref="BJ27:DD27"/>
    <mergeCell ref="B28:J28"/>
    <mergeCell ref="K28:R28"/>
    <mergeCell ref="S28:Y28"/>
    <mergeCell ref="Z28:AF28"/>
    <mergeCell ref="AG28:AM28"/>
    <mergeCell ref="AN28:AT28"/>
    <mergeCell ref="AU28:AW28"/>
    <mergeCell ref="B22:W22"/>
    <mergeCell ref="X22:AQ22"/>
    <mergeCell ref="AR22:BG22"/>
    <mergeCell ref="BH22:DD22"/>
    <mergeCell ref="BH24:BK24"/>
    <mergeCell ref="A25:DD25"/>
    <mergeCell ref="CP29:CR29"/>
    <mergeCell ref="CS29:CU29"/>
    <mergeCell ref="CV29:CX29"/>
    <mergeCell ref="CY29:DA29"/>
    <mergeCell ref="DB29:DD29"/>
    <mergeCell ref="B30:J30"/>
    <mergeCell ref="K30:R30"/>
    <mergeCell ref="S30:Y30"/>
    <mergeCell ref="Z30:AF30"/>
    <mergeCell ref="AG30:AM30"/>
    <mergeCell ref="BD29:BF29"/>
    <mergeCell ref="BG29:BI29"/>
    <mergeCell ref="BJ29:BL29"/>
    <mergeCell ref="BM29:CI29"/>
    <mergeCell ref="CJ29:CL29"/>
    <mergeCell ref="CM29:CO29"/>
    <mergeCell ref="DB28:DD28"/>
    <mergeCell ref="B29:J29"/>
    <mergeCell ref="K29:R29"/>
    <mergeCell ref="S29:Y29"/>
    <mergeCell ref="Z29:AF29"/>
    <mergeCell ref="AG29:AM29"/>
    <mergeCell ref="AN29:AT29"/>
    <mergeCell ref="AU29:AW29"/>
    <mergeCell ref="AX29:AZ29"/>
    <mergeCell ref="BA29:BC29"/>
    <mergeCell ref="CJ28:CL28"/>
    <mergeCell ref="CM28:CO28"/>
    <mergeCell ref="CP28:CR28"/>
    <mergeCell ref="CS28:CU28"/>
    <mergeCell ref="CV28:CX28"/>
    <mergeCell ref="CY28:DA28"/>
    <mergeCell ref="AX31:AZ31"/>
    <mergeCell ref="BA31:BC31"/>
    <mergeCell ref="BD31:BF31"/>
    <mergeCell ref="BG31:BI31"/>
    <mergeCell ref="BJ31:BL31"/>
    <mergeCell ref="BM31:CI31"/>
    <mergeCell ref="CV30:CX30"/>
    <mergeCell ref="CY30:DA30"/>
    <mergeCell ref="DB30:DD30"/>
    <mergeCell ref="B31:J31"/>
    <mergeCell ref="K31:R31"/>
    <mergeCell ref="S31:Y31"/>
    <mergeCell ref="Z31:AF31"/>
    <mergeCell ref="AG31:AM31"/>
    <mergeCell ref="AN31:AT31"/>
    <mergeCell ref="AU31:AW31"/>
    <mergeCell ref="BJ30:BL30"/>
    <mergeCell ref="BM30:CI30"/>
    <mergeCell ref="CJ30:CL30"/>
    <mergeCell ref="CM30:CO30"/>
    <mergeCell ref="CP30:CR30"/>
    <mergeCell ref="CS30:CU30"/>
    <mergeCell ref="AN30:AT30"/>
    <mergeCell ref="AU30:AW30"/>
    <mergeCell ref="AX30:AZ30"/>
    <mergeCell ref="BA30:BC30"/>
    <mergeCell ref="BD30:BF30"/>
    <mergeCell ref="BG30:BI30"/>
    <mergeCell ref="CP32:CR32"/>
    <mergeCell ref="CS32:CU32"/>
    <mergeCell ref="CV32:CX32"/>
    <mergeCell ref="CY32:DA32"/>
    <mergeCell ref="DB32:DD32"/>
    <mergeCell ref="B33:J33"/>
    <mergeCell ref="K33:R33"/>
    <mergeCell ref="S33:Y33"/>
    <mergeCell ref="Z33:AF33"/>
    <mergeCell ref="AG33:AM33"/>
    <mergeCell ref="BD32:BF32"/>
    <mergeCell ref="BG32:BI32"/>
    <mergeCell ref="BJ32:BL32"/>
    <mergeCell ref="BM32:CI32"/>
    <mergeCell ref="CJ32:CL32"/>
    <mergeCell ref="CM32:CO32"/>
    <mergeCell ref="DB31:DD31"/>
    <mergeCell ref="B32:J32"/>
    <mergeCell ref="K32:R32"/>
    <mergeCell ref="S32:Y32"/>
    <mergeCell ref="Z32:AF32"/>
    <mergeCell ref="AG32:AM32"/>
    <mergeCell ref="AN32:AT32"/>
    <mergeCell ref="AU32:AW32"/>
    <mergeCell ref="AX32:AZ32"/>
    <mergeCell ref="BA32:BC32"/>
    <mergeCell ref="CJ31:CL31"/>
    <mergeCell ref="CM31:CO31"/>
    <mergeCell ref="CP31:CR31"/>
    <mergeCell ref="CS31:CU31"/>
    <mergeCell ref="CV31:CX31"/>
    <mergeCell ref="CY31:DA31"/>
    <mergeCell ref="AX34:AZ34"/>
    <mergeCell ref="BA34:BC34"/>
    <mergeCell ref="BD34:BF34"/>
    <mergeCell ref="BG34:BI34"/>
    <mergeCell ref="BJ34:BL34"/>
    <mergeCell ref="BM34:CI34"/>
    <mergeCell ref="CV33:CX33"/>
    <mergeCell ref="CY33:DA33"/>
    <mergeCell ref="DB33:DD33"/>
    <mergeCell ref="B34:J34"/>
    <mergeCell ref="K34:R34"/>
    <mergeCell ref="S34:Y34"/>
    <mergeCell ref="Z34:AF34"/>
    <mergeCell ref="AG34:AM34"/>
    <mergeCell ref="AN34:AT34"/>
    <mergeCell ref="AU34:AW34"/>
    <mergeCell ref="BJ33:BL33"/>
    <mergeCell ref="BM33:CI33"/>
    <mergeCell ref="CJ33:CL33"/>
    <mergeCell ref="CM33:CO33"/>
    <mergeCell ref="CP33:CR33"/>
    <mergeCell ref="CS33:CU33"/>
    <mergeCell ref="AN33:AT33"/>
    <mergeCell ref="AU33:AW33"/>
    <mergeCell ref="AX33:AZ33"/>
    <mergeCell ref="BA33:BC33"/>
    <mergeCell ref="BD33:BF33"/>
    <mergeCell ref="BG33:BI33"/>
    <mergeCell ref="CP35:CR35"/>
    <mergeCell ref="CS35:CU35"/>
    <mergeCell ref="CV35:CX35"/>
    <mergeCell ref="CY35:DA35"/>
    <mergeCell ref="DB35:DD35"/>
    <mergeCell ref="B36:J36"/>
    <mergeCell ref="K36:R36"/>
    <mergeCell ref="S36:Y36"/>
    <mergeCell ref="Z36:AF36"/>
    <mergeCell ref="AG36:AM36"/>
    <mergeCell ref="BD35:BF35"/>
    <mergeCell ref="BG35:BI35"/>
    <mergeCell ref="BJ35:BL35"/>
    <mergeCell ref="BM35:CI35"/>
    <mergeCell ref="CJ35:CL35"/>
    <mergeCell ref="CM35:CO35"/>
    <mergeCell ref="DB34:DD34"/>
    <mergeCell ref="B35:J35"/>
    <mergeCell ref="K35:R35"/>
    <mergeCell ref="S35:Y35"/>
    <mergeCell ref="Z35:AF35"/>
    <mergeCell ref="AG35:AM35"/>
    <mergeCell ref="AN35:AT35"/>
    <mergeCell ref="AU35:AW35"/>
    <mergeCell ref="AX35:AZ35"/>
    <mergeCell ref="BA35:BC35"/>
    <mergeCell ref="CJ34:CL34"/>
    <mergeCell ref="CM34:CO34"/>
    <mergeCell ref="CP34:CR34"/>
    <mergeCell ref="CS34:CU34"/>
    <mergeCell ref="CV34:CX34"/>
    <mergeCell ref="CY34:DA34"/>
    <mergeCell ref="AX37:AZ37"/>
    <mergeCell ref="BA37:BC37"/>
    <mergeCell ref="BD37:BF37"/>
    <mergeCell ref="BG37:BI37"/>
    <mergeCell ref="BJ37:BL37"/>
    <mergeCell ref="BM37:CI37"/>
    <mergeCell ref="CV36:CX36"/>
    <mergeCell ref="CY36:DA36"/>
    <mergeCell ref="DB36:DD36"/>
    <mergeCell ref="B37:J37"/>
    <mergeCell ref="K37:R37"/>
    <mergeCell ref="S37:Y37"/>
    <mergeCell ref="Z37:AF37"/>
    <mergeCell ref="AG37:AM37"/>
    <mergeCell ref="AN37:AT37"/>
    <mergeCell ref="AU37:AW37"/>
    <mergeCell ref="BJ36:BL36"/>
    <mergeCell ref="BM36:CI36"/>
    <mergeCell ref="CJ36:CL36"/>
    <mergeCell ref="CM36:CO36"/>
    <mergeCell ref="CP36:CR36"/>
    <mergeCell ref="CS36:CU36"/>
    <mergeCell ref="AN36:AT36"/>
    <mergeCell ref="AU36:AW36"/>
    <mergeCell ref="AX36:AZ36"/>
    <mergeCell ref="BA36:BC36"/>
    <mergeCell ref="BD36:BF36"/>
    <mergeCell ref="BG36:BI36"/>
    <mergeCell ref="CP38:CR38"/>
    <mergeCell ref="CS38:CU38"/>
    <mergeCell ref="CV38:CX38"/>
    <mergeCell ref="CY38:DA38"/>
    <mergeCell ref="DB38:DD38"/>
    <mergeCell ref="B39:J39"/>
    <mergeCell ref="K39:R39"/>
    <mergeCell ref="S39:Y39"/>
    <mergeCell ref="Z39:AF39"/>
    <mergeCell ref="AG39:AM39"/>
    <mergeCell ref="BD38:BF38"/>
    <mergeCell ref="BG38:BI38"/>
    <mergeCell ref="BJ38:BL38"/>
    <mergeCell ref="BM38:CI38"/>
    <mergeCell ref="CJ38:CL38"/>
    <mergeCell ref="CM38:CO38"/>
    <mergeCell ref="DB37:DD37"/>
    <mergeCell ref="B38:J38"/>
    <mergeCell ref="K38:R38"/>
    <mergeCell ref="S38:Y38"/>
    <mergeCell ref="Z38:AF38"/>
    <mergeCell ref="AG38:AM38"/>
    <mergeCell ref="AN38:AT38"/>
    <mergeCell ref="AU38:AW38"/>
    <mergeCell ref="AX38:AZ38"/>
    <mergeCell ref="BA38:BC38"/>
    <mergeCell ref="CJ37:CL37"/>
    <mergeCell ref="CM37:CO37"/>
    <mergeCell ref="CP37:CR37"/>
    <mergeCell ref="CS37:CU37"/>
    <mergeCell ref="CV37:CX37"/>
    <mergeCell ref="CY37:DA37"/>
    <mergeCell ref="AX40:AZ40"/>
    <mergeCell ref="BA40:BC40"/>
    <mergeCell ref="BD40:BF40"/>
    <mergeCell ref="BG40:BI40"/>
    <mergeCell ref="BJ40:BL40"/>
    <mergeCell ref="BM40:CI40"/>
    <mergeCell ref="CV39:CX39"/>
    <mergeCell ref="CY39:DA39"/>
    <mergeCell ref="DB39:DD39"/>
    <mergeCell ref="B40:J40"/>
    <mergeCell ref="K40:R40"/>
    <mergeCell ref="S40:Y40"/>
    <mergeCell ref="Z40:AF40"/>
    <mergeCell ref="AG40:AM40"/>
    <mergeCell ref="AN40:AT40"/>
    <mergeCell ref="AU40:AW40"/>
    <mergeCell ref="BJ39:BL39"/>
    <mergeCell ref="BM39:CI39"/>
    <mergeCell ref="CJ39:CL39"/>
    <mergeCell ref="CM39:CO39"/>
    <mergeCell ref="CP39:CR39"/>
    <mergeCell ref="CS39:CU39"/>
    <mergeCell ref="AN39:AT39"/>
    <mergeCell ref="AU39:AW39"/>
    <mergeCell ref="AX39:AZ39"/>
    <mergeCell ref="BA39:BC39"/>
    <mergeCell ref="BD39:BF39"/>
    <mergeCell ref="BG39:BI39"/>
    <mergeCell ref="CP41:CR41"/>
    <mergeCell ref="CS41:CU41"/>
    <mergeCell ref="CV41:CX41"/>
    <mergeCell ref="CY41:DA41"/>
    <mergeCell ref="DB41:DD41"/>
    <mergeCell ref="B42:J42"/>
    <mergeCell ref="K42:R42"/>
    <mergeCell ref="S42:Y42"/>
    <mergeCell ref="Z42:AF42"/>
    <mergeCell ref="AG42:AM42"/>
    <mergeCell ref="BD41:BF41"/>
    <mergeCell ref="BG41:BI41"/>
    <mergeCell ref="BJ41:BL41"/>
    <mergeCell ref="BM41:CI41"/>
    <mergeCell ref="CJ41:CL41"/>
    <mergeCell ref="CM41:CO41"/>
    <mergeCell ref="DB40:DD40"/>
    <mergeCell ref="B41:J41"/>
    <mergeCell ref="K41:R41"/>
    <mergeCell ref="S41:Y41"/>
    <mergeCell ref="Z41:AF41"/>
    <mergeCell ref="AG41:AM41"/>
    <mergeCell ref="AN41:AT41"/>
    <mergeCell ref="AU41:AW41"/>
    <mergeCell ref="AX41:AZ41"/>
    <mergeCell ref="BA41:BC41"/>
    <mergeCell ref="CJ40:CL40"/>
    <mergeCell ref="CM40:CO40"/>
    <mergeCell ref="CP40:CR40"/>
    <mergeCell ref="CS40:CU40"/>
    <mergeCell ref="CV40:CX40"/>
    <mergeCell ref="CY40:DA40"/>
    <mergeCell ref="AX43:AZ43"/>
    <mergeCell ref="BA43:BC43"/>
    <mergeCell ref="BD43:BF43"/>
    <mergeCell ref="BG43:BI43"/>
    <mergeCell ref="BJ43:BL43"/>
    <mergeCell ref="BM43:CI43"/>
    <mergeCell ref="CV42:CX42"/>
    <mergeCell ref="CY42:DA42"/>
    <mergeCell ref="DB42:DD42"/>
    <mergeCell ref="B43:J43"/>
    <mergeCell ref="K43:R43"/>
    <mergeCell ref="S43:Y43"/>
    <mergeCell ref="Z43:AF43"/>
    <mergeCell ref="AG43:AM43"/>
    <mergeCell ref="AN43:AT43"/>
    <mergeCell ref="AU43:AW43"/>
    <mergeCell ref="BJ42:BL42"/>
    <mergeCell ref="BM42:CI42"/>
    <mergeCell ref="CJ42:CL42"/>
    <mergeCell ref="CM42:CO42"/>
    <mergeCell ref="CP42:CR42"/>
    <mergeCell ref="CS42:CU42"/>
    <mergeCell ref="AN42:AT42"/>
    <mergeCell ref="AU42:AW42"/>
    <mergeCell ref="AX42:AZ42"/>
    <mergeCell ref="BA42:BC42"/>
    <mergeCell ref="BD42:BF42"/>
    <mergeCell ref="BG42:BI42"/>
    <mergeCell ref="CP44:CR44"/>
    <mergeCell ref="CS44:CU44"/>
    <mergeCell ref="CV44:CX44"/>
    <mergeCell ref="CY44:DA44"/>
    <mergeCell ref="DB44:DD44"/>
    <mergeCell ref="B45:J45"/>
    <mergeCell ref="K45:R45"/>
    <mergeCell ref="S45:Y45"/>
    <mergeCell ref="Z45:AF45"/>
    <mergeCell ref="AG45:AM45"/>
    <mergeCell ref="BD44:BF44"/>
    <mergeCell ref="BG44:BI44"/>
    <mergeCell ref="BJ44:BL44"/>
    <mergeCell ref="BM44:CI44"/>
    <mergeCell ref="CJ44:CL44"/>
    <mergeCell ref="CM44:CO44"/>
    <mergeCell ref="DB43:DD43"/>
    <mergeCell ref="B44:J44"/>
    <mergeCell ref="K44:R44"/>
    <mergeCell ref="S44:Y44"/>
    <mergeCell ref="Z44:AF44"/>
    <mergeCell ref="AG44:AM44"/>
    <mergeCell ref="AN44:AT44"/>
    <mergeCell ref="AU44:AW44"/>
    <mergeCell ref="AX44:AZ44"/>
    <mergeCell ref="BA44:BC44"/>
    <mergeCell ref="CJ43:CL43"/>
    <mergeCell ref="CM43:CO43"/>
    <mergeCell ref="CP43:CR43"/>
    <mergeCell ref="CS43:CU43"/>
    <mergeCell ref="CV43:CX43"/>
    <mergeCell ref="CY43:DA43"/>
    <mergeCell ref="AX46:AZ46"/>
    <mergeCell ref="BA46:BC46"/>
    <mergeCell ref="BD46:BF46"/>
    <mergeCell ref="BG46:BI46"/>
    <mergeCell ref="BJ46:BL46"/>
    <mergeCell ref="BM46:CI46"/>
    <mergeCell ref="CV45:CX45"/>
    <mergeCell ref="CY45:DA45"/>
    <mergeCell ref="DB45:DD45"/>
    <mergeCell ref="B46:J46"/>
    <mergeCell ref="K46:R46"/>
    <mergeCell ref="S46:Y46"/>
    <mergeCell ref="Z46:AF46"/>
    <mergeCell ref="AG46:AM46"/>
    <mergeCell ref="AN46:AT46"/>
    <mergeCell ref="AU46:AW46"/>
    <mergeCell ref="BJ45:BL45"/>
    <mergeCell ref="BM45:CI45"/>
    <mergeCell ref="CJ45:CL45"/>
    <mergeCell ref="CM45:CO45"/>
    <mergeCell ref="CP45:CR45"/>
    <mergeCell ref="CS45:CU45"/>
    <mergeCell ref="AN45:AT45"/>
    <mergeCell ref="AU45:AW45"/>
    <mergeCell ref="AX45:AZ45"/>
    <mergeCell ref="BA45:BC45"/>
    <mergeCell ref="BD45:BF45"/>
    <mergeCell ref="BG45:BI45"/>
    <mergeCell ref="CP47:CR47"/>
    <mergeCell ref="CS47:CU47"/>
    <mergeCell ref="CV47:CX47"/>
    <mergeCell ref="CY47:DA47"/>
    <mergeCell ref="DB47:DD47"/>
    <mergeCell ref="B48:J48"/>
    <mergeCell ref="K48:R48"/>
    <mergeCell ref="S48:Y48"/>
    <mergeCell ref="Z48:AF48"/>
    <mergeCell ref="AG48:AM48"/>
    <mergeCell ref="BD47:BF47"/>
    <mergeCell ref="BG47:BI47"/>
    <mergeCell ref="BJ47:BL47"/>
    <mergeCell ref="BM47:CI47"/>
    <mergeCell ref="CJ47:CL47"/>
    <mergeCell ref="CM47:CO47"/>
    <mergeCell ref="DB46:DD46"/>
    <mergeCell ref="B47:J47"/>
    <mergeCell ref="K47:R47"/>
    <mergeCell ref="S47:Y47"/>
    <mergeCell ref="Z47:AF47"/>
    <mergeCell ref="AG47:AM47"/>
    <mergeCell ref="AN47:AT47"/>
    <mergeCell ref="AU47:AW47"/>
    <mergeCell ref="AX47:AZ47"/>
    <mergeCell ref="BA47:BC47"/>
    <mergeCell ref="CJ46:CL46"/>
    <mergeCell ref="CM46:CO46"/>
    <mergeCell ref="CP46:CR46"/>
    <mergeCell ref="CS46:CU46"/>
    <mergeCell ref="CV46:CX46"/>
    <mergeCell ref="CY46:DA46"/>
    <mergeCell ref="AX49:AZ49"/>
    <mergeCell ref="BA49:BC49"/>
    <mergeCell ref="BD49:BF49"/>
    <mergeCell ref="BG49:BI49"/>
    <mergeCell ref="BJ49:BL49"/>
    <mergeCell ref="BM49:CI49"/>
    <mergeCell ref="CV48:CX48"/>
    <mergeCell ref="CY48:DA48"/>
    <mergeCell ref="DB48:DD48"/>
    <mergeCell ref="B49:J49"/>
    <mergeCell ref="K49:R49"/>
    <mergeCell ref="S49:Y49"/>
    <mergeCell ref="Z49:AF49"/>
    <mergeCell ref="AG49:AM49"/>
    <mergeCell ref="AN49:AT49"/>
    <mergeCell ref="AU49:AW49"/>
    <mergeCell ref="BJ48:BL48"/>
    <mergeCell ref="BM48:CI48"/>
    <mergeCell ref="CJ48:CL48"/>
    <mergeCell ref="CM48:CO48"/>
    <mergeCell ref="CP48:CR48"/>
    <mergeCell ref="CS48:CU48"/>
    <mergeCell ref="AN48:AT48"/>
    <mergeCell ref="AU48:AW48"/>
    <mergeCell ref="AX48:AZ48"/>
    <mergeCell ref="BA48:BC48"/>
    <mergeCell ref="BD48:BF48"/>
    <mergeCell ref="BG48:BI48"/>
    <mergeCell ref="CP50:CR50"/>
    <mergeCell ref="CS50:CU50"/>
    <mergeCell ref="CV50:CX50"/>
    <mergeCell ref="CY50:DA50"/>
    <mergeCell ref="DB50:DD50"/>
    <mergeCell ref="B51:J51"/>
    <mergeCell ref="K51:R51"/>
    <mergeCell ref="S51:Y51"/>
    <mergeCell ref="Z51:AF51"/>
    <mergeCell ref="AG51:AM51"/>
    <mergeCell ref="BD50:BF50"/>
    <mergeCell ref="BG50:BI50"/>
    <mergeCell ref="BJ50:BL50"/>
    <mergeCell ref="BM50:CI50"/>
    <mergeCell ref="CJ50:CL50"/>
    <mergeCell ref="CM50:CO50"/>
    <mergeCell ref="DB49:DD49"/>
    <mergeCell ref="B50:J50"/>
    <mergeCell ref="K50:R50"/>
    <mergeCell ref="S50:Y50"/>
    <mergeCell ref="Z50:AF50"/>
    <mergeCell ref="AG50:AM50"/>
    <mergeCell ref="AN50:AT50"/>
    <mergeCell ref="AU50:AW50"/>
    <mergeCell ref="AX50:AZ50"/>
    <mergeCell ref="BA50:BC50"/>
    <mergeCell ref="CJ49:CL49"/>
    <mergeCell ref="CM49:CO49"/>
    <mergeCell ref="CP49:CR49"/>
    <mergeCell ref="CS49:CU49"/>
    <mergeCell ref="CV49:CX49"/>
    <mergeCell ref="CY49:DA49"/>
    <mergeCell ref="BN52:CJ52"/>
    <mergeCell ref="CK52:DD52"/>
    <mergeCell ref="CJ54:CN54"/>
    <mergeCell ref="CO54:CQ54"/>
    <mergeCell ref="CR54:CS54"/>
    <mergeCell ref="CT54:CV54"/>
    <mergeCell ref="CW54:CX54"/>
    <mergeCell ref="CV51:CX51"/>
    <mergeCell ref="CY51:DA51"/>
    <mergeCell ref="DB51:DD51"/>
    <mergeCell ref="B52:P52"/>
    <mergeCell ref="Q52:AH52"/>
    <mergeCell ref="AI52:AS52"/>
    <mergeCell ref="AT52:AW52"/>
    <mergeCell ref="AX52:AZ52"/>
    <mergeCell ref="BA52:BI52"/>
    <mergeCell ref="BJ52:BM52"/>
    <mergeCell ref="BJ51:BL51"/>
    <mergeCell ref="BM51:CI51"/>
    <mergeCell ref="CJ51:CL51"/>
    <mergeCell ref="CM51:CO51"/>
    <mergeCell ref="CP51:CR51"/>
    <mergeCell ref="CS51:CU51"/>
    <mergeCell ref="AN51:AT51"/>
    <mergeCell ref="AU51:AW51"/>
    <mergeCell ref="AX51:AZ51"/>
    <mergeCell ref="BA51:BC51"/>
    <mergeCell ref="BD51:BF51"/>
    <mergeCell ref="BG51:BI51"/>
    <mergeCell ref="A67:R67"/>
    <mergeCell ref="S67:AD67"/>
    <mergeCell ref="AE67:AR67"/>
    <mergeCell ref="AS67:BF67"/>
    <mergeCell ref="CN67:CP67"/>
    <mergeCell ref="CQ67:DE67"/>
    <mergeCell ref="CQ65:DE65"/>
    <mergeCell ref="A66:R66"/>
    <mergeCell ref="S66:AD66"/>
    <mergeCell ref="AE66:AR66"/>
    <mergeCell ref="AS66:BF66"/>
    <mergeCell ref="CN66:CP66"/>
    <mergeCell ref="CQ66:DE66"/>
    <mergeCell ref="A57:CU62"/>
    <mergeCell ref="CV57:DE62"/>
    <mergeCell ref="A63:CO64"/>
    <mergeCell ref="CP63:DE64"/>
    <mergeCell ref="A65:R65"/>
    <mergeCell ref="S65:AD65"/>
    <mergeCell ref="AE65:AR65"/>
    <mergeCell ref="AS65:BF65"/>
    <mergeCell ref="BG65:CM67"/>
    <mergeCell ref="CN65:CP65"/>
    <mergeCell ref="AV70:BE70"/>
    <mergeCell ref="BF70:CN70"/>
    <mergeCell ref="CO70:DE70"/>
    <mergeCell ref="A71:DE71"/>
    <mergeCell ref="B73:AK73"/>
    <mergeCell ref="AL73:AN73"/>
    <mergeCell ref="AO73:AQ73"/>
    <mergeCell ref="AR73:AT73"/>
    <mergeCell ref="AU73:DD73"/>
    <mergeCell ref="A70:K70"/>
    <mergeCell ref="L70:V70"/>
    <mergeCell ref="W70:AE70"/>
    <mergeCell ref="AF70:AH70"/>
    <mergeCell ref="AI70:AR70"/>
    <mergeCell ref="AS70:AU70"/>
    <mergeCell ref="A68:DE68"/>
    <mergeCell ref="A69:K69"/>
    <mergeCell ref="L69:AA69"/>
    <mergeCell ref="AB69:AL69"/>
    <mergeCell ref="AM69:BE69"/>
    <mergeCell ref="BF69:CN69"/>
    <mergeCell ref="CO69:DE69"/>
    <mergeCell ref="B76:AK76"/>
    <mergeCell ref="AL76:AN76"/>
    <mergeCell ref="AO76:AQ76"/>
    <mergeCell ref="AR76:AT76"/>
    <mergeCell ref="AU76:DD76"/>
    <mergeCell ref="B77:AK77"/>
    <mergeCell ref="AL77:AN77"/>
    <mergeCell ref="AO77:AQ77"/>
    <mergeCell ref="AR77:AT77"/>
    <mergeCell ref="AU77:DD77"/>
    <mergeCell ref="B74:AK74"/>
    <mergeCell ref="AL74:AN74"/>
    <mergeCell ref="AO74:AQ74"/>
    <mergeCell ref="AR74:AT74"/>
    <mergeCell ref="AU74:DD74"/>
    <mergeCell ref="B75:AK75"/>
    <mergeCell ref="AL75:AN75"/>
    <mergeCell ref="AO75:AQ75"/>
    <mergeCell ref="AR75:AT75"/>
    <mergeCell ref="AU75:DD75"/>
    <mergeCell ref="AX84:AZ84"/>
    <mergeCell ref="BA84:BC84"/>
    <mergeCell ref="BD84:BF84"/>
    <mergeCell ref="BG84:BI84"/>
    <mergeCell ref="BJ84:BL84"/>
    <mergeCell ref="BM84:CI84"/>
    <mergeCell ref="B83:AT83"/>
    <mergeCell ref="AU83:BI83"/>
    <mergeCell ref="BJ83:DD83"/>
    <mergeCell ref="B84:J84"/>
    <mergeCell ref="K84:R84"/>
    <mergeCell ref="S84:Y84"/>
    <mergeCell ref="Z84:AF84"/>
    <mergeCell ref="AG84:AM84"/>
    <mergeCell ref="AN84:AT84"/>
    <mergeCell ref="AU84:AW84"/>
    <mergeCell ref="B78:W78"/>
    <mergeCell ref="X78:AQ78"/>
    <mergeCell ref="AR78:BG78"/>
    <mergeCell ref="BH78:DD78"/>
    <mergeCell ref="BH80:BK80"/>
    <mergeCell ref="A81:DD81"/>
    <mergeCell ref="CP85:CR85"/>
    <mergeCell ref="CS85:CU85"/>
    <mergeCell ref="CV85:CX85"/>
    <mergeCell ref="CY85:DA85"/>
    <mergeCell ref="DB85:DD85"/>
    <mergeCell ref="B86:J86"/>
    <mergeCell ref="K86:R86"/>
    <mergeCell ref="S86:Y86"/>
    <mergeCell ref="Z86:AF86"/>
    <mergeCell ref="AG86:AM86"/>
    <mergeCell ref="BD85:BF85"/>
    <mergeCell ref="BG85:BI85"/>
    <mergeCell ref="BJ85:BL85"/>
    <mergeCell ref="BM85:CI85"/>
    <mergeCell ref="CJ85:CL85"/>
    <mergeCell ref="CM85:CO85"/>
    <mergeCell ref="DB84:DD84"/>
    <mergeCell ref="B85:J85"/>
    <mergeCell ref="K85:R85"/>
    <mergeCell ref="S85:Y85"/>
    <mergeCell ref="Z85:AF85"/>
    <mergeCell ref="AG85:AM85"/>
    <mergeCell ref="AN85:AT85"/>
    <mergeCell ref="AU85:AW85"/>
    <mergeCell ref="AX85:AZ85"/>
    <mergeCell ref="BA85:BC85"/>
    <mergeCell ref="CJ84:CL84"/>
    <mergeCell ref="CM84:CO84"/>
    <mergeCell ref="CP84:CR84"/>
    <mergeCell ref="CS84:CU84"/>
    <mergeCell ref="CV84:CX84"/>
    <mergeCell ref="CY84:DA84"/>
    <mergeCell ref="AX87:AZ87"/>
    <mergeCell ref="BA87:BC87"/>
    <mergeCell ref="BD87:BF87"/>
    <mergeCell ref="BG87:BI87"/>
    <mergeCell ref="BJ87:BL87"/>
    <mergeCell ref="BM87:CI87"/>
    <mergeCell ref="CV86:CX86"/>
    <mergeCell ref="CY86:DA86"/>
    <mergeCell ref="DB86:DD86"/>
    <mergeCell ref="B87:J87"/>
    <mergeCell ref="K87:R87"/>
    <mergeCell ref="S87:Y87"/>
    <mergeCell ref="Z87:AF87"/>
    <mergeCell ref="AG87:AM87"/>
    <mergeCell ref="AN87:AT87"/>
    <mergeCell ref="AU87:AW87"/>
    <mergeCell ref="BJ86:BL86"/>
    <mergeCell ref="BM86:CI86"/>
    <mergeCell ref="CJ86:CL86"/>
    <mergeCell ref="CM86:CO86"/>
    <mergeCell ref="CP86:CR86"/>
    <mergeCell ref="CS86:CU86"/>
    <mergeCell ref="AN86:AT86"/>
    <mergeCell ref="AU86:AW86"/>
    <mergeCell ref="AX86:AZ86"/>
    <mergeCell ref="BA86:BC86"/>
    <mergeCell ref="BD86:BF86"/>
    <mergeCell ref="BG86:BI86"/>
    <mergeCell ref="CP88:CR88"/>
    <mergeCell ref="CS88:CU88"/>
    <mergeCell ref="CV88:CX88"/>
    <mergeCell ref="CY88:DA88"/>
    <mergeCell ref="DB88:DD88"/>
    <mergeCell ref="B89:J89"/>
    <mergeCell ref="K89:R89"/>
    <mergeCell ref="S89:Y89"/>
    <mergeCell ref="Z89:AF89"/>
    <mergeCell ref="AG89:AM89"/>
    <mergeCell ref="BD88:BF88"/>
    <mergeCell ref="BG88:BI88"/>
    <mergeCell ref="BJ88:BL88"/>
    <mergeCell ref="BM88:CI88"/>
    <mergeCell ref="CJ88:CL88"/>
    <mergeCell ref="CM88:CO88"/>
    <mergeCell ref="DB87:DD87"/>
    <mergeCell ref="B88:J88"/>
    <mergeCell ref="K88:R88"/>
    <mergeCell ref="S88:Y88"/>
    <mergeCell ref="Z88:AF88"/>
    <mergeCell ref="AG88:AM88"/>
    <mergeCell ref="AN88:AT88"/>
    <mergeCell ref="AU88:AW88"/>
    <mergeCell ref="AX88:AZ88"/>
    <mergeCell ref="BA88:BC88"/>
    <mergeCell ref="CJ87:CL87"/>
    <mergeCell ref="CM87:CO87"/>
    <mergeCell ref="CP87:CR87"/>
    <mergeCell ref="CS87:CU87"/>
    <mergeCell ref="CV87:CX87"/>
    <mergeCell ref="CY87:DA87"/>
    <mergeCell ref="AX90:AZ90"/>
    <mergeCell ref="BA90:BC90"/>
    <mergeCell ref="BD90:BF90"/>
    <mergeCell ref="BG90:BI90"/>
    <mergeCell ref="BJ90:BL90"/>
    <mergeCell ref="BM90:CI90"/>
    <mergeCell ref="CV89:CX89"/>
    <mergeCell ref="CY89:DA89"/>
    <mergeCell ref="DB89:DD89"/>
    <mergeCell ref="B90:J90"/>
    <mergeCell ref="K90:R90"/>
    <mergeCell ref="S90:Y90"/>
    <mergeCell ref="Z90:AF90"/>
    <mergeCell ref="AG90:AM90"/>
    <mergeCell ref="AN90:AT90"/>
    <mergeCell ref="AU90:AW90"/>
    <mergeCell ref="BJ89:BL89"/>
    <mergeCell ref="BM89:CI89"/>
    <mergeCell ref="CJ89:CL89"/>
    <mergeCell ref="CM89:CO89"/>
    <mergeCell ref="CP89:CR89"/>
    <mergeCell ref="CS89:CU89"/>
    <mergeCell ref="AN89:AT89"/>
    <mergeCell ref="AU89:AW89"/>
    <mergeCell ref="AX89:AZ89"/>
    <mergeCell ref="BA89:BC89"/>
    <mergeCell ref="BD89:BF89"/>
    <mergeCell ref="BG89:BI89"/>
    <mergeCell ref="CP91:CR91"/>
    <mergeCell ref="CS91:CU91"/>
    <mergeCell ref="CV91:CX91"/>
    <mergeCell ref="CY91:DA91"/>
    <mergeCell ref="DB91:DD91"/>
    <mergeCell ref="B92:J92"/>
    <mergeCell ref="K92:R92"/>
    <mergeCell ref="S92:Y92"/>
    <mergeCell ref="Z92:AF92"/>
    <mergeCell ref="AG92:AM92"/>
    <mergeCell ref="BD91:BF91"/>
    <mergeCell ref="BG91:BI91"/>
    <mergeCell ref="BJ91:BL91"/>
    <mergeCell ref="BM91:CI91"/>
    <mergeCell ref="CJ91:CL91"/>
    <mergeCell ref="CM91:CO91"/>
    <mergeCell ref="DB90:DD90"/>
    <mergeCell ref="B91:J91"/>
    <mergeCell ref="K91:R91"/>
    <mergeCell ref="S91:Y91"/>
    <mergeCell ref="Z91:AF91"/>
    <mergeCell ref="AG91:AM91"/>
    <mergeCell ref="AN91:AT91"/>
    <mergeCell ref="AU91:AW91"/>
    <mergeCell ref="AX91:AZ91"/>
    <mergeCell ref="BA91:BC91"/>
    <mergeCell ref="CJ90:CL90"/>
    <mergeCell ref="CM90:CO90"/>
    <mergeCell ref="CP90:CR90"/>
    <mergeCell ref="CS90:CU90"/>
    <mergeCell ref="CV90:CX90"/>
    <mergeCell ref="CY90:DA90"/>
    <mergeCell ref="AX93:AZ93"/>
    <mergeCell ref="BA93:BC93"/>
    <mergeCell ref="BD93:BF93"/>
    <mergeCell ref="BG93:BI93"/>
    <mergeCell ref="BJ93:BL93"/>
    <mergeCell ref="BM93:CI93"/>
    <mergeCell ref="CV92:CX92"/>
    <mergeCell ref="CY92:DA92"/>
    <mergeCell ref="DB92:DD92"/>
    <mergeCell ref="B93:J93"/>
    <mergeCell ref="K93:R93"/>
    <mergeCell ref="S93:Y93"/>
    <mergeCell ref="Z93:AF93"/>
    <mergeCell ref="AG93:AM93"/>
    <mergeCell ref="AN93:AT93"/>
    <mergeCell ref="AU93:AW93"/>
    <mergeCell ref="BJ92:BL92"/>
    <mergeCell ref="BM92:CI92"/>
    <mergeCell ref="CJ92:CL92"/>
    <mergeCell ref="CM92:CO92"/>
    <mergeCell ref="CP92:CR92"/>
    <mergeCell ref="CS92:CU92"/>
    <mergeCell ref="AN92:AT92"/>
    <mergeCell ref="AU92:AW92"/>
    <mergeCell ref="AX92:AZ92"/>
    <mergeCell ref="BA92:BC92"/>
    <mergeCell ref="BD92:BF92"/>
    <mergeCell ref="BG92:BI92"/>
    <mergeCell ref="CP94:CR94"/>
    <mergeCell ref="CS94:CU94"/>
    <mergeCell ref="CV94:CX94"/>
    <mergeCell ref="CY94:DA94"/>
    <mergeCell ref="DB94:DD94"/>
    <mergeCell ref="B95:J95"/>
    <mergeCell ref="K95:R95"/>
    <mergeCell ref="S95:Y95"/>
    <mergeCell ref="Z95:AF95"/>
    <mergeCell ref="AG95:AM95"/>
    <mergeCell ref="BD94:BF94"/>
    <mergeCell ref="BG94:BI94"/>
    <mergeCell ref="BJ94:BL94"/>
    <mergeCell ref="BM94:CI94"/>
    <mergeCell ref="CJ94:CL94"/>
    <mergeCell ref="CM94:CO94"/>
    <mergeCell ref="DB93:DD93"/>
    <mergeCell ref="B94:J94"/>
    <mergeCell ref="K94:R94"/>
    <mergeCell ref="S94:Y94"/>
    <mergeCell ref="Z94:AF94"/>
    <mergeCell ref="AG94:AM94"/>
    <mergeCell ref="AN94:AT94"/>
    <mergeCell ref="AU94:AW94"/>
    <mergeCell ref="AX94:AZ94"/>
    <mergeCell ref="BA94:BC94"/>
    <mergeCell ref="CJ93:CL93"/>
    <mergeCell ref="CM93:CO93"/>
    <mergeCell ref="CP93:CR93"/>
    <mergeCell ref="CS93:CU93"/>
    <mergeCell ref="CV93:CX93"/>
    <mergeCell ref="CY93:DA93"/>
    <mergeCell ref="AX96:AZ96"/>
    <mergeCell ref="BA96:BC96"/>
    <mergeCell ref="BD96:BF96"/>
    <mergeCell ref="BG96:BI96"/>
    <mergeCell ref="BJ96:BL96"/>
    <mergeCell ref="BM96:CI96"/>
    <mergeCell ref="CV95:CX95"/>
    <mergeCell ref="CY95:DA95"/>
    <mergeCell ref="DB95:DD95"/>
    <mergeCell ref="B96:J96"/>
    <mergeCell ref="K96:R96"/>
    <mergeCell ref="S96:Y96"/>
    <mergeCell ref="Z96:AF96"/>
    <mergeCell ref="AG96:AM96"/>
    <mergeCell ref="AN96:AT96"/>
    <mergeCell ref="AU96:AW96"/>
    <mergeCell ref="BJ95:BL95"/>
    <mergeCell ref="BM95:CI95"/>
    <mergeCell ref="CJ95:CL95"/>
    <mergeCell ref="CM95:CO95"/>
    <mergeCell ref="CP95:CR95"/>
    <mergeCell ref="CS95:CU95"/>
    <mergeCell ref="AN95:AT95"/>
    <mergeCell ref="AU95:AW95"/>
    <mergeCell ref="AX95:AZ95"/>
    <mergeCell ref="BA95:BC95"/>
    <mergeCell ref="BD95:BF95"/>
    <mergeCell ref="BG95:BI95"/>
    <mergeCell ref="CP97:CR97"/>
    <mergeCell ref="CS97:CU97"/>
    <mergeCell ref="CV97:CX97"/>
    <mergeCell ref="CY97:DA97"/>
    <mergeCell ref="DB97:DD97"/>
    <mergeCell ref="B98:J98"/>
    <mergeCell ref="K98:R98"/>
    <mergeCell ref="S98:Y98"/>
    <mergeCell ref="Z98:AF98"/>
    <mergeCell ref="AG98:AM98"/>
    <mergeCell ref="BD97:BF97"/>
    <mergeCell ref="BG97:BI97"/>
    <mergeCell ref="BJ97:BL97"/>
    <mergeCell ref="BM97:CI97"/>
    <mergeCell ref="CJ97:CL97"/>
    <mergeCell ref="CM97:CO97"/>
    <mergeCell ref="DB96:DD96"/>
    <mergeCell ref="B97:J97"/>
    <mergeCell ref="K97:R97"/>
    <mergeCell ref="S97:Y97"/>
    <mergeCell ref="Z97:AF97"/>
    <mergeCell ref="AG97:AM97"/>
    <mergeCell ref="AN97:AT97"/>
    <mergeCell ref="AU97:AW97"/>
    <mergeCell ref="AX97:AZ97"/>
    <mergeCell ref="BA97:BC97"/>
    <mergeCell ref="CJ96:CL96"/>
    <mergeCell ref="CM96:CO96"/>
    <mergeCell ref="CP96:CR96"/>
    <mergeCell ref="CS96:CU96"/>
    <mergeCell ref="CV96:CX96"/>
    <mergeCell ref="CY96:DA96"/>
    <mergeCell ref="AX99:AZ99"/>
    <mergeCell ref="BA99:BC99"/>
    <mergeCell ref="BD99:BF99"/>
    <mergeCell ref="BG99:BI99"/>
    <mergeCell ref="BJ99:BL99"/>
    <mergeCell ref="BM99:CI99"/>
    <mergeCell ref="CV98:CX98"/>
    <mergeCell ref="CY98:DA98"/>
    <mergeCell ref="DB98:DD98"/>
    <mergeCell ref="B99:J99"/>
    <mergeCell ref="K99:R99"/>
    <mergeCell ref="S99:Y99"/>
    <mergeCell ref="Z99:AF99"/>
    <mergeCell ref="AG99:AM99"/>
    <mergeCell ref="AN99:AT99"/>
    <mergeCell ref="AU99:AW99"/>
    <mergeCell ref="BJ98:BL98"/>
    <mergeCell ref="BM98:CI98"/>
    <mergeCell ref="CJ98:CL98"/>
    <mergeCell ref="CM98:CO98"/>
    <mergeCell ref="CP98:CR98"/>
    <mergeCell ref="CS98:CU98"/>
    <mergeCell ref="AN98:AT98"/>
    <mergeCell ref="AU98:AW98"/>
    <mergeCell ref="AX98:AZ98"/>
    <mergeCell ref="BA98:BC98"/>
    <mergeCell ref="BD98:BF98"/>
    <mergeCell ref="BG98:BI98"/>
    <mergeCell ref="CP100:CR100"/>
    <mergeCell ref="CS100:CU100"/>
    <mergeCell ref="CV100:CX100"/>
    <mergeCell ref="CY100:DA100"/>
    <mergeCell ref="DB100:DD100"/>
    <mergeCell ref="B101:J101"/>
    <mergeCell ref="K101:R101"/>
    <mergeCell ref="S101:Y101"/>
    <mergeCell ref="Z101:AF101"/>
    <mergeCell ref="AG101:AM101"/>
    <mergeCell ref="BD100:BF100"/>
    <mergeCell ref="BG100:BI100"/>
    <mergeCell ref="BJ100:BL100"/>
    <mergeCell ref="BM100:CI100"/>
    <mergeCell ref="CJ100:CL100"/>
    <mergeCell ref="CM100:CO100"/>
    <mergeCell ref="DB99:DD99"/>
    <mergeCell ref="B100:J100"/>
    <mergeCell ref="K100:R100"/>
    <mergeCell ref="S100:Y100"/>
    <mergeCell ref="Z100:AF100"/>
    <mergeCell ref="AG100:AM100"/>
    <mergeCell ref="AN100:AT100"/>
    <mergeCell ref="AU100:AW100"/>
    <mergeCell ref="AX100:AZ100"/>
    <mergeCell ref="BA100:BC100"/>
    <mergeCell ref="CJ99:CL99"/>
    <mergeCell ref="CM99:CO99"/>
    <mergeCell ref="CP99:CR99"/>
    <mergeCell ref="CS99:CU99"/>
    <mergeCell ref="CV99:CX99"/>
    <mergeCell ref="CY99:DA99"/>
    <mergeCell ref="AX102:AZ102"/>
    <mergeCell ref="BA102:BC102"/>
    <mergeCell ref="BD102:BF102"/>
    <mergeCell ref="BG102:BI102"/>
    <mergeCell ref="BJ102:BL102"/>
    <mergeCell ref="BM102:CI102"/>
    <mergeCell ref="CV101:CX101"/>
    <mergeCell ref="CY101:DA101"/>
    <mergeCell ref="DB101:DD101"/>
    <mergeCell ref="B102:J102"/>
    <mergeCell ref="K102:R102"/>
    <mergeCell ref="S102:Y102"/>
    <mergeCell ref="Z102:AF102"/>
    <mergeCell ref="AG102:AM102"/>
    <mergeCell ref="AN102:AT102"/>
    <mergeCell ref="AU102:AW102"/>
    <mergeCell ref="BJ101:BL101"/>
    <mergeCell ref="BM101:CI101"/>
    <mergeCell ref="CJ101:CL101"/>
    <mergeCell ref="CM101:CO101"/>
    <mergeCell ref="CP101:CR101"/>
    <mergeCell ref="CS101:CU101"/>
    <mergeCell ref="AN101:AT101"/>
    <mergeCell ref="AU101:AW101"/>
    <mergeCell ref="AX101:AZ101"/>
    <mergeCell ref="BA101:BC101"/>
    <mergeCell ref="BD101:BF101"/>
    <mergeCell ref="BG101:BI101"/>
    <mergeCell ref="CP103:CR103"/>
    <mergeCell ref="CS103:CU103"/>
    <mergeCell ref="CV103:CX103"/>
    <mergeCell ref="CY103:DA103"/>
    <mergeCell ref="DB103:DD103"/>
    <mergeCell ref="B104:J104"/>
    <mergeCell ref="K104:R104"/>
    <mergeCell ref="S104:Y104"/>
    <mergeCell ref="Z104:AF104"/>
    <mergeCell ref="AG104:AM104"/>
    <mergeCell ref="BD103:BF103"/>
    <mergeCell ref="BG103:BI103"/>
    <mergeCell ref="BJ103:BL103"/>
    <mergeCell ref="BM103:CI103"/>
    <mergeCell ref="CJ103:CL103"/>
    <mergeCell ref="CM103:CO103"/>
    <mergeCell ref="DB102:DD102"/>
    <mergeCell ref="B103:J103"/>
    <mergeCell ref="K103:R103"/>
    <mergeCell ref="S103:Y103"/>
    <mergeCell ref="Z103:AF103"/>
    <mergeCell ref="AG103:AM103"/>
    <mergeCell ref="AN103:AT103"/>
    <mergeCell ref="AU103:AW103"/>
    <mergeCell ref="AX103:AZ103"/>
    <mergeCell ref="BA103:BC103"/>
    <mergeCell ref="CJ102:CL102"/>
    <mergeCell ref="CM102:CO102"/>
    <mergeCell ref="CP102:CR102"/>
    <mergeCell ref="CS102:CU102"/>
    <mergeCell ref="CV102:CX102"/>
    <mergeCell ref="CY102:DA102"/>
    <mergeCell ref="AX105:AZ105"/>
    <mergeCell ref="BA105:BC105"/>
    <mergeCell ref="BD105:BF105"/>
    <mergeCell ref="BG105:BI105"/>
    <mergeCell ref="BJ105:BL105"/>
    <mergeCell ref="BM105:CI105"/>
    <mergeCell ref="CV104:CX104"/>
    <mergeCell ref="CY104:DA104"/>
    <mergeCell ref="DB104:DD104"/>
    <mergeCell ref="B105:J105"/>
    <mergeCell ref="K105:R105"/>
    <mergeCell ref="S105:Y105"/>
    <mergeCell ref="Z105:AF105"/>
    <mergeCell ref="AG105:AM105"/>
    <mergeCell ref="AN105:AT105"/>
    <mergeCell ref="AU105:AW105"/>
    <mergeCell ref="BJ104:BL104"/>
    <mergeCell ref="BM104:CI104"/>
    <mergeCell ref="CJ104:CL104"/>
    <mergeCell ref="CM104:CO104"/>
    <mergeCell ref="CP104:CR104"/>
    <mergeCell ref="CS104:CU104"/>
    <mergeCell ref="AN104:AT104"/>
    <mergeCell ref="AU104:AW104"/>
    <mergeCell ref="AX104:AZ104"/>
    <mergeCell ref="BA104:BC104"/>
    <mergeCell ref="BD104:BF104"/>
    <mergeCell ref="BG104:BI104"/>
    <mergeCell ref="CP106:CR106"/>
    <mergeCell ref="CS106:CU106"/>
    <mergeCell ref="CV106:CX106"/>
    <mergeCell ref="CY106:DA106"/>
    <mergeCell ref="DB106:DD106"/>
    <mergeCell ref="B107:J107"/>
    <mergeCell ref="K107:R107"/>
    <mergeCell ref="S107:Y107"/>
    <mergeCell ref="Z107:AF107"/>
    <mergeCell ref="AG107:AM107"/>
    <mergeCell ref="BD106:BF106"/>
    <mergeCell ref="BG106:BI106"/>
    <mergeCell ref="BJ106:BL106"/>
    <mergeCell ref="BM106:CI106"/>
    <mergeCell ref="CJ106:CL106"/>
    <mergeCell ref="CM106:CO106"/>
    <mergeCell ref="DB105:DD105"/>
    <mergeCell ref="B106:J106"/>
    <mergeCell ref="K106:R106"/>
    <mergeCell ref="S106:Y106"/>
    <mergeCell ref="Z106:AF106"/>
    <mergeCell ref="AG106:AM106"/>
    <mergeCell ref="AN106:AT106"/>
    <mergeCell ref="AU106:AW106"/>
    <mergeCell ref="AX106:AZ106"/>
    <mergeCell ref="BA106:BC106"/>
    <mergeCell ref="CJ105:CL105"/>
    <mergeCell ref="CM105:CO105"/>
    <mergeCell ref="CP105:CR105"/>
    <mergeCell ref="CS105:CU105"/>
    <mergeCell ref="CV105:CX105"/>
    <mergeCell ref="CY105:DA105"/>
    <mergeCell ref="BN108:CJ108"/>
    <mergeCell ref="CK108:DD108"/>
    <mergeCell ref="CJ110:CN110"/>
    <mergeCell ref="CO110:CQ110"/>
    <mergeCell ref="CR110:CS110"/>
    <mergeCell ref="CT110:CV110"/>
    <mergeCell ref="CW110:CX110"/>
    <mergeCell ref="CV107:CX107"/>
    <mergeCell ref="CY107:DA107"/>
    <mergeCell ref="DB107:DD107"/>
    <mergeCell ref="B108:P108"/>
    <mergeCell ref="Q108:AH108"/>
    <mergeCell ref="AI108:AS108"/>
    <mergeCell ref="AT108:AW108"/>
    <mergeCell ref="AX108:AZ108"/>
    <mergeCell ref="BA108:BI108"/>
    <mergeCell ref="BJ108:BM108"/>
    <mergeCell ref="BJ107:BL107"/>
    <mergeCell ref="BM107:CI107"/>
    <mergeCell ref="CJ107:CL107"/>
    <mergeCell ref="CM107:CO107"/>
    <mergeCell ref="CP107:CR107"/>
    <mergeCell ref="CS107:CU107"/>
    <mergeCell ref="AN107:AT107"/>
    <mergeCell ref="AU107:AW107"/>
    <mergeCell ref="AX107:AZ107"/>
    <mergeCell ref="BA107:BC107"/>
    <mergeCell ref="BD107:BF107"/>
    <mergeCell ref="BG107:BI107"/>
  </mergeCells>
  <hyperlinks>
    <hyperlink ref="CV1" r:id="rId1" display="www.aes-ab.com" xr:uid="{92CC4F5E-A4BE-4C5B-8B55-0015261F25F3}"/>
    <hyperlink ref="CV1:DE6" r:id="rId2" display="http://www.resapower.com/" xr:uid="{6C4BE94D-A584-4434-83D0-7B766F25BEB5}"/>
    <hyperlink ref="CV57" r:id="rId3" display="www.aes-ab.com" xr:uid="{BCEE3E33-03FE-4BEA-A747-DD2A95DECB78}"/>
    <hyperlink ref="CV57:DE62" r:id="rId4" display="http://www.resapower.com/" xr:uid="{C8727B15-2D44-4E62-BE8D-3B0A14307318}"/>
  </hyperlinks>
  <printOptions horizontalCentered="1" verticalCentered="1"/>
  <pageMargins left="0.19685039370078741" right="0.19685039370078741" top="0.59055118110236227" bottom="0.59055118110236227" header="0.59055118110236227" footer="0.19685039370078741"/>
  <pageSetup scale="63" fitToHeight="0" orientation="landscape" r:id="rId5"/>
  <headerFooter alignWithMargins="0">
    <oddHeader xml:space="preserve">&amp;R
</oddHeader>
    <oddFooter>&amp;L&amp;F&amp;RPage &amp;P</oddFooter>
  </headerFooter>
  <rowBreaks count="1" manualBreakCount="1">
    <brk id="56" max="108" man="1"/>
  </rowBreaks>
  <drawing r:id="rId6"/>
  <legacy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41E55CC8708C4886CAF710F7130AB1" ma:contentTypeVersion="14" ma:contentTypeDescription="Create a new document." ma:contentTypeScope="" ma:versionID="a03afde64a6de9293111913b23cabd3f">
  <xsd:schema xmlns:xsd="http://www.w3.org/2001/XMLSchema" xmlns:xs="http://www.w3.org/2001/XMLSchema" xmlns:p="http://schemas.microsoft.com/office/2006/metadata/properties" xmlns:ns2="fa3cc91f-a080-444c-87d7-45191ebe3500" xmlns:ns3="97940b81-6743-4604-b63c-d44cc9e4bb46" targetNamespace="http://schemas.microsoft.com/office/2006/metadata/properties" ma:root="true" ma:fieldsID="89602e87ae34b4eea73943b618f3948f" ns2:_="" ns3:_="">
    <xsd:import namespace="fa3cc91f-a080-444c-87d7-45191ebe3500"/>
    <xsd:import namespace="97940b81-6743-4604-b63c-d44cc9e4bb46"/>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3cc91f-a080-444c-87d7-45191ebe350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1cae5ec4-4487-42c6-9d71-922f5d1caee3}" ma:internalName="TaxCatchAll" ma:showField="CatchAllData" ma:web="fa3cc91f-a080-444c-87d7-45191ebe350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7940b81-6743-4604-b63c-d44cc9e4bb46"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b0fc82e-7ded-4240-b1d5-7d1602087799"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a3cc91f-a080-444c-87d7-45191ebe3500" xsi:nil="true"/>
    <lcf76f155ced4ddcb4097134ff3c332f xmlns="97940b81-6743-4604-b63c-d44cc9e4bb46">
      <Terms xmlns="http://schemas.microsoft.com/office/infopath/2007/PartnerControls"/>
    </lcf76f155ced4ddcb4097134ff3c332f>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5B42D8-1EBD-4465-ADDB-78C0665DA9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3cc91f-a080-444c-87d7-45191ebe3500"/>
    <ds:schemaRef ds:uri="97940b81-6743-4604-b63c-d44cc9e4b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D8851B-9E61-4EBB-BE08-7368FFD55200}">
  <ds:schemaRefs>
    <ds:schemaRef ds:uri="http://schemas.openxmlformats.org/package/2006/metadata/core-properties"/>
    <ds:schemaRef ds:uri="http://www.w3.org/XML/1998/namespace"/>
    <ds:schemaRef ds:uri="fa3cc91f-a080-444c-87d7-45191ebe3500"/>
    <ds:schemaRef ds:uri="http://schemas.microsoft.com/office/infopath/2007/PartnerControls"/>
    <ds:schemaRef ds:uri="http://purl.org/dc/elements/1.1/"/>
    <ds:schemaRef ds:uri="http://schemas.microsoft.com/office/2006/documentManagement/types"/>
    <ds:schemaRef ds:uri="http://purl.org/dc/terms/"/>
    <ds:schemaRef ds:uri="97940b81-6743-4604-b63c-d44cc9e4bb46"/>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AFA9D282-5B47-432A-8EB5-726DBA6A7127}">
  <ds:schemaRefs>
    <ds:schemaRef ds:uri="http://schemas.microsoft.com/DataMashup"/>
  </ds:schemaRefs>
</ds:datastoreItem>
</file>

<file path=customXml/itemProps4.xml><?xml version="1.0" encoding="utf-8"?>
<ds:datastoreItem xmlns:ds="http://schemas.openxmlformats.org/officeDocument/2006/customXml" ds:itemID="{37ECA855-117D-40E9-8F92-58F723BADB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RESA XFMR Test Results</vt:lpstr>
      <vt:lpstr>RESA MV Cable Test Results</vt:lpstr>
      <vt:lpstr>Project Alpha LV Tracker</vt:lpstr>
      <vt:lpstr>Emergency Generator Dist</vt:lpstr>
      <vt:lpstr>Datacenter Distribution</vt:lpstr>
      <vt:lpstr>A1 Electrical Room</vt:lpstr>
      <vt:lpstr>A2 Electrical Room</vt:lpstr>
      <vt:lpstr>E Electrical Room</vt:lpstr>
      <vt:lpstr>F1 Electrical Room</vt:lpstr>
      <vt:lpstr>F2 Eletrical Room</vt:lpstr>
      <vt:lpstr>RESA MV Breaker Test Results</vt:lpstr>
      <vt:lpstr>RESA Relay Test Results</vt:lpstr>
      <vt:lpstr>RESA CT Test Results</vt:lpstr>
      <vt:lpstr>RESA PT Test Results</vt:lpstr>
      <vt:lpstr>RESA LV Cable Test Results</vt:lpstr>
      <vt:lpstr>'Project Alpha LV Tracker'!Display_Week</vt:lpstr>
      <vt:lpstr>'RESA CT Test Results'!Print_Area</vt:lpstr>
      <vt:lpstr>'RESA LV Cable Test Results'!Print_Area</vt:lpstr>
      <vt:lpstr>'RESA MV Breaker Test Results'!Print_Area</vt:lpstr>
      <vt:lpstr>'RESA MV Cable Test Results'!Print_Area</vt:lpstr>
      <vt:lpstr>'RESA PT Test Results'!Print_Area</vt:lpstr>
      <vt:lpstr>'RESA Relay Test Results'!Print_Area</vt:lpstr>
      <vt:lpstr>'RESA XFMR Test Results'!Print_Area</vt:lpstr>
      <vt:lpstr>'Project Alpha LV Tracker'!Print_Titles</vt:lpstr>
      <vt:lpstr>'Project Alpha LV Tracker'!Project_Start</vt:lpstr>
      <vt:lpstr>'Project Alpha LV Tracker'!task_end</vt:lpstr>
      <vt:lpstr>'Project Alpha LV Tracker'!task_progress</vt:lpstr>
      <vt:lpstr>'Project Alpha LV Tracker'!task_start</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Jason Swenson</cp:lastModifiedBy>
  <cp:revision/>
  <dcterms:created xsi:type="dcterms:W3CDTF">2008-09-17T22:35:39Z</dcterms:created>
  <dcterms:modified xsi:type="dcterms:W3CDTF">2025-11-26T13:55:04Z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ds_UIVersion_512">
    <vt:lpwstr>19</vt:lpwstr>
  </property>
  <property fmtid="{D5CDD505-2E9C-101B-9397-08002B2CF9AE}" pid="3" name="ContentTypeId">
    <vt:lpwstr>0x0101003841E55CC8708C4886CAF710F7130AB1</vt:lpwstr>
  </property>
  <property fmtid="{D5CDD505-2E9C-101B-9397-08002B2CF9AE}" pid="4" name="MediaServiceImageTags">
    <vt:lpwstr/>
  </property>
</Properties>
</file>