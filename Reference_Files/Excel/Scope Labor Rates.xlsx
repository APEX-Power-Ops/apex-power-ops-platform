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sapowersolutions.sharepoint.com/sites/ops/Phoenix Files/Jason/Project Template Redesign/Desktop Platform Development/"/>
    </mc:Choice>
  </mc:AlternateContent>
  <xr:revisionPtr revIDLastSave="50" documentId="8_{C1796B3D-4A0E-4368-8889-A7424A015FF5}" xr6:coauthVersionLast="47" xr6:coauthVersionMax="47" xr10:uidLastSave="{C6BD4381-C0C6-4DB4-BCA2-3E27A11CF047}"/>
  <bookViews>
    <workbookView xWindow="-105" yWindow="0" windowWidth="38610" windowHeight="20985" activeTab="1" xr2:uid="{10D2AEB2-CE9B-4E96-8F1E-2E7BEEC498AE}"/>
  </bookViews>
  <sheets>
    <sheet name="All_Tasks_Billing" sheetId="210" r:id="rId1"/>
    <sheet name="Scope_Labor_Rates" sheetId="209" r:id="rId2"/>
  </sheets>
  <externalReferences>
    <externalReference r:id="rId3"/>
    <externalReference r:id="rId4"/>
    <externalReference r:id="rId5"/>
  </externalReferences>
  <definedNames>
    <definedName name="_ITEM1">'[1]Clinical Research Audit'!#REF!</definedName>
    <definedName name="_ITEM2">'[1]Clinical Research Audit'!#REF!</definedName>
    <definedName name="_ITEM3">'[1]Clinical Research Audit'!#REF!</definedName>
    <definedName name="_ITEM4">'[1]Clinical Research Audit'!#REF!</definedName>
    <definedName name="_ITEM5">'[1]Clinical Research Audit'!#REF!</definedName>
    <definedName name="_ITEM6">'[1]Clinical Research Audit'!#REF!</definedName>
    <definedName name="_xlcn.WorksheetConnection_RESAPowerProjectDataEntryForm.xlsmApparatus_Quantity1" hidden="1">Apparatus_Quantity</definedName>
    <definedName name="ACTUAL_HOURS">#REF!</definedName>
    <definedName name="Apparatus">#REF!</definedName>
    <definedName name="AssessmentFilter">#REF!</definedName>
    <definedName name="AVAILABILITY">#REF!</definedName>
    <definedName name="AvailabilityFilter">#REF!</definedName>
    <definedName name="COMPLETE">#REF!</definedName>
    <definedName name="Designation">#REF!</definedName>
    <definedName name="Drawing">#REF!</definedName>
    <definedName name="Interval">'[2]Office Work Schedule'!#REF!</definedName>
    <definedName name="NETA_Standard">#REF!</definedName>
    <definedName name="Notes">#REF!</definedName>
    <definedName name="PRIORITY">#REF!</definedName>
    <definedName name="PriorityFilter">#REF!</definedName>
    <definedName name="ProjectEndFilter">#REF!</definedName>
    <definedName name="ProjectStartFilter">#REF!</definedName>
    <definedName name="ProjectStatusFilter">#REF!</definedName>
    <definedName name="QUOTED_HOURS">#REF!</definedName>
    <definedName name="REMAINING_HOURS">#REF!</definedName>
    <definedName name="ScheduleStart">'[2]Office Work Schedule'!#REF!</definedName>
    <definedName name="Scope">#REF!</definedName>
    <definedName name="STATUS">#REF!</definedName>
    <definedName name="StatusFilter">#REF!</definedName>
    <definedName name="Task">#REF!</definedName>
    <definedName name="TASK_DELAYS">#REF!</definedName>
    <definedName name="Task_ID">#REF!</definedName>
    <definedName name="TeamMembersFilter">#REF!</definedName>
    <definedName name="Type">'[3]Maintenance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aratus_Quantity" name="Apparatus_Quantity" connection="WorksheetConnection_RESA Power - Project Data Entry Form.xlsm!Apparatus_Quantity"/>
          <x15:modelTable id="Hours_Completed_By_Month 1" name="Hours_Completed_By_Month 1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210" l="1"/>
  <c r="AL2" i="210"/>
  <c r="AJ2" i="210"/>
  <c r="AG2" i="210"/>
  <c r="AF2" i="210"/>
  <c r="U2" i="210"/>
  <c r="X2" i="210" s="1"/>
  <c r="AH2" i="210" l="1"/>
  <c r="W2" i="210"/>
  <c r="V2" i="210"/>
  <c r="Y2" i="210" l="1"/>
  <c r="AB2" i="210" s="1"/>
  <c r="AA2" i="210" l="1"/>
  <c r="Z2" i="210"/>
  <c r="AC2" i="210"/>
  <c r="AD2" i="210" l="1"/>
  <c r="AE2" i="210" s="1"/>
  <c r="AI2" i="210" s="1"/>
  <c r="AK2" i="210" s="1"/>
  <c r="AT2" i="2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04" refreshedVersion="0" background="1">
    <extLst>
      <ext xmlns:x15="http://schemas.microsoft.com/office/spreadsheetml/2010/11/main" uri="{DE250136-89BD-433C-8126-D09CA5730AF9}">
        <x15:connection id="Hours_Completed_By_Month 1"/>
      </ext>
    </extLst>
  </connection>
  <connection id="2" xr16:uid="{00000000-0015-0000-FFFF-FFFF01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RESA Power - Project Data Entry Form.xlsm!Apparatus_Quantity" type="102" refreshedVersion="8" minRefreshableVersion="5">
    <extLst>
      <ext xmlns:x15="http://schemas.microsoft.com/office/spreadsheetml/2010/11/main" uri="{DE250136-89BD-433C-8126-D09CA5730AF9}">
        <x15:connection id="Apparatus_Quantity">
          <x15:rangePr sourceName="_xlcn.WorksheetConnection_RESAPowerProjectDataEntryForm.xlsmApparatus_Quantity1"/>
        </x15:connection>
      </ext>
    </extLst>
  </connection>
</connections>
</file>

<file path=xl/sharedStrings.xml><?xml version="1.0" encoding="utf-8"?>
<sst xmlns="http://schemas.openxmlformats.org/spreadsheetml/2006/main" count="77" uniqueCount="75">
  <si>
    <t>Scope</t>
  </si>
  <si>
    <t>Task</t>
  </si>
  <si>
    <t>Apparatus</t>
  </si>
  <si>
    <t>Notes</t>
  </si>
  <si>
    <t>Assessment</t>
  </si>
  <si>
    <t>Date_Due</t>
  </si>
  <si>
    <t>Apparatus_Category</t>
  </si>
  <si>
    <t>Status</t>
  </si>
  <si>
    <t>Date_Completed</t>
  </si>
  <si>
    <t>% Complete</t>
  </si>
  <si>
    <t>Apparatus_Actual_Hours</t>
  </si>
  <si>
    <t>Base_Labor_Rate</t>
  </si>
  <si>
    <t>Total_Time_Adders</t>
  </si>
  <si>
    <t>Travel_Fixed_Allocation</t>
  </si>
  <si>
    <t>ME_Fixed_Allocation</t>
  </si>
  <si>
    <t>Total_Fixed_Costs</t>
  </si>
  <si>
    <t>Scope_Multiplier</t>
  </si>
  <si>
    <t>Final_Earned_Value</t>
  </si>
  <si>
    <t>Billing_Period</t>
  </si>
  <si>
    <t>Invoice_Number</t>
  </si>
  <si>
    <t>Date_Billed</t>
  </si>
  <si>
    <t>Amount_Billed</t>
  </si>
  <si>
    <t>ID</t>
  </si>
  <si>
    <t>Description</t>
  </si>
  <si>
    <t>PM_Frequency</t>
  </si>
  <si>
    <t>Date_Scheduled</t>
  </si>
  <si>
    <t>Priority</t>
  </si>
  <si>
    <t>Comments</t>
  </si>
  <si>
    <t>Apparatus_Est_Hours</t>
  </si>
  <si>
    <t>PM_Hours</t>
  </si>
  <si>
    <t>Total_Hours</t>
  </si>
  <si>
    <t>Labor_ST</t>
  </si>
  <si>
    <t>Labor_OT</t>
  </si>
  <si>
    <t>Labor_DT</t>
  </si>
  <si>
    <t>Total_Base_Labor</t>
  </si>
  <si>
    <t>Commute_Value</t>
  </si>
  <si>
    <t>PM_Labor_Value</t>
  </si>
  <si>
    <t>Report_Value</t>
  </si>
  <si>
    <t>Travel_Labor_Value</t>
  </si>
  <si>
    <t>Total_Labor_Value</t>
  </si>
  <si>
    <t>Subtotal_Before_Multiplier</t>
  </si>
  <si>
    <t>Cumulative_Earned</t>
  </si>
  <si>
    <t>Budget_Hours</t>
  </si>
  <si>
    <t>Hours_Variance</t>
  </si>
  <si>
    <t>Budget_Value</t>
  </si>
  <si>
    <t>Value_Variance</t>
  </si>
  <si>
    <t>LINKED</t>
  </si>
  <si>
    <t>To Scope_Labor_Rates</t>
  </si>
  <si>
    <t>Scope_ID</t>
  </si>
  <si>
    <t>Total_Apparatus_Hours</t>
  </si>
  <si>
    <t>Onsite_Miscellaneous_Percent</t>
  </si>
  <si>
    <t>Onsite_LOTO_Rate</t>
  </si>
  <si>
    <t>Onsite_LOTO_Percent</t>
  </si>
  <si>
    <t>Onsite_PM_Rate</t>
  </si>
  <si>
    <t>Onsite_PM_Percent</t>
  </si>
  <si>
    <t>Daily_Commute_Rate</t>
  </si>
  <si>
    <t>Daily_Commute_Percent</t>
  </si>
  <si>
    <t>Office_Report_Rate</t>
  </si>
  <si>
    <t>Office_Report_Percent</t>
  </si>
  <si>
    <t>Office_PM_Rate</t>
  </si>
  <si>
    <t>Office_PM_Percent</t>
  </si>
  <si>
    <t>Mobilization_Rate</t>
  </si>
  <si>
    <t>Mobilization_Percent</t>
  </si>
  <si>
    <t>Travel_Fixed_Cost</t>
  </si>
  <si>
    <t>Miscellaneous_Fixed_Cost</t>
  </si>
  <si>
    <t>Test_Equipment_Fixed_Cost</t>
  </si>
  <si>
    <t>XFMR_LAB_Fixed_Cost</t>
  </si>
  <si>
    <t>Miscellaneous_Travel_Fixed_Cost</t>
  </si>
  <si>
    <t>Scope_Total_Value</t>
  </si>
  <si>
    <t xml:space="preserve"> </t>
  </si>
  <si>
    <t>Onsite_Misc_Rate</t>
  </si>
  <si>
    <t>Hotel_PerDiem_Fixed</t>
  </si>
  <si>
    <t>Flights_Fixed</t>
  </si>
  <si>
    <t>Car_Rental_Fixed</t>
  </si>
  <si>
    <t>Generator_Rental_Fixed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</si>
</sst>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m/dd/yyyy"/>
    <numFmt numFmtId="165" formatCode="0.0%"/>
    <numFmt numFmtId="166" formatCode="&quot;$&quot;#,##0.00"/>
    <numFmt numFmtId="167" formatCode="0.000"/>
    <numFmt numFmtId="168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D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2" fillId="0" borderId="0"/>
  </cellStyleXfs>
  <cellXfs count="34">
    <xf numFmtId="0" fontId="0" fillId="0" borderId="0" xfId="0"/>
    <xf numFmtId="164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4" borderId="0" xfId="0" applyFill="1"/>
    <xf numFmtId="4" fontId="0" fillId="0" borderId="0" xfId="0" applyNumberFormat="1"/>
    <xf numFmtId="166" fontId="0" fillId="6" borderId="1" xfId="0" applyNumberFormat="1" applyFill="1" applyBorder="1"/>
    <xf numFmtId="0" fontId="0" fillId="5" borderId="0" xfId="0" applyFill="1"/>
    <xf numFmtId="0" fontId="7" fillId="2" borderId="1" xfId="0" applyFont="1" applyFill="1" applyBorder="1" applyAlignment="1">
      <alignment horizontal="center" wrapText="1"/>
    </xf>
    <xf numFmtId="167" fontId="0" fillId="0" borderId="0" xfId="0" applyNumberFormat="1"/>
    <xf numFmtId="0" fontId="5" fillId="0" borderId="0" xfId="0" applyFont="1"/>
    <xf numFmtId="4" fontId="7" fillId="2" borderId="1" xfId="0" applyNumberFormat="1" applyFont="1" applyFill="1" applyBorder="1" applyAlignment="1">
      <alignment horizontal="center" wrapText="1"/>
    </xf>
    <xf numFmtId="166" fontId="7" fillId="2" borderId="1" xfId="0" applyNumberFormat="1" applyFont="1" applyFill="1" applyBorder="1" applyAlignment="1">
      <alignment horizontal="center" wrapText="1"/>
    </xf>
    <xf numFmtId="167" fontId="7" fillId="2" borderId="1" xfId="0" applyNumberFormat="1" applyFont="1" applyFill="1" applyBorder="1" applyAlignment="1">
      <alignment horizontal="center" wrapText="1"/>
    </xf>
    <xf numFmtId="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0" fontId="1" fillId="3" borderId="0" xfId="0" applyFont="1" applyFill="1"/>
    <xf numFmtId="0" fontId="8" fillId="0" borderId="0" xfId="0" applyFont="1"/>
    <xf numFmtId="165" fontId="0" fillId="6" borderId="1" xfId="0" applyNumberFormat="1" applyFill="1" applyBorder="1"/>
    <xf numFmtId="0" fontId="0" fillId="0" borderId="0" xfId="0" applyAlignment="1">
      <alignment wrapText="1"/>
    </xf>
    <xf numFmtId="0" fontId="6" fillId="2" borderId="0" xfId="0" applyFont="1" applyFill="1"/>
    <xf numFmtId="4" fontId="1" fillId="4" borderId="0" xfId="0" applyNumberFormat="1" applyFont="1" applyFill="1"/>
    <xf numFmtId="166" fontId="1" fillId="4" borderId="0" xfId="0" applyNumberFormat="1" applyFont="1" applyFill="1"/>
    <xf numFmtId="0" fontId="9" fillId="2" borderId="0" xfId="0" applyFont="1" applyFill="1"/>
    <xf numFmtId="166" fontId="0" fillId="7" borderId="1" xfId="0" applyNumberFormat="1" applyFill="1" applyBorder="1"/>
    <xf numFmtId="0" fontId="0" fillId="5" borderId="2" xfId="0" applyFill="1" applyBorder="1" applyAlignment="1">
      <alignment horizontal="left" inden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8" fontId="0" fillId="6" borderId="4" xfId="0" applyNumberFormat="1" applyFill="1" applyBorder="1"/>
    <xf numFmtId="167" fontId="0" fillId="7" borderId="3" xfId="0" applyNumberFormat="1" applyFill="1" applyBorder="1"/>
    <xf numFmtId="166" fontId="0" fillId="7" borderId="3" xfId="0" applyNumberFormat="1" applyFill="1" applyBorder="1"/>
    <xf numFmtId="166" fontId="0" fillId="7" borderId="6" xfId="0" applyNumberFormat="1" applyFill="1" applyBorder="1"/>
    <xf numFmtId="166" fontId="1" fillId="7" borderId="7" xfId="0" applyNumberFormat="1" applyFont="1" applyFill="1" applyBorder="1"/>
  </cellXfs>
  <cellStyles count="5">
    <cellStyle name="Hyperlink 2" xfId="3" xr:uid="{9E8FAEE9-69E7-4BCE-A5E9-9809EF653356}"/>
    <cellStyle name="Normal" xfId="0" builtinId="0"/>
    <cellStyle name="Normal 2" xfId="1" xr:uid="{86C7C760-7DF5-47D1-A0E7-537F8F6285A6}"/>
    <cellStyle name="Percent 2" xfId="2" xr:uid="{8BDDF9EC-DDE6-45DC-818D-AF6EBAB460A9}"/>
    <cellStyle name="Percent 2 2" xfId="4" xr:uid="{0D4CEEF4-F330-44D0-B054-76707FBA2371}"/>
  </cellStyles>
  <dxfs count="37"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0.0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rgb="FFFFF2CC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DEDED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4C6E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3" defaultTableStyle="TableStyleMedium2" defaultPivotStyle="PivotStyleLight16">
    <tableStyle name="Flattened Pivot Style" table="0" count="3" xr9:uid="{A2C3AF6B-B486-43AB-98AF-66D69CF1F60D}">
      <tableStyleElement type="headerRow" dxfId="36"/>
      <tableStyleElement type="totalRow" dxfId="35"/>
      <tableStyleElement type="secondRowStripe" dxfId="34"/>
    </tableStyle>
    <tableStyle name="Invisible" pivot="0" table="0" count="0" xr9:uid="{9B685E82-8E90-4E2B-88A9-A2762AA03BBA}"/>
    <tableStyle name="PivotTable Style 1" table="0" count="0" xr9:uid="{73F82840-3ADE-4A38-B5EA-372B40AA2651}"/>
  </tableStyles>
  <colors>
    <mruColors>
      <color rgb="FFEBF1DE"/>
      <color rgb="FFFFF2CC"/>
      <color rgb="FFEDEDED"/>
      <color rgb="FF4472C4"/>
      <color rgb="FFB4C6E7"/>
      <color rgb="FFEAEEF3"/>
      <color rgb="FFDADA10"/>
      <color rgb="FFC51515"/>
      <color rgb="FF527659"/>
      <color rgb="FFFF7D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Clinical-Research-Audit-Template3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nical Research Audi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2E32B7-3B83-40B1-A286-92631C43E670}" name="ScopeLaborRates" displayName="ScopeLaborRates" ref="A1:AB2" insertRow="1" totalsRowShown="0" headerRowDxfId="33" headerRowBorderDxfId="32" tableBorderDxfId="31" totalsRowBorderDxfId="30">
  <autoFilter ref="A1:AB2" xr:uid="{E72E32B7-3B83-40B1-A286-92631C43E6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ED5208C1-40D4-43C5-B583-3E933C90F6AB}" name="Scope_ID" dataDxfId="29"/>
    <tableColumn id="2" xr3:uid="{3F543D1C-B74B-4ED4-8CFA-86F390F66057}" name="Total_Apparatus_Hours" dataDxfId="28"/>
    <tableColumn id="3" xr3:uid="{4D46428E-11D5-4D0D-8630-60A75ACBE46F}" name="Base_Labor_Rate" dataDxfId="27"/>
    <tableColumn id="4" xr3:uid="{1955CBAB-3F1D-448C-ABFC-E615BB315C13}" name="Onsite_Misc_Rate" dataDxfId="26"/>
    <tableColumn id="5" xr3:uid="{71217FD7-C213-403B-8E2B-A480E097ECA6}" name="Onsite_Miscellaneous_Percent" dataDxfId="25"/>
    <tableColumn id="6" xr3:uid="{D27263B0-010A-4B1E-ABE8-53278A6DB99E}" name="Onsite_LOTO_Rate" dataDxfId="24"/>
    <tableColumn id="7" xr3:uid="{8042CA69-240B-4005-A162-D2CB8139A3A8}" name="Onsite_LOTO_Percent" dataDxfId="23"/>
    <tableColumn id="8" xr3:uid="{B9B16115-1785-46A0-84E2-8A7CF820199C}" name="Onsite_PM_Rate" dataDxfId="22"/>
    <tableColumn id="9" xr3:uid="{9F667A26-74FE-4D43-8DBF-B47DCCF015E0}" name="Onsite_PM_Percent" dataDxfId="21"/>
    <tableColumn id="10" xr3:uid="{2A497AB4-FA92-43BC-978E-B44FB23A8B67}" name="Daily_Commute_Rate" dataDxfId="20"/>
    <tableColumn id="11" xr3:uid="{0E91604A-2483-4B63-A41E-65EA96CD6BF0}" name="Daily_Commute_Percent" dataDxfId="19"/>
    <tableColumn id="12" xr3:uid="{BA28BA32-A266-4ADA-9C3A-4D926A4199C0}" name="Office_Report_Rate" dataDxfId="18"/>
    <tableColumn id="13" xr3:uid="{7D67018F-BD83-4DDD-A637-7EE22412B81E}" name="Office_Report_Percent" dataDxfId="17"/>
    <tableColumn id="14" xr3:uid="{6B23A43F-67A0-40EA-8A6C-A1E5EBDA92A7}" name="Office_PM_Rate" dataDxfId="16"/>
    <tableColumn id="15" xr3:uid="{CD47310E-85DF-4F8C-A754-E59515F8A40B}" name="Office_PM_Percent" dataDxfId="15"/>
    <tableColumn id="19" xr3:uid="{88310DA8-10A7-45AB-B056-24E7064D6A68}" name="Mobilization_Rate" dataDxfId="14"/>
    <tableColumn id="20" xr3:uid="{4B0B2774-31F0-4104-8FD3-D37183AF3789}" name="Mobilization_Percent" dataDxfId="13"/>
    <tableColumn id="16" xr3:uid="{255B8512-440F-4718-AB37-36FD0B3BE3AA}" name="Travel_Fixed_Cost" dataDxfId="12"/>
    <tableColumn id="17" xr3:uid="{64918B16-BFD0-4F2A-A52E-25179D8D604B}" name="Hotel_PerDiem_Fixed" dataDxfId="11"/>
    <tableColumn id="21" xr3:uid="{CF518071-716A-4F76-8AA1-0438173B9882}" name="Flights_Fixed" dataDxfId="10"/>
    <tableColumn id="22" xr3:uid="{AA93FBE3-F1B5-4F41-961D-41C96F5262C1}" name="Car_Rental_Fixed" dataDxfId="9"/>
    <tableColumn id="23" xr3:uid="{A00D8B3E-B182-4734-A9B6-3C264959709C}" name="Miscellaneous_Travel_Fixed_Cost" dataDxfId="8"/>
    <tableColumn id="24" xr3:uid="{D706EF02-CD9D-4707-9867-CB200C8D4491}" name="Generator_Rental_Fixed" dataDxfId="7"/>
    <tableColumn id="18" xr3:uid="{0D7C49CA-1061-4BAB-B330-5D6D7E60BD88}" name="Test_Equipment_Fixed_Cost" dataDxfId="6"/>
    <tableColumn id="25" xr3:uid="{989C00EB-2D91-47C0-AD11-E662BAB7739E}" name="XFMR_LAB_Fixed_Cost" dataDxfId="5"/>
    <tableColumn id="26" xr3:uid="{2DA03E27-F218-4CAD-875B-C427177120E2}" name="Miscellaneous_Fixed_Cost" dataDxfId="4"/>
    <tableColumn id="27" xr3:uid="{F1599204-D457-4E48-8491-85CDE2EDFB04}" name="Scope_Multiplier" dataDxfId="3"/>
    <tableColumn id="28" xr3:uid="{290622AB-1551-45F9-A347-F3322D63F387}" name="Scope_Total_Valu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2208E6-54A1-49E5-8E5E-5658CAF24DF6}">
  <we:reference id="wa200006009" version="2.1.2.10" store="en-US" storeType="OMEX"/>
  <we:alternateReferences>
    <we:reference id="WA200006009" version="2.1.2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1F3B-1A9A-4DB3-929F-D1D24B2BB7E5}">
  <sheetPr codeName="Sheet25"/>
  <dimension ref="A1:AV41"/>
  <sheetViews>
    <sheetView workbookViewId="0">
      <selection activeCell="X30" sqref="X30"/>
    </sheetView>
  </sheetViews>
  <sheetFormatPr defaultRowHeight="15" x14ac:dyDescent="0.25"/>
  <cols>
    <col min="1" max="1" width="2.85546875" bestFit="1" customWidth="1"/>
    <col min="2" max="2" width="6.28515625" bestFit="1" customWidth="1"/>
    <col min="3" max="3" width="4.85546875" bestFit="1" customWidth="1"/>
    <col min="4" max="4" width="8.85546875" bestFit="1" customWidth="1"/>
    <col min="6" max="6" width="10" bestFit="1" customWidth="1"/>
    <col min="7" max="7" width="9" bestFit="1" customWidth="1"/>
    <col min="8" max="8" width="8.5703125" bestFit="1" customWidth="1"/>
    <col min="9" max="9" width="8.5703125" style="1" bestFit="1" customWidth="1"/>
    <col min="10" max="10" width="9.140625" style="1"/>
    <col min="11" max="11" width="6.42578125" bestFit="1" customWidth="1"/>
    <col min="12" max="12" width="8.5703125" style="1" bestFit="1" customWidth="1"/>
    <col min="13" max="13" width="7.5703125" bestFit="1" customWidth="1"/>
    <col min="14" max="14" width="9.7109375" style="3" bestFit="1" customWidth="1"/>
    <col min="15" max="15" width="6.28515625" bestFit="1" customWidth="1"/>
    <col min="16" max="16" width="9" bestFit="1" customWidth="1"/>
    <col min="17" max="17" width="10.7109375" style="5" bestFit="1" customWidth="1"/>
    <col min="18" max="18" width="12.28515625" style="5" bestFit="1" customWidth="1"/>
    <col min="19" max="19" width="8.5703125" style="5" bestFit="1" customWidth="1"/>
    <col min="20" max="20" width="8.85546875" style="5" bestFit="1" customWidth="1"/>
    <col min="21" max="21" width="9.140625" style="2"/>
    <col min="22" max="22" width="8.85546875" style="2" bestFit="1" customWidth="1"/>
    <col min="23" max="23" width="8.28515625" style="2" bestFit="1" customWidth="1"/>
    <col min="24" max="24" width="9.140625" style="2"/>
    <col min="25" max="25" width="8.85546875" style="2" bestFit="1" customWidth="1"/>
    <col min="26" max="26" width="8.5703125" style="2" bestFit="1" customWidth="1"/>
    <col min="27" max="27" width="9.140625" style="2"/>
    <col min="28" max="28" width="8" style="2" bestFit="1" customWidth="1"/>
    <col min="29" max="29" width="10.140625" style="2" bestFit="1" customWidth="1"/>
    <col min="30" max="30" width="9.7109375" style="2" bestFit="1" customWidth="1"/>
    <col min="31" max="31" width="9.42578125" style="2" bestFit="1" customWidth="1"/>
    <col min="32" max="32" width="12.140625" style="2" bestFit="1" customWidth="1"/>
    <col min="33" max="33" width="10.7109375" style="2" bestFit="1" customWidth="1"/>
    <col min="34" max="34" width="9" style="2" bestFit="1" customWidth="1"/>
    <col min="35" max="35" width="13.7109375" style="2" bestFit="1" customWidth="1"/>
    <col min="36" max="36" width="9.140625" style="9"/>
    <col min="37" max="37" width="10.140625" style="2" bestFit="1" customWidth="1"/>
    <col min="38" max="38" width="10" style="2" bestFit="1" customWidth="1"/>
    <col min="39" max="39" width="8.7109375" bestFit="1" customWidth="1"/>
    <col min="40" max="40" width="8.42578125" bestFit="1" customWidth="1"/>
    <col min="41" max="41" width="9" style="1" bestFit="1" customWidth="1"/>
    <col min="42" max="42" width="9.140625" style="2"/>
    <col min="43" max="43" width="8.28515625" style="5" bestFit="1" customWidth="1"/>
    <col min="44" max="44" width="8.42578125" style="5" bestFit="1" customWidth="1"/>
    <col min="45" max="45" width="8.28515625" style="2" bestFit="1" customWidth="1"/>
    <col min="46" max="46" width="8.42578125" style="2" bestFit="1" customWidth="1"/>
  </cols>
  <sheetData>
    <row r="1" spans="1:48" ht="35.1" customHeight="1" x14ac:dyDescent="0.25">
      <c r="A1" s="8" t="s">
        <v>22</v>
      </c>
      <c r="B1" s="8" t="s">
        <v>0</v>
      </c>
      <c r="C1" s="8" t="s">
        <v>1</v>
      </c>
      <c r="D1" s="8" t="s">
        <v>23</v>
      </c>
      <c r="E1" s="8" t="s">
        <v>2</v>
      </c>
      <c r="F1" s="8" t="s">
        <v>6</v>
      </c>
      <c r="G1" s="8" t="s">
        <v>24</v>
      </c>
      <c r="H1" s="8" t="s">
        <v>4</v>
      </c>
      <c r="I1" s="15" t="s">
        <v>5</v>
      </c>
      <c r="J1" s="15" t="s">
        <v>25</v>
      </c>
      <c r="K1" s="8" t="s">
        <v>7</v>
      </c>
      <c r="L1" s="15" t="s">
        <v>8</v>
      </c>
      <c r="M1" s="8" t="s">
        <v>26</v>
      </c>
      <c r="N1" s="14" t="s">
        <v>9</v>
      </c>
      <c r="O1" s="8" t="s">
        <v>3</v>
      </c>
      <c r="P1" s="8" t="s">
        <v>27</v>
      </c>
      <c r="Q1" s="11" t="s">
        <v>28</v>
      </c>
      <c r="R1" s="11" t="s">
        <v>10</v>
      </c>
      <c r="S1" s="11" t="s">
        <v>29</v>
      </c>
      <c r="T1" s="11" t="s">
        <v>30</v>
      </c>
      <c r="U1" s="12" t="s">
        <v>11</v>
      </c>
      <c r="V1" s="12" t="s">
        <v>31</v>
      </c>
      <c r="W1" s="12" t="s">
        <v>32</v>
      </c>
      <c r="X1" s="12" t="s">
        <v>33</v>
      </c>
      <c r="Y1" s="12" t="s">
        <v>34</v>
      </c>
      <c r="Z1" s="12" t="s">
        <v>35</v>
      </c>
      <c r="AA1" s="12" t="s">
        <v>36</v>
      </c>
      <c r="AB1" s="12" t="s">
        <v>37</v>
      </c>
      <c r="AC1" s="12" t="s">
        <v>38</v>
      </c>
      <c r="AD1" s="12" t="s">
        <v>12</v>
      </c>
      <c r="AE1" s="12" t="s">
        <v>39</v>
      </c>
      <c r="AF1" s="12" t="s">
        <v>13</v>
      </c>
      <c r="AG1" s="12" t="s">
        <v>14</v>
      </c>
      <c r="AH1" s="12" t="s">
        <v>15</v>
      </c>
      <c r="AI1" s="12" t="s">
        <v>40</v>
      </c>
      <c r="AJ1" s="13" t="s">
        <v>16</v>
      </c>
      <c r="AK1" s="12" t="s">
        <v>17</v>
      </c>
      <c r="AL1" s="12" t="s">
        <v>41</v>
      </c>
      <c r="AM1" s="8" t="s">
        <v>18</v>
      </c>
      <c r="AN1" s="8" t="s">
        <v>19</v>
      </c>
      <c r="AO1" s="15" t="s">
        <v>20</v>
      </c>
      <c r="AP1" s="12" t="s">
        <v>21</v>
      </c>
      <c r="AQ1" s="11" t="s">
        <v>42</v>
      </c>
      <c r="AR1" s="11" t="s">
        <v>43</v>
      </c>
      <c r="AS1" s="12" t="s">
        <v>44</v>
      </c>
      <c r="AT1" s="12" t="s">
        <v>45</v>
      </c>
      <c r="AV1" s="16" t="s">
        <v>46</v>
      </c>
    </row>
    <row r="2" spans="1:48" x14ac:dyDescent="0.25">
      <c r="A2" s="7"/>
      <c r="U2" s="2">
        <f>IFERROR(VLOOKUP(B2,Scope_Labor_Rates!A:C,3,FALSE),0)</f>
        <v>0</v>
      </c>
      <c r="V2" s="2">
        <f>R2*0.8*U2</f>
        <v>0</v>
      </c>
      <c r="W2" s="2">
        <f>R2*0.15*U2*1.5</f>
        <v>0</v>
      </c>
      <c r="X2" s="2">
        <f>R2*0.05*U2*2</f>
        <v>0</v>
      </c>
      <c r="Y2" s="2">
        <f>V2+W2+X2</f>
        <v>0</v>
      </c>
      <c r="Z2" s="2" t="e">
        <f>Y2*VLOOKUP(B2,Scope_Labor_Rates!A:E,9,FALSE)</f>
        <v>#N/A</v>
      </c>
      <c r="AA2" s="2" t="e">
        <f>Y2*VLOOKUP(B2,Scope_Labor_Rates!A:G,12,FALSE)</f>
        <v>#N/A</v>
      </c>
      <c r="AB2" s="2" t="e">
        <f>Y2*VLOOKUP(B2,Scope_Labor_Rates!A:I,15,FALSE)</f>
        <v>#N/A</v>
      </c>
      <c r="AC2" s="2" t="e">
        <f>Y2*VLOOKUP(B2,Scope_Labor_Rates!A:K,18,FALSE)</f>
        <v>#N/A</v>
      </c>
      <c r="AD2" s="2" t="e">
        <f>Z2+AA2+AB2+AC2</f>
        <v>#N/A</v>
      </c>
      <c r="AE2" s="2" t="e">
        <f>Y2+AD2</f>
        <v>#N/A</v>
      </c>
      <c r="AF2" s="2" t="e">
        <f>R2*VLOOKUP(B2,Scope_Labor_Rates!A:O,20,FALSE)</f>
        <v>#N/A</v>
      </c>
      <c r="AG2" s="2" t="e">
        <f>R2*VLOOKUP(B2,Scope_Labor_Rates!A:S,22,FALSE)</f>
        <v>#N/A</v>
      </c>
      <c r="AH2" s="2" t="e">
        <f>AF2+AG2</f>
        <v>#N/A</v>
      </c>
      <c r="AI2" s="2" t="e">
        <f>AE2+AH2</f>
        <v>#N/A</v>
      </c>
      <c r="AJ2" s="9" t="e">
        <f>VLOOKUP(B2,Scope_Labor_Rates!A:X,25,FALSE)</f>
        <v>#N/A</v>
      </c>
      <c r="AK2" s="2" t="e">
        <f>AI2*AJ2</f>
        <v>#N/A</v>
      </c>
      <c r="AL2" s="2">
        <f>SUMIF($B$2:$B2,B2,$AK$2:$AK2)</f>
        <v>0</v>
      </c>
      <c r="AR2" s="5">
        <f>Q2-R2</f>
        <v>0</v>
      </c>
      <c r="AT2" s="2" t="e">
        <f>AS2-AK2</f>
        <v>#N/A</v>
      </c>
      <c r="AV2" s="17" t="s">
        <v>47</v>
      </c>
    </row>
    <row r="3" spans="1:48" x14ac:dyDescent="0.25">
      <c r="A3" s="7"/>
    </row>
    <row r="4" spans="1:48" x14ac:dyDescent="0.25">
      <c r="A4" s="7"/>
    </row>
    <row r="5" spans="1:48" x14ac:dyDescent="0.25">
      <c r="A5" s="7"/>
    </row>
    <row r="6" spans="1:48" x14ac:dyDescent="0.25">
      <c r="A6" s="7"/>
    </row>
    <row r="7" spans="1:48" x14ac:dyDescent="0.25">
      <c r="A7" s="7"/>
    </row>
    <row r="8" spans="1:48" x14ac:dyDescent="0.25">
      <c r="A8" s="7"/>
    </row>
    <row r="9" spans="1:48" x14ac:dyDescent="0.25">
      <c r="A9" s="7"/>
    </row>
    <row r="10" spans="1:48" x14ac:dyDescent="0.25">
      <c r="A10" s="7"/>
    </row>
    <row r="11" spans="1:48" x14ac:dyDescent="0.25">
      <c r="A11" s="7"/>
    </row>
    <row r="12" spans="1:48" x14ac:dyDescent="0.25">
      <c r="A12" s="7"/>
    </row>
    <row r="13" spans="1:48" x14ac:dyDescent="0.25">
      <c r="A13" s="7"/>
    </row>
    <row r="14" spans="1:48" x14ac:dyDescent="0.25">
      <c r="A14" s="7"/>
    </row>
    <row r="15" spans="1:48" x14ac:dyDescent="0.25">
      <c r="A15" s="7"/>
    </row>
    <row r="16" spans="1:48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</sheetData>
  <conditionalFormatting sqref="AR1:AR1048576 AT1:AT1048576">
    <cfRule type="cellIs" dxfId="2" priority="1" stopIfTrue="1" operator="lessThan">
      <formula>0</formula>
    </cfRule>
    <cfRule type="cellIs" dxfId="1" priority="2" stopIfTru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E4BE-A0FC-42E7-AB1D-C03D613BD8AD}">
  <sheetPr codeName="Sheet24"/>
  <dimension ref="A1:AB25"/>
  <sheetViews>
    <sheetView tabSelected="1" topLeftCell="F1" workbookViewId="0">
      <selection activeCell="AB1" sqref="AB1"/>
    </sheetView>
  </sheetViews>
  <sheetFormatPr defaultRowHeight="15" x14ac:dyDescent="0.25"/>
  <cols>
    <col min="1" max="1" width="43.28515625" customWidth="1"/>
    <col min="2" max="2" width="17.42578125" customWidth="1"/>
    <col min="3" max="3" width="16.28515625" customWidth="1"/>
    <col min="4" max="4" width="15.85546875" customWidth="1"/>
    <col min="5" max="5" width="13.85546875" customWidth="1"/>
    <col min="6" max="6" width="16.7109375" customWidth="1"/>
    <col min="7" max="7" width="13" customWidth="1"/>
    <col min="8" max="8" width="15.7109375" customWidth="1"/>
    <col min="9" max="9" width="16" customWidth="1"/>
    <col min="10" max="10" width="16.5703125" customWidth="1"/>
    <col min="11" max="11" width="10.5703125" customWidth="1"/>
    <col min="12" max="12" width="16.140625" customWidth="1"/>
    <col min="13" max="13" width="16.28515625" customWidth="1"/>
    <col min="14" max="14" width="13.28515625" customWidth="1"/>
    <col min="15" max="17" width="12.5703125" customWidth="1"/>
    <col min="18" max="18" width="19.42578125" customWidth="1"/>
    <col min="19" max="23" width="15.85546875" customWidth="1"/>
    <col min="24" max="27" width="16.5703125" customWidth="1"/>
    <col min="28" max="28" width="21.140625" customWidth="1"/>
  </cols>
  <sheetData>
    <row r="1" spans="1:28" ht="45" x14ac:dyDescent="0.25">
      <c r="A1" s="26" t="s">
        <v>48</v>
      </c>
      <c r="B1" s="27" t="s">
        <v>49</v>
      </c>
      <c r="C1" s="27" t="s">
        <v>11</v>
      </c>
      <c r="D1" s="27" t="s">
        <v>70</v>
      </c>
      <c r="E1" s="27" t="s">
        <v>50</v>
      </c>
      <c r="F1" s="27" t="s">
        <v>51</v>
      </c>
      <c r="G1" s="27" t="s">
        <v>52</v>
      </c>
      <c r="H1" s="27" t="s">
        <v>53</v>
      </c>
      <c r="I1" s="27" t="s">
        <v>54</v>
      </c>
      <c r="J1" s="27" t="s">
        <v>55</v>
      </c>
      <c r="K1" s="27" t="s">
        <v>56</v>
      </c>
      <c r="L1" s="27" t="s">
        <v>57</v>
      </c>
      <c r="M1" s="27" t="s">
        <v>58</v>
      </c>
      <c r="N1" s="27" t="s">
        <v>59</v>
      </c>
      <c r="O1" s="27" t="s">
        <v>60</v>
      </c>
      <c r="P1" s="27" t="s">
        <v>61</v>
      </c>
      <c r="Q1" s="27" t="s">
        <v>62</v>
      </c>
      <c r="R1" s="27" t="s">
        <v>63</v>
      </c>
      <c r="S1" s="27" t="s">
        <v>71</v>
      </c>
      <c r="T1" s="28" t="s">
        <v>72</v>
      </c>
      <c r="U1" s="28" t="s">
        <v>73</v>
      </c>
      <c r="V1" s="28" t="s">
        <v>67</v>
      </c>
      <c r="W1" s="28" t="s">
        <v>74</v>
      </c>
      <c r="X1" s="28" t="s">
        <v>65</v>
      </c>
      <c r="Y1" s="27" t="s">
        <v>66</v>
      </c>
      <c r="Z1" s="27" t="s">
        <v>64</v>
      </c>
      <c r="AA1" s="27" t="s">
        <v>16</v>
      </c>
      <c r="AB1" s="27" t="s">
        <v>68</v>
      </c>
    </row>
    <row r="2" spans="1:28" x14ac:dyDescent="0.25">
      <c r="A2" s="25"/>
      <c r="B2" s="29"/>
      <c r="C2" s="24"/>
      <c r="D2" s="24"/>
      <c r="E2" s="18"/>
      <c r="F2" s="24"/>
      <c r="G2" s="18"/>
      <c r="H2" s="24"/>
      <c r="I2" s="18"/>
      <c r="J2" s="24"/>
      <c r="K2" s="18"/>
      <c r="L2" s="24"/>
      <c r="M2" s="18"/>
      <c r="N2" s="6"/>
      <c r="O2" s="24"/>
      <c r="P2" s="24"/>
      <c r="Q2" s="24"/>
      <c r="R2" s="6"/>
      <c r="S2" s="24"/>
      <c r="T2" s="31"/>
      <c r="U2" s="31"/>
      <c r="V2" s="31"/>
      <c r="W2" s="31"/>
      <c r="X2" s="30"/>
      <c r="Y2" s="32"/>
      <c r="Z2" s="32"/>
      <c r="AA2" s="32"/>
      <c r="AB2" s="33"/>
    </row>
    <row r="3" spans="1:28" ht="15.75" x14ac:dyDescent="0.25">
      <c r="A3" s="23"/>
      <c r="B3" s="20"/>
    </row>
    <row r="4" spans="1:28" x14ac:dyDescent="0.25">
      <c r="A4" s="4"/>
      <c r="B4" s="21"/>
    </row>
    <row r="5" spans="1:28" x14ac:dyDescent="0.25">
      <c r="A5" s="4"/>
      <c r="B5" s="22"/>
    </row>
    <row r="6" spans="1:28" x14ac:dyDescent="0.25">
      <c r="A6" s="4"/>
      <c r="B6" s="22"/>
    </row>
    <row r="7" spans="1:28" x14ac:dyDescent="0.25">
      <c r="A7" s="4"/>
      <c r="B7" s="22"/>
    </row>
    <row r="10" spans="1:28" ht="15.75" x14ac:dyDescent="0.25">
      <c r="A10" s="10"/>
    </row>
    <row r="15" spans="1:28" x14ac:dyDescent="0.25">
      <c r="O15" t="s">
        <v>69</v>
      </c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</sheetData>
  <phoneticPr fontId="1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664e92-eb71-49b4-aae7-2b219be1d91d" xsi:nil="true"/>
    <lcf76f155ced4ddcb4097134ff3c332f xmlns="719d0d50-b227-487f-a0a4-46a838d854ee">
      <Terms xmlns="http://schemas.microsoft.com/office/infopath/2007/PartnerControls"/>
    </lcf76f155ced4ddcb4097134ff3c332f>
  </documentManagement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BE2D3B072254EA1EF7A5E34BA8262" ma:contentTypeVersion="19" ma:contentTypeDescription="Create a new document." ma:contentTypeScope="" ma:versionID="cb1614f2b915af2d4aad7625283e552c">
  <xsd:schema xmlns:xsd="http://www.w3.org/2001/XMLSchema" xmlns:xs="http://www.w3.org/2001/XMLSchema" xmlns:p="http://schemas.microsoft.com/office/2006/metadata/properties" xmlns:ns2="719d0d50-b227-487f-a0a4-46a838d854ee" xmlns:ns3="4b664e92-eb71-49b4-aae7-2b219be1d91d" targetNamespace="http://schemas.microsoft.com/office/2006/metadata/properties" ma:root="true" ma:fieldsID="d46b118b7b01737222cb635aa8d849d1" ns2:_="" ns3:_="">
    <xsd:import namespace="719d0d50-b227-487f-a0a4-46a838d854ee"/>
    <xsd:import namespace="4b664e92-eb71-49b4-aae7-2b219be1d9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d0d50-b227-487f-a0a4-46a838d8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0fc82e-7ded-4240-b1d5-7d160208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64e92-eb71-49b4-aae7-2b219be1d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e141c3-ba88-4371-99e9-c5c7374b3a7c}" ma:internalName="TaxCatchAll" ma:showField="CatchAllData" ma:web="4b664e92-eb71-49b4-aae7-2b219be1d9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909E093-95EF-4951-B126-B57C16831A75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8309EFE6-C1D1-4FDB-A821-F11D3A985C06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A7203226-A4D1-4FC5-A76D-059912037F5A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044741E3-8F36-4FB3-992A-8A6B745F0E3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B7C2B7E-A966-4286-895C-CC763B7CA4E3}">
  <ds:schemaRefs>
    <ds:schemaRef ds:uri="http://gemini/pivotcustomization/TableXML_Apparatus Quantity Remaning_4f347f51-2fc7-4bbf-8498-27d1718f1961"/>
  </ds:schemaRefs>
</ds:datastoreItem>
</file>

<file path=customXml/itemProps6.xml><?xml version="1.0" encoding="utf-8"?>
<ds:datastoreItem xmlns:ds="http://schemas.openxmlformats.org/officeDocument/2006/customXml" ds:itemID="{82D59BB5-15CB-40B4-8AA2-9B8D56DF54ED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36A29CA5-6E56-466F-8274-972E8923E3D6}">
  <ds:schemaRefs>
    <ds:schemaRef ds:uri="http://gemini/pivotcustomization/TableXML_Hours_Completed_By_Month_7ea448cb-238c-4d35-b45e-36ced0b8ce17"/>
  </ds:schemaRefs>
</ds:datastoreItem>
</file>

<file path=customXml/itemProps8.xml><?xml version="1.0" encoding="utf-8"?>
<ds:datastoreItem xmlns:ds="http://schemas.openxmlformats.org/officeDocument/2006/customXml" ds:itemID="{442BFFE3-6DA2-4E15-B983-47D21F436FF1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CD45EA24-8D9F-4E52-8F3B-1371AB517722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30BC28CD-372F-42F3-A760-959D610DC414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71E74A59-FD2A-48D8-9F2B-866ADDCABEC5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BAEE168E-F028-444A-9FDB-03F1A559C9F9}">
  <ds:schemaRefs>
    <ds:schemaRef ds:uri="http://gemini/pivotcustomization/154dbd74-cd14-42fe-be28-c57dda399f68"/>
  </ds:schemaRefs>
</ds:datastoreItem>
</file>

<file path=customXml/itemProps13.xml><?xml version="1.0" encoding="utf-8"?>
<ds:datastoreItem xmlns:ds="http://schemas.openxmlformats.org/officeDocument/2006/customXml" ds:itemID="{A626C280-0DE3-43DB-81BC-993DC3441B66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4A97038B-A40B-4E4C-9C70-9FE5E4F3BFFB}">
  <ds:schemaRefs>
    <ds:schemaRef ds:uri="http://gemini/pivotcustomization/1cfa02a2-c7a8-433c-b6f5-575a1919871a"/>
  </ds:schemaRefs>
</ds:datastoreItem>
</file>

<file path=customXml/itemProps15.xml><?xml version="1.0" encoding="utf-8"?>
<ds:datastoreItem xmlns:ds="http://schemas.openxmlformats.org/officeDocument/2006/customXml" ds:itemID="{34EC9EB8-D24B-4296-B238-168D5B5705F4}">
  <ds:schemaRefs>
    <ds:schemaRef ds:uri="http://gemini/pivotcustomization/ff1edc2f-cec8-4776-a191-177b73bd9e9e"/>
  </ds:schemaRefs>
</ds:datastoreItem>
</file>

<file path=customXml/itemProps16.xml><?xml version="1.0" encoding="utf-8"?>
<ds:datastoreItem xmlns:ds="http://schemas.openxmlformats.org/officeDocument/2006/customXml" ds:itemID="{75649E94-5BDA-4F39-BA02-11D9020D8A79}">
  <ds:schemaRefs>
    <ds:schemaRef ds:uri="http://schemas.microsoft.com/office/2006/metadata/properties"/>
    <ds:schemaRef ds:uri="http://www.w3.org/2000/xmlns/"/>
    <ds:schemaRef ds:uri="4b664e92-eb71-49b4-aae7-2b219be1d91d"/>
    <ds:schemaRef ds:uri="http://www.w3.org/2001/XMLSchema-instance"/>
    <ds:schemaRef ds:uri="719d0d50-b227-487f-a0a4-46a838d854ee"/>
    <ds:schemaRef ds:uri="http://schemas.microsoft.com/office/infopath/2007/PartnerControls"/>
  </ds:schemaRefs>
</ds:datastoreItem>
</file>

<file path=customXml/itemProps17.xml><?xml version="1.0" encoding="utf-8"?>
<ds:datastoreItem xmlns:ds="http://schemas.openxmlformats.org/officeDocument/2006/customXml" ds:itemID="{80088412-2556-45CC-BDA0-4A0FB0108D4C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7C2945D8-DE9F-49F4-B013-96B243DE7854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956FB471-79A7-4B60-A1AD-136C45C5554B}">
  <ds:schemaRefs>
    <ds:schemaRef ds:uri="http://gemini/pivotcustomization/FormulaBarState"/>
  </ds:schemaRefs>
</ds:datastoreItem>
</file>

<file path=customXml/itemProps20.xml><?xml version="1.0" encoding="utf-8"?>
<ds:datastoreItem xmlns:ds="http://schemas.openxmlformats.org/officeDocument/2006/customXml" ds:itemID="{66A5F1E9-074E-4989-900F-1F0F889A57AA}">
  <ds:schemaRefs>
    <ds:schemaRef ds:uri="http://gemini/pivotcustomization/SandboxNonEmpty"/>
  </ds:schemaRefs>
</ds:datastoreItem>
</file>

<file path=customXml/itemProps21.xml><?xml version="1.0" encoding="utf-8"?>
<ds:datastoreItem xmlns:ds="http://schemas.openxmlformats.org/officeDocument/2006/customXml" ds:itemID="{682D9B52-0F85-46A0-81B0-778848942415}">
  <ds:schemaRefs>
    <ds:schemaRef ds:uri="http://gemini/pivotcustomization/TableXML_Hours_Completed_By_Month 1"/>
  </ds:schemaRefs>
</ds:datastoreItem>
</file>

<file path=customXml/itemProps22.xml><?xml version="1.0" encoding="utf-8"?>
<ds:datastoreItem xmlns:ds="http://schemas.openxmlformats.org/officeDocument/2006/customXml" ds:itemID="{2EB69CC7-71DA-4383-BF73-A1010DB7BD7C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E72002FF-06CA-4B45-91B3-BAC0C44632DB}">
  <ds:schemaRefs>
    <ds:schemaRef ds:uri="http://gemini/pivotcustomization/TableXML_Apparatus Quantity_7d276028-2ce0-4e99-9984-7d1ab9289e60"/>
  </ds:schemaRefs>
</ds:datastoreItem>
</file>

<file path=customXml/itemProps24.xml><?xml version="1.0" encoding="utf-8"?>
<ds:datastoreItem xmlns:ds="http://schemas.openxmlformats.org/officeDocument/2006/customXml" ds:itemID="{4522427B-BE63-4A3B-A3D9-FFE127FDE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d0d50-b227-487f-a0a4-46a838d854ee"/>
    <ds:schemaRef ds:uri="4b664e92-eb71-49b4-aae7-2b219be1d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5.xml><?xml version="1.0" encoding="utf-8"?>
<ds:datastoreItem xmlns:ds="http://schemas.openxmlformats.org/officeDocument/2006/customXml" ds:itemID="{6B846AE3-AAD9-4820-92ED-76A44FED0543}">
  <ds:schemaRefs>
    <ds:schemaRef ds:uri="http://gemini/pivotcustomization/TableWidget"/>
  </ds:schemaRefs>
</ds:datastoreItem>
</file>

<file path=customXml/itemProps26.xml><?xml version="1.0" encoding="utf-8"?>
<ds:datastoreItem xmlns:ds="http://schemas.openxmlformats.org/officeDocument/2006/customXml" ds:itemID="{40C0380B-D80D-46A0-860D-953F982BD87D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All_Tasks_Billing</vt:lpstr>
      <vt:lpstr>Scope_Labor_Rates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Swenson</dc:creator>
  <cp:keywords/>
  <dc:description/>
  <cp:lastModifiedBy>Jason Swenson</cp:lastModifiedBy>
  <cp:revision/>
  <dcterms:created xsi:type="dcterms:W3CDTF">2025-08-20T18:27:49Z</dcterms:created>
  <dcterms:modified xsi:type="dcterms:W3CDTF">2025-11-14T03:09:47Z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0x01010024EBE2D3B072254EA1EF7A5E34BA8262</vt:lpwstr>
  </property>
  <property fmtid="{D5CDD505-2E9C-101B-9397-08002B2CF9AE}" pid="3" name="MediaServiceImageTags">
    <vt:lpwstr/>
  </property>
</Properties>
</file>